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Ms &amp; HMs" sheetId="2" r:id="rId6"/>
    <sheet state="visible" name="Move Tutors" sheetId="3" r:id="rId7"/>
    <sheet state="visible" name="Overworld Items" sheetId="4" r:id="rId8"/>
    <sheet state="visible" name="Mega Stones" sheetId="5" r:id="rId9"/>
    <sheet state="visible" name="Z-Crystals" sheetId="6" r:id="rId10"/>
    <sheet state="visible" name="Shops" sheetId="7" r:id="rId11"/>
    <sheet state="visible" name="Care Packages" sheetId="8" r:id="rId12"/>
    <sheet state="visible" name="Other Useful Items" sheetId="9" r:id="rId13"/>
    <sheet state="hidden" name="Source" sheetId="10" r:id="rId14"/>
  </sheets>
  <definedNames/>
  <calcPr/>
</workbook>
</file>

<file path=xl/sharedStrings.xml><?xml version="1.0" encoding="utf-8"?>
<sst xmlns="http://schemas.openxmlformats.org/spreadsheetml/2006/main" count="2950" uniqueCount="2595">
  <si>
    <t>TMs &amp; HMs</t>
  </si>
  <si>
    <t>Move Tutors</t>
  </si>
  <si>
    <t>Overworld Items</t>
  </si>
  <si>
    <t>Mega Stones</t>
  </si>
  <si>
    <t>Check the different tabs at the bottom to navigate through categories, or click/tap the links in the boxes around to access these tabs.</t>
  </si>
  <si>
    <t>Z-Crystals</t>
  </si>
  <si>
    <t>Shops</t>
  </si>
  <si>
    <t>Care Packages</t>
  </si>
  <si>
    <t>Other Useful Items</t>
  </si>
  <si>
    <t>TM</t>
  </si>
  <si>
    <t>MOVE</t>
  </si>
  <si>
    <t>LOCATION</t>
  </si>
  <si>
    <t>HM</t>
  </si>
  <si>
    <t>001</t>
  </si>
  <si>
    <t>Close Combat</t>
  </si>
  <si>
    <t>Cerulean Cave, 2F, in the south east part of the floor.</t>
  </si>
  <si>
    <t>Cut</t>
  </si>
  <si>
    <t>S.S. Anne, from the Captain in his room.</t>
  </si>
  <si>
    <t>002</t>
  </si>
  <si>
    <t>Dragon Claw</t>
  </si>
  <si>
    <t>Route 14, in the small patch of grass above the Bikers.</t>
  </si>
  <si>
    <t>Fly</t>
  </si>
  <si>
    <t>Route 16, from a girl in the house in the top left corner of the Route.</t>
  </si>
  <si>
    <t>003</t>
  </si>
  <si>
    <t>Flip Turn</t>
  </si>
  <si>
    <t>Cerulean City's gym, from Misty after defeating her.</t>
  </si>
  <si>
    <t>Surf</t>
  </si>
  <si>
    <t>Safari Zone Area 3, from the guy inside the northern Rest House.</t>
  </si>
  <si>
    <t>004</t>
  </si>
  <si>
    <t>Seed Bomb</t>
  </si>
  <si>
    <t>Route 12, in the grassy area below Fisherman's house.</t>
  </si>
  <si>
    <t>Strength</t>
  </si>
  <si>
    <t>Fuchsia City, from Warden in the south-eastern house after giving him Gold Teeth.</t>
  </si>
  <si>
    <t>005</t>
  </si>
  <si>
    <t>Roar</t>
  </si>
  <si>
    <t>Route 4, after Mt. Moon, right of the two Black Belts, in between the multiple ledges.</t>
  </si>
  <si>
    <t>Flash</t>
  </si>
  <si>
    <t>Route 2, from Professor Oak's Scientist in the eastern gate.</t>
  </si>
  <si>
    <t>006</t>
  </si>
  <si>
    <t>Toxic</t>
  </si>
  <si>
    <t>Celadon City's Game Corner for $17 500.</t>
  </si>
  <si>
    <t>Rock Smash</t>
  </si>
  <si>
    <t>Fuchsia City, from Brendan after defeating him in front of Safari Zone's entrance.</t>
  </si>
  <si>
    <t>007</t>
  </si>
  <si>
    <t>Heat Wave</t>
  </si>
  <si>
    <t>Cinnabar Island's Pokémon Mansion 3F.</t>
  </si>
  <si>
    <t>Waterfall</t>
  </si>
  <si>
    <r>
      <rPr>
        <rFont val="Sofia Sans Semi Condensed"/>
        <b/>
        <color rgb="FFCC0000"/>
        <sz val="12.0"/>
      </rPr>
      <t>(POST-GAME)</t>
    </r>
    <r>
      <rPr>
        <rFont val="Sofia Sans Semi Condensed"/>
        <b/>
        <color rgb="FF232222"/>
        <sz val="12.0"/>
      </rPr>
      <t xml:space="preserve"> From an old man on Island One, in the Ember Spa.</t>
    </r>
  </si>
  <si>
    <t>008</t>
  </si>
  <si>
    <t>Zen Headbutt</t>
  </si>
  <si>
    <t>Saffron City's Silph Co. 7F, in the middle-right room. (Keycard required)</t>
  </si>
  <si>
    <t>Rock Climb</t>
  </si>
  <si>
    <t>CANNOT BE FOUND.</t>
  </si>
  <si>
    <t>009</t>
  </si>
  <si>
    <t>Bullet Seed</t>
  </si>
  <si>
    <t>Mt. Moon 1F, west from the entrance.</t>
  </si>
  <si>
    <t>010</t>
  </si>
  <si>
    <t>Hidden Power</t>
  </si>
  <si>
    <t>Saffron City's Silph Co. 1F, on the upper right corner of the room behind a plant.</t>
  </si>
  <si>
    <t>011</t>
  </si>
  <si>
    <t>Supercell Slam</t>
  </si>
  <si>
    <t>Indigo Plateau, before entering the building, from soupercell after defeating him.</t>
  </si>
  <si>
    <t>012</t>
  </si>
  <si>
    <t>Taunt</t>
  </si>
  <si>
    <t>Celadon City's Rocket Hideout B2F inside the warp maze.</t>
  </si>
  <si>
    <t>(HARDCORE) Unavailable.</t>
  </si>
  <si>
    <t>013</t>
  </si>
  <si>
    <t>Ice Beam</t>
  </si>
  <si>
    <t>Celadon City's Game Corner for $30 000.</t>
  </si>
  <si>
    <t>014</t>
  </si>
  <si>
    <t>Blizzard</t>
  </si>
  <si>
    <t>Cinnabar Island's Pokémon Mansion B1F.</t>
  </si>
  <si>
    <t>015</t>
  </si>
  <si>
    <t>Electroweb</t>
  </si>
  <si>
    <t>Viridian Forest, follow the accessible path around the forest's end without rock break.</t>
  </si>
  <si>
    <t>016</t>
  </si>
  <si>
    <t>Light Screen</t>
  </si>
  <si>
    <t>017</t>
  </si>
  <si>
    <t>Protect</t>
  </si>
  <si>
    <t>Celadon City's Game Corner for $15 000.</t>
  </si>
  <si>
    <t>018</t>
  </si>
  <si>
    <t>Hydro Pump</t>
  </si>
  <si>
    <t>Route 15, above the ledge near the Raid Den.</t>
  </si>
  <si>
    <t>019</t>
  </si>
  <si>
    <t>Giga Drain</t>
  </si>
  <si>
    <t>Celadon City's gym, from Erika after defeating her.</t>
  </si>
  <si>
    <t>020</t>
  </si>
  <si>
    <t>Hyper Voice</t>
  </si>
  <si>
    <t>021</t>
  </si>
  <si>
    <t>Icy Wind</t>
  </si>
  <si>
    <t>Cerulean City's Pokémart for $5000.</t>
  </si>
  <si>
    <t>022</t>
  </si>
  <si>
    <t>Weather Ball</t>
  </si>
  <si>
    <t>023</t>
  </si>
  <si>
    <t>Iron Head</t>
  </si>
  <si>
    <t>Rock Tunnel 1F, from Lavender Town's side.</t>
  </si>
  <si>
    <t>024</t>
  </si>
  <si>
    <t>Thunderbolt</t>
  </si>
  <si>
    <t>025</t>
  </si>
  <si>
    <t>Thunder</t>
  </si>
  <si>
    <t>Power Plant, south east corner.</t>
  </si>
  <si>
    <t>026</t>
  </si>
  <si>
    <t>Earthquake</t>
  </si>
  <si>
    <t>Saffron City, from the Dumbass Mudkip Kid after defeating him for the first time.</t>
  </si>
  <si>
    <t>027</t>
  </si>
  <si>
    <t>Return</t>
  </si>
  <si>
    <t>Route 12, from a Lass in the northern gate upstairs.</t>
  </si>
  <si>
    <t>028</t>
  </si>
  <si>
    <t>Dig</t>
  </si>
  <si>
    <t>Cerulean City, from Team Rocket Grunt.</t>
  </si>
  <si>
    <t>029</t>
  </si>
  <si>
    <t>Psychic</t>
  </si>
  <si>
    <t>Saffron City, in Mr. Psychic's house in the south east.</t>
  </si>
  <si>
    <t>030</t>
  </si>
  <si>
    <t>Shadow Ball</t>
  </si>
  <si>
    <t>Lavender Town, from Morty after defeating him in Fuji's house.</t>
  </si>
  <si>
    <t>031</t>
  </si>
  <si>
    <t>Brick Break</t>
  </si>
  <si>
    <t>S.S. Anne, 1F, second room starting from the left.</t>
  </si>
  <si>
    <t>032</t>
  </si>
  <si>
    <t>Aura Sphere</t>
  </si>
  <si>
    <t>Safari Zone - Western Area.</t>
  </si>
  <si>
    <t>033</t>
  </si>
  <si>
    <t>Reflect</t>
  </si>
  <si>
    <t>034</t>
  </si>
  <si>
    <t>Teleport</t>
  </si>
  <si>
    <t>Route 3, in the large grassy patch with a Lass around.</t>
  </si>
  <si>
    <t>035</t>
  </si>
  <si>
    <t>Flamethrower</t>
  </si>
  <si>
    <t>036</t>
  </si>
  <si>
    <t>Sludge Bomb</t>
  </si>
  <si>
    <t>Fuchsia City's gym, from Koga after defeating him.</t>
  </si>
  <si>
    <t>037</t>
  </si>
  <si>
    <t>High Horsepower</t>
  </si>
  <si>
    <t>Victory Road 2F, in the central-south part of the floor, below the heightened platform.</t>
  </si>
  <si>
    <t>038</t>
  </si>
  <si>
    <t>Fire Blast</t>
  </si>
  <si>
    <t>Cinnabar Island's gym, from Blaine after defeating him.</t>
  </si>
  <si>
    <t>039</t>
  </si>
  <si>
    <t>Rock Tomb</t>
  </si>
  <si>
    <t>Pewter City's gym, from Brock after defeating him.</t>
  </si>
  <si>
    <t>040</t>
  </si>
  <si>
    <t>Low Kick</t>
  </si>
  <si>
    <t>Route 4's eastern side, from the left Black Belt.</t>
  </si>
  <si>
    <t>041</t>
  </si>
  <si>
    <t>Liquidation</t>
  </si>
  <si>
    <t>Saffron City's Silph Co. 4F, on a table.</t>
  </si>
  <si>
    <t>042</t>
  </si>
  <si>
    <t>Facade</t>
  </si>
  <si>
    <t>Route 10, east of the exit near Lavender Town.</t>
  </si>
  <si>
    <t>043</t>
  </si>
  <si>
    <t>Defog</t>
  </si>
  <si>
    <t>Route 25, in the grassy maze.</t>
  </si>
  <si>
    <t>044</t>
  </si>
  <si>
    <t>Rest</t>
  </si>
  <si>
    <t>Diglett's Cave - Entrance from Route 11.</t>
  </si>
  <si>
    <t>045</t>
  </si>
  <si>
    <t>Draining Kiss</t>
  </si>
  <si>
    <t>Route 24, on the heightened platform.</t>
  </si>
  <si>
    <t>046</t>
  </si>
  <si>
    <t>Thief</t>
  </si>
  <si>
    <t>Diglett's Cave - Entrance below Pewter City.</t>
  </si>
  <si>
    <t>047</t>
  </si>
  <si>
    <t>Steel Wing</t>
  </si>
  <si>
    <t>Cerulean City's Pokémart for $10 000.</t>
  </si>
  <si>
    <t>048</t>
  </si>
  <si>
    <t>Hurricane</t>
  </si>
  <si>
    <t>Route 12, on a small islet right below the gate. (Surf HM required)</t>
  </si>
  <si>
    <t>049</t>
  </si>
  <si>
    <t>Leech Life</t>
  </si>
  <si>
    <t>Celadon City's Rocket Hideout B4F.</t>
  </si>
  <si>
    <t>050</t>
  </si>
  <si>
    <t>Overheat</t>
  </si>
  <si>
    <t>Victory Road 3F, northwest, by a rock on a narrow path west of the raised platform.</t>
  </si>
  <si>
    <t>051</t>
  </si>
  <si>
    <t>Roost</t>
  </si>
  <si>
    <t>From Falkner after defeating him in Pewter City's Museum.</t>
  </si>
  <si>
    <t>052</t>
  </si>
  <si>
    <t>Focus Blast</t>
  </si>
  <si>
    <t>Route 20, on an islet in the middle of the Route.</t>
  </si>
  <si>
    <t>053</t>
  </si>
  <si>
    <t>Energy Ball</t>
  </si>
  <si>
    <t>Celadon City's Game Corner for $25 000.</t>
  </si>
  <si>
    <t>054</t>
  </si>
  <si>
    <t>Grassy Glide</t>
  </si>
  <si>
    <t>Safari Zone - Center Area, on a small islet to the north of the entrance.</t>
  </si>
  <si>
    <t>055</t>
  </si>
  <si>
    <t>Expanding Force</t>
  </si>
  <si>
    <t>Safari Zone - West Area, on the south-side elevated platform.</t>
  </si>
  <si>
    <t>056</t>
  </si>
  <si>
    <t>Air Slash</t>
  </si>
  <si>
    <t>057</t>
  </si>
  <si>
    <t>Temper Flare</t>
  </si>
  <si>
    <t>Route 2's eastern side. (Cut HM required)</t>
  </si>
  <si>
    <t>058</t>
  </si>
  <si>
    <t>Rising Voltage</t>
  </si>
  <si>
    <t>Safari Zone - Eastern Area.</t>
  </si>
  <si>
    <t>059</t>
  </si>
  <si>
    <t>Dragon Pulse</t>
  </si>
  <si>
    <t>Safari Zone - North Area.</t>
  </si>
  <si>
    <t>060</t>
  </si>
  <si>
    <t>Drain Punch</t>
  </si>
  <si>
    <t>Saffron City's Dojo, from Chuck after defeating him.</t>
  </si>
  <si>
    <t>061</t>
  </si>
  <si>
    <t>Will-O-Wisp</t>
  </si>
  <si>
    <t>Lavender Town's Pokémon Tower, 6F.</t>
  </si>
  <si>
    <t>062</t>
  </si>
  <si>
    <t>Iron Tail</t>
  </si>
  <si>
    <t>Route 7's grass patch.</t>
  </si>
  <si>
    <t>063</t>
  </si>
  <si>
    <t>Venoshock</t>
  </si>
  <si>
    <t>Route 6, in the north western corner.</t>
  </si>
  <si>
    <t>064</t>
  </si>
  <si>
    <t>Explosion</t>
  </si>
  <si>
    <t>065</t>
  </si>
  <si>
    <t>Shadow Claw</t>
  </si>
  <si>
    <t>066</t>
  </si>
  <si>
    <t>Steel Beam</t>
  </si>
  <si>
    <r>
      <rPr>
        <rFont val="Sofia Sans Semi Condensed"/>
        <b/>
        <color rgb="FFCC0000"/>
        <sz val="12.0"/>
      </rPr>
      <t>(POST-GAME)</t>
    </r>
    <r>
      <rPr>
        <rFont val="Sofia Sans Semi Condensed"/>
        <b/>
        <color rgb="FF232222"/>
        <sz val="12.0"/>
      </rPr>
      <t xml:space="preserve"> Two Island, close to the Game Corner.</t>
    </r>
  </si>
  <si>
    <t>067</t>
  </si>
  <si>
    <t>Poltergeist</t>
  </si>
  <si>
    <t>Victory Road 1F, northwest, north item of the boulder 'puzzle'.</t>
  </si>
  <si>
    <t>068</t>
  </si>
  <si>
    <t>Dual Chop</t>
  </si>
  <si>
    <t>Silph. Co 11F, from Brendan after defeating the Rocket Admins.</t>
  </si>
  <si>
    <t>069</t>
  </si>
  <si>
    <t>Stomping Tantrum</t>
  </si>
  <si>
    <t>S.S. Anne 2F, in the third room from the right.</t>
  </si>
  <si>
    <t>070</t>
  </si>
  <si>
    <t>Triple Axel</t>
  </si>
  <si>
    <t>Seafoam Islands B1F, heightened platform in the middle of the floor.</t>
  </si>
  <si>
    <t>071</t>
  </si>
  <si>
    <t>Stone Edge</t>
  </si>
  <si>
    <t>Pewter City's gym, from Brock after defeating him in a rematch.</t>
  </si>
  <si>
    <t>072</t>
  </si>
  <si>
    <t>Draco Barrage</t>
  </si>
  <si>
    <r>
      <rPr>
        <rFont val="Sofia Sans Semi Condensed"/>
        <b/>
        <color rgb="FFCC0000"/>
        <sz val="12.0"/>
      </rPr>
      <t>(POST-GAME)</t>
    </r>
    <r>
      <rPr>
        <rFont val="Sofia Sans Semi Condensed"/>
        <b/>
        <color rgb="FF232222"/>
        <sz val="12.0"/>
      </rPr>
      <t xml:space="preserve"> Viridian City, from Claire after defeating her in a rematch.</t>
    </r>
  </si>
  <si>
    <t>073</t>
  </si>
  <si>
    <t>Thunder Wave</t>
  </si>
  <si>
    <t>Saffron City's Silph Co. 2F, from a lady near some cardboard boxes.</t>
  </si>
  <si>
    <t>074</t>
  </si>
  <si>
    <t>Gyro Ball</t>
  </si>
  <si>
    <t>Celadon City's Game Corner for $20 000.</t>
  </si>
  <si>
    <t>075</t>
  </si>
  <si>
    <t>Knock Off</t>
  </si>
  <si>
    <t>076</t>
  </si>
  <si>
    <t>Earth Power</t>
  </si>
  <si>
    <t>077</t>
  </si>
  <si>
    <t>Thunder Punch</t>
  </si>
  <si>
    <t>Route 24, right of the Nugget Bridge, accessed from Route 25.</t>
  </si>
  <si>
    <t>078</t>
  </si>
  <si>
    <t>Low Sweep</t>
  </si>
  <si>
    <t>Mt. Moon B2F, accessed from the third ladder on the first floor.</t>
  </si>
  <si>
    <t>079</t>
  </si>
  <si>
    <t>Dark Pulse</t>
  </si>
  <si>
    <t>080</t>
  </si>
  <si>
    <t>Rock Slide</t>
  </si>
  <si>
    <t>Rock Tunnel B1F, from a youngster in the room with multiple crossroads.</t>
  </si>
  <si>
    <t>081</t>
  </si>
  <si>
    <t>X-Scissor</t>
  </si>
  <si>
    <t>Viridian Forest. (Rock Smash HM required)</t>
  </si>
  <si>
    <t>082</t>
  </si>
  <si>
    <t>Sleep Talk</t>
  </si>
  <si>
    <t>083</t>
  </si>
  <si>
    <t>Scald</t>
  </si>
  <si>
    <t>084</t>
  </si>
  <si>
    <t>Poison Jab</t>
  </si>
  <si>
    <t>085</t>
  </si>
  <si>
    <t>Future Sight</t>
  </si>
  <si>
    <t>Route 13, in front of a Picnicker.</t>
  </si>
  <si>
    <t>086</t>
  </si>
  <si>
    <t>Grass Knot</t>
  </si>
  <si>
    <t>Celadon City's gym, from Erika after defeating her in a rematch.</t>
  </si>
  <si>
    <t>087</t>
  </si>
  <si>
    <t>Aerial Ace</t>
  </si>
  <si>
    <t>088</t>
  </si>
  <si>
    <t>Pluck</t>
  </si>
  <si>
    <t>089</t>
  </si>
  <si>
    <t>U-Turn</t>
  </si>
  <si>
    <t>Route 25's east end, from Bugsy after defeating him.</t>
  </si>
  <si>
    <t>090</t>
  </si>
  <si>
    <t>Gunk Shot</t>
  </si>
  <si>
    <t>Cinnabar Mansion 1F, locked behind a door near the stairs at the entrance.</t>
  </si>
  <si>
    <t>091</t>
  </si>
  <si>
    <t>Flash Cannon</t>
  </si>
  <si>
    <t>092</t>
  </si>
  <si>
    <t>Volt Switch</t>
  </si>
  <si>
    <t>Vermilion City's gym, from Lt. Surge after defeating him.</t>
  </si>
  <si>
    <t>093</t>
  </si>
  <si>
    <t>Dragon Tail</t>
  </si>
  <si>
    <t>094</t>
  </si>
  <si>
    <t>Scale Shot</t>
  </si>
  <si>
    <r>
      <rPr>
        <rFont val="Sofia Sans Semi Condensed"/>
        <b/>
        <color rgb="FFCC0000"/>
        <sz val="12.0"/>
      </rPr>
      <t>(POST-GAME)</t>
    </r>
    <r>
      <rPr>
        <rFont val="Sofia Sans Semi Condensed"/>
        <b/>
        <color rgb="FF232222"/>
        <sz val="12.0"/>
      </rPr>
      <t xml:space="preserve"> One Island - Mt. Ember, northeast after moving boulders.</t>
    </r>
  </si>
  <si>
    <t>095</t>
  </si>
  <si>
    <t>Cosmic Power</t>
  </si>
  <si>
    <r>
      <rPr>
        <rFont val="Sofia Sans Semi Condensed"/>
        <b/>
        <color rgb="FFCC0000"/>
        <sz val="12.0"/>
      </rPr>
      <t>(POST-GAME)</t>
    </r>
    <r>
      <rPr>
        <rFont val="Sofia Sans Semi Condensed"/>
        <b/>
        <color rgb="FF232222"/>
        <sz val="12.0"/>
      </rPr>
      <t xml:space="preserve"> Three Island, Berry Forest, by Surfing in the part at the end of the forest.</t>
    </r>
  </si>
  <si>
    <t>096</t>
  </si>
  <si>
    <t>Bulldoze</t>
  </si>
  <si>
    <t>Route 5, in the middle fenced area.</t>
  </si>
  <si>
    <t>097</t>
  </si>
  <si>
    <t>Frost Breath</t>
  </si>
  <si>
    <r>
      <rPr>
        <rFont val="Sofia Sans Semi Condensed"/>
        <b/>
        <color rgb="FFCC0000"/>
        <sz val="12.0"/>
      </rPr>
      <t>(POST-GAME)</t>
    </r>
    <r>
      <rPr>
        <rFont val="Sofia Sans Semi Condensed"/>
        <b/>
        <color rgb="FF232222"/>
        <sz val="12.0"/>
      </rPr>
      <t xml:space="preserve"> Seafoam Islands, in the Sandshrew race area.</t>
    </r>
  </si>
  <si>
    <t>098</t>
  </si>
  <si>
    <t>Fire Punch</t>
  </si>
  <si>
    <t>Route 11, on the bottom right side in a narrow path, near the old man below the gate.</t>
  </si>
  <si>
    <t>099</t>
  </si>
  <si>
    <t>Wild Charge</t>
  </si>
  <si>
    <t>Route 10, right of Power Plant's entrance.</t>
  </si>
  <si>
    <t>100</t>
  </si>
  <si>
    <t>Dual Wingbeat</t>
  </si>
  <si>
    <t>Route 16, north-western part of the Route.</t>
  </si>
  <si>
    <t>101</t>
  </si>
  <si>
    <t>Ice Punch</t>
  </si>
  <si>
    <t>Route 9, in the bottom left corner, near the Hiker.</t>
  </si>
  <si>
    <t>102</t>
  </si>
  <si>
    <t>Dazzling Gleam</t>
  </si>
  <si>
    <t>103</t>
  </si>
  <si>
    <t>Sludge Wave</t>
  </si>
  <si>
    <r>
      <rPr>
        <rFont val="Sofia Sans Semi Condensed"/>
        <b/>
        <color rgb="FFCC0000"/>
        <sz val="12.0"/>
      </rPr>
      <t>(POST-GAME)</t>
    </r>
    <r>
      <rPr>
        <rFont val="Sofia Sans Semi Condensed"/>
        <b/>
        <color rgb="FF232222"/>
        <sz val="12.0"/>
      </rPr>
      <t xml:space="preserve"> Rock Tunnel's entrance near Power Plant.</t>
    </r>
  </si>
  <si>
    <t>104</t>
  </si>
  <si>
    <t>Psyshock</t>
  </si>
  <si>
    <t>Route 7/8 Underground Path, near the western staircase.</t>
  </si>
  <si>
    <t>(HARDCORE) Saffron City's gym, from Sabrina after defeating her.</t>
  </si>
  <si>
    <t>105</t>
  </si>
  <si>
    <t>Psychic Noise</t>
  </si>
  <si>
    <t>Celadon City's Rocket Hideout B3F.</t>
  </si>
  <si>
    <t>106</t>
  </si>
  <si>
    <t>Acrobatics</t>
  </si>
  <si>
    <t>Route 8, near the Underground Path, between the two ledges below the old man.</t>
  </si>
  <si>
    <t>107</t>
  </si>
  <si>
    <t>Terrain Pulse</t>
  </si>
  <si>
    <t>108</t>
  </si>
  <si>
    <t>Snarl</t>
  </si>
  <si>
    <t>109</t>
  </si>
  <si>
    <t>Superpower</t>
  </si>
  <si>
    <t>Power Plant, next to Dumbass Jojo Fan in the central room.</t>
  </si>
  <si>
    <t>110</t>
  </si>
  <si>
    <t>Scorching Sands</t>
  </si>
  <si>
    <t>Celadon City's Game Corner for $12 500.</t>
  </si>
  <si>
    <t>111</t>
  </si>
  <si>
    <t>Vacuum Wave</t>
  </si>
  <si>
    <t>112</t>
  </si>
  <si>
    <t>Misty Explosion</t>
  </si>
  <si>
    <r>
      <rPr>
        <rFont val="Sofia Sans Semi Condensed"/>
        <b/>
        <color rgb="FFCC0000"/>
        <sz val="12.0"/>
      </rPr>
      <t>(POST-GAME)</t>
    </r>
    <r>
      <rPr>
        <rFont val="Sofia Sans Semi Condensed"/>
        <b/>
        <color rgb="FF232222"/>
        <sz val="12.0"/>
      </rPr>
      <t xml:space="preserve"> One Island, Mt. Ember, from a Hiker.</t>
    </r>
  </si>
  <si>
    <t>113</t>
  </si>
  <si>
    <t>Play Rough</t>
  </si>
  <si>
    <t>Celadon Dept. Store 3F, from the clerk, for $15 000.</t>
  </si>
  <si>
    <t>114</t>
  </si>
  <si>
    <t>Heat Crash</t>
  </si>
  <si>
    <t>Route 17, south of the gate, right above the grass patch.</t>
  </si>
  <si>
    <t>115</t>
  </si>
  <si>
    <t>Body Press</t>
  </si>
  <si>
    <t>Saffron City's Silph Co. 5F, in the south room on the west side. (Keycard required)</t>
  </si>
  <si>
    <t>116</t>
  </si>
  <si>
    <t>Trick Room</t>
  </si>
  <si>
    <t>Saffron City's gym, from Sabrina after defeating her.</t>
  </si>
  <si>
    <t>117</t>
  </si>
  <si>
    <t>Brave Bird</t>
  </si>
  <si>
    <t>Celadon City's hotel, after getting the Mega Ring and defeating the two Beauties there.</t>
  </si>
  <si>
    <t>118</t>
  </si>
  <si>
    <t>Steel Roller</t>
  </si>
  <si>
    <t>119</t>
  </si>
  <si>
    <t>Draco Meteor</t>
  </si>
  <si>
    <t>Viridian City's gym, from Clair after defeating her.</t>
  </si>
  <si>
    <t>(NOTE) After updating from a post-Clair save file, she'll give you the TM.</t>
  </si>
  <si>
    <t>120</t>
  </si>
  <si>
    <t>Ice Spinner</t>
  </si>
  <si>
    <t>Viridian City, on the other side of the small pond (Surf HM required).</t>
  </si>
  <si>
    <t>CLASS / NAME</t>
  </si>
  <si>
    <t>MOVE(S)</t>
  </si>
  <si>
    <t>COST</t>
  </si>
  <si>
    <r>
      <rPr>
        <rFont val="Sofia Sans Semi Condensed"/>
        <b/>
        <i/>
        <color theme="1"/>
        <sz val="13.0"/>
      </rPr>
      <t xml:space="preserve">Moves highlighted in </t>
    </r>
    <r>
      <rPr>
        <rFont val="Sofia Sans Semi Condensed"/>
        <b/>
        <i/>
        <color rgb="FFCC0000"/>
        <sz val="13.0"/>
      </rPr>
      <t>red</t>
    </r>
    <r>
      <rPr>
        <rFont val="Sofia Sans Semi Condensed"/>
        <b/>
        <i/>
        <color theme="1"/>
        <sz val="13.0"/>
      </rPr>
      <t xml:space="preserve"> aren't learnable on Restricted/Hardcore Mode.</t>
    </r>
  </si>
  <si>
    <r>
      <rPr>
        <rFont val="Sofia Sans Semi Condensed"/>
        <b/>
        <i/>
        <color theme="1"/>
        <sz val="13.0"/>
      </rPr>
      <t xml:space="preserve">Locations/Move Tutors highlighted in </t>
    </r>
    <r>
      <rPr>
        <rFont val="Sofia Sans Semi Condensed"/>
        <b/>
        <i/>
        <color rgb="FFCC0000"/>
        <sz val="13.0"/>
      </rPr>
      <t>red</t>
    </r>
    <r>
      <rPr>
        <rFont val="Sofia Sans Semi Condensed"/>
        <b/>
        <i/>
        <color theme="1"/>
        <sz val="13.0"/>
      </rPr>
      <t xml:space="preserve"> will disappear on Restricted/Hardcore Mode.</t>
    </r>
  </si>
  <si>
    <t>Viridian Forest</t>
  </si>
  <si>
    <t>Bug Catcher</t>
  </si>
  <si>
    <t>Bug Bite</t>
  </si>
  <si>
    <t>1 Oran Berry</t>
  </si>
  <si>
    <t>Cerulean City 
House next to Nugget Bridge</t>
  </si>
  <si>
    <t>Old Man</t>
  </si>
  <si>
    <t>Fire Fang</t>
  </si>
  <si>
    <t>Ice Fang</t>
  </si>
  <si>
    <t>Thunder Fang</t>
  </si>
  <si>
    <t>Vermilion City's Fanclub</t>
  </si>
  <si>
    <t>Tamer</t>
  </si>
  <si>
    <t>Flame Charge</t>
  </si>
  <si>
    <t>Trailblaze</t>
  </si>
  <si>
    <t>Power-Up Punch</t>
  </si>
  <si>
    <t>Charge Beam</t>
  </si>
  <si>
    <t>Work Up</t>
  </si>
  <si>
    <t>Hone Claws</t>
  </si>
  <si>
    <t>Pewter City's Museum
 (Requires Cut HM)</t>
  </si>
  <si>
    <t>Scientist</t>
  </si>
  <si>
    <t>Rock Polish</t>
  </si>
  <si>
    <t>Saffron City 
House left of Silph Co.</t>
  </si>
  <si>
    <t>Ace 
Trainer</t>
  </si>
  <si>
    <t>Drill Run</t>
  </si>
  <si>
    <t>Blaze Kick</t>
  </si>
  <si>
    <t>Pain Split</t>
  </si>
  <si>
    <t>Hex</t>
  </si>
  <si>
    <t>Mystical Fire</t>
  </si>
  <si>
    <t>Leaf Blade</t>
  </si>
  <si>
    <t>Power Gem</t>
  </si>
  <si>
    <t>Rock Blast</t>
  </si>
  <si>
    <t>Pin Missile</t>
  </si>
  <si>
    <t>Icicle Spear</t>
  </si>
  <si>
    <t>Tail Slap</t>
  </si>
  <si>
    <t>Body Slam</t>
  </si>
  <si>
    <t>Foul Play</t>
  </si>
  <si>
    <t>Alluring Voice</t>
  </si>
  <si>
    <t>Focus Punch</t>
  </si>
  <si>
    <t>Psychic Fangs</t>
  </si>
  <si>
    <t>Fuchsia City's 
Eastern Gate</t>
  </si>
  <si>
    <t>Super
Nerd</t>
  </si>
  <si>
    <t>Swords Dance</t>
  </si>
  <si>
    <t>Nasty Plot</t>
  </si>
  <si>
    <t>Bulk Up</t>
  </si>
  <si>
    <t>Calm Mind</t>
  </si>
  <si>
    <t>Meteor Beam</t>
  </si>
  <si>
    <t>Iron Defense</t>
  </si>
  <si>
    <t>Fuchsia City
Near the Kangaskhan</t>
  </si>
  <si>
    <t>Bug 
Catcher</t>
  </si>
  <si>
    <t>Substitute</t>
  </si>
  <si>
    <t>Cinnabar Island's 
Pokémon Lab
R&amp;D Room</t>
  </si>
  <si>
    <t>Sunny Day</t>
  </si>
  <si>
    <t>Rain Dance</t>
  </si>
  <si>
    <t>Snowscape</t>
  </si>
  <si>
    <t>Sandstorm</t>
  </si>
  <si>
    <t>Cinnabar Island's 
Pokémon Lab
Testing Room</t>
  </si>
  <si>
    <t>Power Whip</t>
  </si>
  <si>
    <t>10 000</t>
  </si>
  <si>
    <t>Bug Buzz</t>
  </si>
  <si>
    <t>Phantom Force</t>
  </si>
  <si>
    <t>Flare Blitz</t>
  </si>
  <si>
    <t>Stored Power</t>
  </si>
  <si>
    <t>Tailwind</t>
  </si>
  <si>
    <t>Megahorn</t>
  </si>
  <si>
    <t>Stealth Rock</t>
  </si>
  <si>
    <t>Spikes</t>
  </si>
  <si>
    <t>Toxic Spikes</t>
  </si>
  <si>
    <t>Solar Beam</t>
  </si>
  <si>
    <t>Solar Blade</t>
  </si>
  <si>
    <t>Victory Road 
By Raid Den, near exit</t>
  </si>
  <si>
    <t>Ace
Trainer</t>
  </si>
  <si>
    <t>Dragon Dance</t>
  </si>
  <si>
    <t>25 000 ($0 1st Time)</t>
  </si>
  <si>
    <t>Pallet Town
Player's house</t>
  </si>
  <si>
    <t>Mom</t>
  </si>
  <si>
    <t>Celebrate</t>
  </si>
  <si>
    <t>Two Island
Cape Brink</t>
  </si>
  <si>
    <t>Rachel</t>
  </si>
  <si>
    <t>Dark Hole</t>
  </si>
  <si>
    <t>0 (Only Once)</t>
  </si>
  <si>
    <t>Two Island
Joyful Game Corner</t>
  </si>
  <si>
    <t>Frenzy Plant</t>
  </si>
  <si>
    <t>Hydro Cannon</t>
  </si>
  <si>
    <t>Blast Burn</t>
  </si>
  <si>
    <t>SPECIAL MOVE TUTORS</t>
  </si>
  <si>
    <t>Cerulean City 
House next to Pokémart</t>
  </si>
  <si>
    <t>Pokémaniac</t>
  </si>
  <si>
    <t>Move Relearner</t>
  </si>
  <si>
    <t>0 (Win a Puzzle)</t>
  </si>
  <si>
    <t>Fuchsia City
House next to Pkmn Center</t>
  </si>
  <si>
    <t>Move Deleter</t>
  </si>
  <si>
    <t>Egg Move Tutor</t>
  </si>
  <si>
    <t>0 (Beat his Challenge)</t>
  </si>
  <si>
    <t>ITEM</t>
  </si>
  <si>
    <t>Pallet Town</t>
  </si>
  <si>
    <t>Potion [x1]</t>
  </si>
  <si>
    <t>Computer in player's house.</t>
  </si>
  <si>
    <t>Time Changer</t>
  </si>
  <si>
    <t>At Oak's Lab, left Aide rewards correct quiz answers.</t>
  </si>
  <si>
    <t>PokéDex</t>
  </si>
  <si>
    <t>From Professor Oak after bringing him the Parcel from Viridian City's Poké Mart.</t>
  </si>
  <si>
    <t>Poké Ball [x10]</t>
  </si>
  <si>
    <t>Town Map</t>
  </si>
  <si>
    <t>From Daisy in Rival's house after getting PokéDex from Oak.</t>
  </si>
  <si>
    <t>Eevium Z</t>
  </si>
  <si>
    <r>
      <rPr>
        <rFont val="Sofia Sans Semi Condensed"/>
        <b/>
        <color rgb="FFCC0000"/>
        <sz val="12.0"/>
      </rPr>
      <t>(POST-GAME)</t>
    </r>
    <r>
      <rPr>
        <rFont val="Sofia Sans Semi Condensed"/>
        <b/>
        <color theme="1"/>
        <sz val="12.0"/>
      </rPr>
      <t xml:space="preserve"> From Professor Oak after both battles. (Requires Z-Ring)</t>
    </r>
  </si>
  <si>
    <t>Route 1</t>
  </si>
  <si>
    <t>From the guy below the trees by the first ledge.</t>
  </si>
  <si>
    <t>Viridian City</t>
  </si>
  <si>
    <t>Repel [x1]</t>
  </si>
  <si>
    <t>In the narrow path on the north western side, behind a cut tree.</t>
  </si>
  <si>
    <t>Oak's Parcel</t>
  </si>
  <si>
    <t>In the Poké Mart, given to you by the clerk.</t>
  </si>
  <si>
    <t>Wise Glasses</t>
  </si>
  <si>
    <t>From the girl in the trainers school.</t>
  </si>
  <si>
    <t>Old Rod</t>
  </si>
  <si>
    <t>From a fisherman near a pond in the south west part of the city.</t>
  </si>
  <si>
    <t>Teachy TV</t>
  </si>
  <si>
    <t>From the old man north of the city after receiving PokéDex from Oak.</t>
  </si>
  <si>
    <t>Poké Vial</t>
  </si>
  <si>
    <t>From the Teacher in Trainers School after solving a puzzle battle.</t>
  </si>
  <si>
    <t>TM 120 - Ice Spinner</t>
  </si>
  <si>
    <t>At the other side of the small pond. (Surf HM required)</t>
  </si>
  <si>
    <t>TM 119 - Draco Meteor</t>
  </si>
  <si>
    <t>TM 072 - Draco Barrage</t>
  </si>
  <si>
    <r>
      <rPr>
        <rFont val="Sofia Sans Semi Condensed"/>
        <b/>
        <color rgb="FFCC0000"/>
        <sz val="12.0"/>
      </rPr>
      <t>(POST-GAME)</t>
    </r>
    <r>
      <rPr>
        <rFont val="Sofia Sans Semi Condensed"/>
        <b/>
        <color theme="1"/>
        <sz val="12.0"/>
      </rPr>
      <t xml:space="preserve"> From Clair after a rematch battle.</t>
    </r>
  </si>
  <si>
    <t>Route 22</t>
  </si>
  <si>
    <t>Scizorite</t>
  </si>
  <si>
    <t>In the middle of the Route in between the pond and a ledge. (Surf HM required)</t>
  </si>
  <si>
    <t>Route 2</t>
  </si>
  <si>
    <t>DexNav</t>
  </si>
  <si>
    <t>From Prof. Oak's Scientist upon entering the route.</t>
  </si>
  <si>
    <t>Ability Pill [x2]</t>
  </si>
  <si>
    <r>
      <rPr>
        <rFont val="Sofia Sans Semi Condensed"/>
        <b/>
        <color rgb="FF1155CC"/>
        <sz val="12.0"/>
      </rPr>
      <t>(HARDCORE)</t>
    </r>
    <r>
      <rPr>
        <rFont val="Sofia Sans Semi Condensed"/>
        <b/>
        <color theme="1"/>
        <sz val="12.0"/>
      </rPr>
      <t xml:space="preserve"> From Prof. Oak's Scientist upon entering the route.</t>
    </r>
  </si>
  <si>
    <t>Oran Berry [x10]</t>
  </si>
  <si>
    <t>HM 05 - Flash</t>
  </si>
  <si>
    <t>From Professor Oak's Aide in the south-eastern gate.
(accessed later from Viridian City or Cut HM required)</t>
  </si>
  <si>
    <t>TM 057 - Temper Flare</t>
  </si>
  <si>
    <t>Eastern side to the south. (Cut HM required)</t>
  </si>
  <si>
    <t>Orbeetlite</t>
  </si>
  <si>
    <t>Above Diglett's Cave. (Rock Smash HM required)</t>
  </si>
  <si>
    <t>Antidote [x1]</t>
  </si>
  <si>
    <t>Hidden just north of the western entrance.</t>
  </si>
  <si>
    <t>In the bottom right corner of the forest.</t>
  </si>
  <si>
    <t>In the top right area, near a Bug Catcher and a sign post.</t>
  </si>
  <si>
    <t>In the east part near a Bug Catcher, a bit further than where Brendan was.</t>
  </si>
  <si>
    <t>Hidden in grass near northern exit, where last Bug Catcher is looking.</t>
  </si>
  <si>
    <t>Exp. Share</t>
  </si>
  <si>
    <t>From Brendan, after defeating him in front of the southern gate.</t>
  </si>
  <si>
    <t>Stat Scanner</t>
  </si>
  <si>
    <t>Infinite Repel</t>
  </si>
  <si>
    <t>From Lass Anne, after defeating her.</t>
  </si>
  <si>
    <t>TM 015 - Electroweb</t>
  </si>
  <si>
    <t>Follow the small path at the end of the forest.</t>
  </si>
  <si>
    <t>TM 081 - X-Scissor</t>
  </si>
  <si>
    <t>Follow the small path at the end of the forest. (Rock Smash HM required)</t>
  </si>
  <si>
    <t>Butterfrite</t>
  </si>
  <si>
    <t>Diglett's Cave (Route 2)</t>
  </si>
  <si>
    <t>TM 046 - Thief</t>
  </si>
  <si>
    <t>Inside the cave.</t>
  </si>
  <si>
    <t>Pewter City</t>
  </si>
  <si>
    <t>From the dude near the Pokémon Center, if you don't have that item in your Bag.</t>
  </si>
  <si>
    <t>Nugget [x1]</t>
  </si>
  <si>
    <t>Hidden at top left corner of the city, on light green platform.</t>
  </si>
  <si>
    <t>TM 051 - Roost</t>
  </si>
  <si>
    <t>From Falkner in the museum after defeating him.</t>
  </si>
  <si>
    <t>TM 039 - Rock Tomb</t>
  </si>
  <si>
    <t>From Brock after defeating him.</t>
  </si>
  <si>
    <t>Dynamax Band</t>
  </si>
  <si>
    <t>From Prof. Oak's Scientist upon exiting the city eastward towards Route 3.</t>
  </si>
  <si>
    <t>Wishing Piece [x5]</t>
  </si>
  <si>
    <t>Old Amber</t>
  </si>
  <si>
    <t>From a Scientist in the museum behind the reception desk. (Cut HM required)</t>
  </si>
  <si>
    <t>Aerodactylite</t>
  </si>
  <si>
    <t>Requires Mega Ring - From Brock after defeating him in a rematch.</t>
  </si>
  <si>
    <t>TM 071 - Stone Edge</t>
  </si>
  <si>
    <t>Route 3</t>
  </si>
  <si>
    <t>Oran Berry [x1]</t>
  </si>
  <si>
    <t>Hidden near the Youngster in-between two ledges. (a darkened tile)</t>
  </si>
  <si>
    <t>TM 034 - Teleport</t>
  </si>
  <si>
    <t>In the south eastern corner of the Route, near the Raid Den.</t>
  </si>
  <si>
    <t>Thunder Stone [x1]</t>
  </si>
  <si>
    <t>In the grassy patch.</t>
  </si>
  <si>
    <t>Route 4 (West)</t>
  </si>
  <si>
    <t>Persim Berry [x1]</t>
  </si>
  <si>
    <t>Hidden in the top right area, left from Pokémon Center.</t>
  </si>
  <si>
    <t>Water Stone [x1]</t>
  </si>
  <si>
    <t>In the north western corner, left from Pokémon Center.</t>
  </si>
  <si>
    <t>Mt. Moon</t>
  </si>
  <si>
    <t>TM 009 - Bullet Seed</t>
  </si>
  <si>
    <t>1F, Bottom left area, left from the entrance.</t>
  </si>
  <si>
    <t>Paralyze Heal [x1]</t>
  </si>
  <si>
    <t>1F, Bottom left area, near the Bug Catcher.</t>
  </si>
  <si>
    <t>1F, Bottom right area, near the Super Nerd.</t>
  </si>
  <si>
    <t>Rare Candy [x1]</t>
  </si>
  <si>
    <t>1F, Bottom right corner.</t>
  </si>
  <si>
    <t>Escape Rope [x1]</t>
  </si>
  <si>
    <t>1F, Near the right side's wall, in the center.</t>
  </si>
  <si>
    <t>Muscle Band</t>
  </si>
  <si>
    <t>1F, From a guy in the top right corner, near the rocks.</t>
  </si>
  <si>
    <t>Moon Stone [x1]</t>
  </si>
  <si>
    <t>1F, Top left corner, near the Hiker.</t>
  </si>
  <si>
    <t>Star Piece [x1]</t>
  </si>
  <si>
    <t>B2F (1st Ladder), On the heightened platform.</t>
  </si>
  <si>
    <t>Scope Lens</t>
  </si>
  <si>
    <t>B2F (2nd Ladder), Northwest of tunnel ladder. (Rock Smash HM needed)</t>
  </si>
  <si>
    <t>Ether [x1]</t>
  </si>
  <si>
    <t>B2F (2nd Ladder), Hidden on rock east of tunnel ladder. (Rock Smash HM needed).</t>
  </si>
  <si>
    <t>Revive [x1]</t>
  </si>
  <si>
    <t>B2F (3rd Ladder), Top from the ladder you enter this basement from.</t>
  </si>
  <si>
    <t>TM 078 - Low Sweep</t>
  </si>
  <si>
    <t>B2F (3rd Ladder), Right from the 2nd Team Rocket Grunt.</t>
  </si>
  <si>
    <t>B2F (3rd Ladder), Hidden in the rock right above TM 078 - Low Sweep.</t>
  </si>
  <si>
    <t>Helix Fossil / Dome Fossil</t>
  </si>
  <si>
    <r>
      <t xml:space="preserve">B2F (3rd Ladder), In the top left area, after defeating Super Nerd. </t>
    </r>
    <r>
      <rPr>
        <rFont val="Sofia Sans Semi Condensed"/>
        <b/>
        <color theme="1"/>
        <sz val="10.0"/>
      </rPr>
      <t>(Can only pick one)</t>
    </r>
  </si>
  <si>
    <t>B2F (3rd Ladder), On the left side, near the exit ladder.</t>
  </si>
  <si>
    <t>Route 4 (East)</t>
  </si>
  <si>
    <t>Great Ball [x1]</t>
  </si>
  <si>
    <t>Hidden in-between the upper-left ledge and the wall facing it.</t>
  </si>
  <si>
    <t>TM 040 - Low Kick</t>
  </si>
  <si>
    <t>From the left Black Belt.</t>
  </si>
  <si>
    <t>Macho Brace</t>
  </si>
  <si>
    <t>From the right Black Belt. (you'll get 4 PP Ups if playing on MGM/HC mode)</t>
  </si>
  <si>
    <t>Sun Stone [x1]</t>
  </si>
  <si>
    <t>Below the 3 ledges.</t>
  </si>
  <si>
    <t>Razz Berry [x1]</t>
  </si>
  <si>
    <t>Hidden next to the previous Sun Stone. (a darkened tile)</t>
  </si>
  <si>
    <t>TM 005 - Roar</t>
  </si>
  <si>
    <t>Right from the two Black Belts, in between the multiple ledges.</t>
  </si>
  <si>
    <t>Mewtwonite Y</t>
  </si>
  <si>
    <t>From Giovanni after defeating him in Cerulean Cave.</t>
  </si>
  <si>
    <t>Salamencite</t>
  </si>
  <si>
    <t>From Lance after defeating Giovanni in Cerulean Cave.</t>
  </si>
  <si>
    <t>Cerulean City</t>
  </si>
  <si>
    <t>Bicycle</t>
  </si>
  <si>
    <t>In exchange for Bike Voucher. (Obtainable in Vermilion City)</t>
  </si>
  <si>
    <t>Punching Glove</t>
  </si>
  <si>
    <t>In the groomer's garden, in the 3rd flower.</t>
  </si>
  <si>
    <t>Hidden in the groomer's garden, right side below 3rd flower.</t>
  </si>
  <si>
    <t>Poké Rider</t>
  </si>
  <si>
    <t>From your rival, after defeating him near the Nugget Bridge.</t>
  </si>
  <si>
    <t>TM 003 - Flip Turn</t>
  </si>
  <si>
    <t>From Misty after defeating her.</t>
  </si>
  <si>
    <t>TM 028 - Dig</t>
  </si>
  <si>
    <t>From a Team Rocket Grunt behind the north eastern house.</t>
  </si>
  <si>
    <t>Gyaradosite</t>
  </si>
  <si>
    <t>Requires Mega Ring - From Misty after defeating her in a rematch.</t>
  </si>
  <si>
    <t>Route 24</t>
  </si>
  <si>
    <t>Big Nugget [x1]</t>
  </si>
  <si>
    <t>Reward from defeating Team Rocket Grunt at end of Nugget Bridge.</t>
  </si>
  <si>
    <t>TM 045 - Drain Kiss</t>
  </si>
  <si>
    <t>Above the Nugget Bridge.</t>
  </si>
  <si>
    <t>TM 077 - Thunder Punch</t>
  </si>
  <si>
    <t>Right of the Nugget Bridge, accessed from Route 25.</t>
  </si>
  <si>
    <t>Tyranitarite</t>
  </si>
  <si>
    <t>On a small islet to the left of the Nugget Bridge. (Surf HM required)</t>
  </si>
  <si>
    <t>Pecha Berry [x1]</t>
  </si>
  <si>
    <t>On the north eastern heightened platform, accessed from Route 25.</t>
  </si>
  <si>
    <t>Route 25</t>
  </si>
  <si>
    <t>Leaf Stone [x1]</t>
  </si>
  <si>
    <t>On the heightened platform, in the grass patch.</t>
  </si>
  <si>
    <t>TM 043 - Defog</t>
  </si>
  <si>
    <t>Hidden in grass maze near Camper &amp; Hiker. (Cut HM required)</t>
  </si>
  <si>
    <t>Bluk Berry [x1]</t>
  </si>
  <si>
    <t>Hidden on a darker grass tile above the Lass near the left pond.</t>
  </si>
  <si>
    <t>Hidden on a darker grass tile between a Hiker and a walking youngster.</t>
  </si>
  <si>
    <t>S.S. Ticket</t>
  </si>
  <si>
    <t>From Bill inside his cottage when you help him.</t>
  </si>
  <si>
    <t>TM 089 - U-Turn</t>
  </si>
  <si>
    <t>From Bugsy after defeating him.</t>
  </si>
  <si>
    <t>Nest Ball [x5]</t>
  </si>
  <si>
    <t>From Bugsy after defeating him</t>
  </si>
  <si>
    <t>Elixir [x1]</t>
  </si>
  <si>
    <t>Hidden at the start between Hiker &amp; Youngster, 1 tile left from beside Youngster.</t>
  </si>
  <si>
    <t>Hidden to the right of Bill's cottage, 4 tiles from the door.</t>
  </si>
  <si>
    <t>Route 5</t>
  </si>
  <si>
    <t>TM 096 - Bulldoze</t>
  </si>
  <si>
    <t>In the middle fenced area.</t>
  </si>
  <si>
    <t>Route 6</t>
  </si>
  <si>
    <t>Hidden in the north eastern area, right below the fence between the two ledges.</t>
  </si>
  <si>
    <t>Sitrus Berry [x1]</t>
  </si>
  <si>
    <t>Hidden on a darkened tile in the north western area.</t>
  </si>
  <si>
    <t>TM 063 - Venoshock</t>
  </si>
  <si>
    <t>In the north western corner.</t>
  </si>
  <si>
    <t>Pinsirite</t>
  </si>
  <si>
    <t>South of the pond. (Rock Smash HM or Surf HM required)</t>
  </si>
  <si>
    <t>Vermilion City</t>
  </si>
  <si>
    <t>Good Rod</t>
  </si>
  <si>
    <t>From a Fisherman in the house left of Pokémon Center.</t>
  </si>
  <si>
    <t>Max Ether [x1]</t>
  </si>
  <si>
    <t>Hidden in corner: Going 4 steps down from Pokémon Center door, then turn left.</t>
  </si>
  <si>
    <t>Bike Voucher</t>
  </si>
  <si>
    <t>From the Fan Club Chairman after listening to his story.</t>
  </si>
  <si>
    <t>From a girl in the Pokémon Fan Club if a Yamper is following you.</t>
  </si>
  <si>
    <t>Manectite</t>
  </si>
  <si>
    <t>Requires Mega Ring - From Lt. Surge after defeating him in a rematch.</t>
  </si>
  <si>
    <t>TM 092 - Volt Switch</t>
  </si>
  <si>
    <t>From Lt. Surge after defeating him once.</t>
  </si>
  <si>
    <t>Copperajite</t>
  </si>
  <si>
    <t>On islet below the Gym. (Surf HM required)</t>
  </si>
  <si>
    <t>Route 11</t>
  </si>
  <si>
    <t>Soft Sand [x1]</t>
  </si>
  <si>
    <t>In middle of the Route, in grass patch near old man and engineer.</t>
  </si>
  <si>
    <t>Fire Stone [x1]</t>
  </si>
  <si>
    <t>Below the Soft Sand item in the middle of the Route, in a grass patch.</t>
  </si>
  <si>
    <t>TM 098 - Fire Punch</t>
  </si>
  <si>
    <t>On the bottom right side in a narrow path, near the old man below the gate.</t>
  </si>
  <si>
    <t>Hidden in the top right side in a stone.</t>
  </si>
  <si>
    <t>Eviolite</t>
  </si>
  <si>
    <t>From Whitney after defeating her.</t>
  </si>
  <si>
    <t>Normal Gem</t>
  </si>
  <si>
    <t>Itemfinder</t>
  </si>
  <si>
    <t>From a Scientist in the gate upstairs.</t>
  </si>
  <si>
    <t>S.S. Anne</t>
  </si>
  <si>
    <t>Hyper Potion [x1]</t>
  </si>
  <si>
    <t>Basement floor's hallway, hidden in the trash can just under the stairs.</t>
  </si>
  <si>
    <t>Basement floor's second room from the left with the singler sailor inside.</t>
  </si>
  <si>
    <t>Basement floor's third room from the left with the single sailor inside.</t>
  </si>
  <si>
    <t>Super Potion [x1]</t>
  </si>
  <si>
    <t>Basement floor's first room from the right with the guy and a Chesnaught inside.</t>
  </si>
  <si>
    <t>TM 031 - Brick Break</t>
  </si>
  <si>
    <t>First floor's second room from the left with 2 people inside.</t>
  </si>
  <si>
    <t>In the kitchen, bottom left corner.</t>
  </si>
  <si>
    <t>Chesto Berry [x1]</t>
  </si>
  <si>
    <t>In the kitchen, hidden in the bottom trash can on the right.</t>
  </si>
  <si>
    <t>Cheri Berry [x1]</t>
  </si>
  <si>
    <t>In the kitchen, hidden in the middle trash can on the right.</t>
  </si>
  <si>
    <t>In the kitchen, hidden in the top trash can on the right.</t>
  </si>
  <si>
    <t>Stardust [x1]</t>
  </si>
  <si>
    <t>Second floor's second room from the left with the Fisherman inside.</t>
  </si>
  <si>
    <t>TM 069 - Stomping Tantrum</t>
  </si>
  <si>
    <t>Second floor's third room from the right with Gentleman and Lass inside.</t>
  </si>
  <si>
    <t>Lucky Egg [x2]</t>
  </si>
  <si>
    <t>From Brendan, after defeating him near the Captain's room.</t>
  </si>
  <si>
    <t>Shiny Stone [x1]</t>
  </si>
  <si>
    <t>HM 01 - Cut</t>
  </si>
  <si>
    <t>Captain's room, given to you by the Captain himself.</t>
  </si>
  <si>
    <t>Diglett's Cave (Route 11)</t>
  </si>
  <si>
    <t>TM 044 - Rest</t>
  </si>
  <si>
    <t>On the northern side, close to the raid den.</t>
  </si>
  <si>
    <t>Route 9</t>
  </si>
  <si>
    <t>TM 101 - Ice Punch</t>
  </si>
  <si>
    <t>In the bottom left corner, near the Hiker.</t>
  </si>
  <si>
    <t>Burn Heal [x1]</t>
  </si>
  <si>
    <t>In the bottom right corner, near another Hiker.</t>
  </si>
  <si>
    <t>Hidden on a rock in the top west corner, directly next to the top ledge.</t>
  </si>
  <si>
    <t>Hidden in the top right area on a darkened spot near the Hiker and Bug Catcher.</t>
  </si>
  <si>
    <t>Hidden in northeast corner of the Route, 2 tiles above the northeastern ledge.</t>
  </si>
  <si>
    <t>Route 10</t>
  </si>
  <si>
    <t>Everstone</t>
  </si>
  <si>
    <t>From Professor Oak's Scientist.</t>
  </si>
  <si>
    <t>In the bottom right corner of the fence.</t>
  </si>
  <si>
    <t>In a darkened tile 3 steps away from the Picnicker.</t>
  </si>
  <si>
    <t>Hidden one tile left of Pokémon Center, southeast corner of Rock Tunnel.</t>
  </si>
  <si>
    <t>TM 042 - Facade</t>
  </si>
  <si>
    <t>On the Route's south side, to the right from the entrance of the Rock Tunnel.</t>
  </si>
  <si>
    <t>Nanab Berry [x1]</t>
  </si>
  <si>
    <t>Hidden on south side of Route, left from TM 042 - Facade, in darkened grass.</t>
  </si>
  <si>
    <t>TM 099 - Wild Charge</t>
  </si>
  <si>
    <t>Hidden in front of the Power Plant's south eastern-most tile. (Surf HM required)</t>
  </si>
  <si>
    <t>Hidden in front of Power Plant's southeast corner, with TM 099 (Surf HM required).</t>
  </si>
  <si>
    <t>Rock Tunnel</t>
  </si>
  <si>
    <t>To the right from the northern entrance.</t>
  </si>
  <si>
    <t>B1F, in the dead-end path left of the Pokémaniac.</t>
  </si>
  <si>
    <t>1F, in the room with 3 Hikers.</t>
  </si>
  <si>
    <t>Coalossite</t>
  </si>
  <si>
    <t>B1F, in room with northeast crossroads. (Rock Smash HM needed)</t>
  </si>
  <si>
    <t>TM 080 - Rock Slide</t>
  </si>
  <si>
    <t>B1F, from a youngster in the room with multiple crossroads.</t>
  </si>
  <si>
    <t>B1F, above a Picnicker in the room with multiple crossroads</t>
  </si>
  <si>
    <t>TM 023 - Iron Head</t>
  </si>
  <si>
    <t>1F, Lavender Town side room, dead-end path between one Picnicker left, two right.</t>
  </si>
  <si>
    <t>Safety Goggles</t>
  </si>
  <si>
    <t>Obtainable from follower Pokémon: rock, ground, or steel type, upon interaction.</t>
  </si>
  <si>
    <t>Flyinium Z</t>
  </si>
  <si>
    <r>
      <rPr>
        <rFont val="Sofia Sans Semi Condensed"/>
        <b/>
        <color rgb="FFCC0000"/>
        <sz val="12.0"/>
      </rPr>
      <t>(POST-GAME)</t>
    </r>
    <r>
      <rPr>
        <rFont val="Sofia Sans Semi Condensed"/>
        <b/>
        <color theme="1"/>
        <sz val="12.0"/>
      </rPr>
      <t xml:space="preserve"> </t>
    </r>
    <r>
      <rPr>
        <rFont val="Sofia Sans Semi Condensed"/>
        <b/>
        <color theme="1"/>
        <sz val="11.0"/>
      </rPr>
      <t>Access Rock Tunnel near Power Plant; rewarded by Falkner after rematch.</t>
    </r>
  </si>
  <si>
    <t>Steel Gem</t>
  </si>
  <si>
    <r>
      <rPr>
        <rFont val="Sofia Sans Semi Condensed"/>
        <b/>
        <color rgb="FFCC0000"/>
        <sz val="12.0"/>
      </rPr>
      <t>(POST-GAME)</t>
    </r>
    <r>
      <rPr>
        <rFont val="Sofia Sans Semi Condensed"/>
        <b/>
        <color theme="1"/>
        <sz val="12.0"/>
      </rPr>
      <t xml:space="preserve"> </t>
    </r>
    <r>
      <rPr>
        <rFont val="Sofia Sans Semi Condensed"/>
        <b/>
        <color theme="1"/>
        <sz val="11.0"/>
      </rPr>
      <t>Access Rock Tunnel from Power Plant entrance; north room, push boulder.</t>
    </r>
  </si>
  <si>
    <t>TM 103 - Sludge Wave</t>
  </si>
  <si>
    <r>
      <rPr>
        <rFont val="Sofia Sans Semi Condensed"/>
        <b/>
        <color rgb="FFCC0000"/>
        <sz val="12.0"/>
      </rPr>
      <t>(POST-GAME)</t>
    </r>
    <r>
      <rPr>
        <rFont val="Sofia Sans Semi Condensed"/>
        <b/>
        <color theme="1"/>
        <sz val="12.0"/>
      </rPr>
      <t xml:space="preserve"> Rock Tunnel near Power Plant entrance, east after first switch.</t>
    </r>
  </si>
  <si>
    <t>Lavender Town</t>
  </si>
  <si>
    <t>TM 030 - Shadow Ball</t>
  </si>
  <si>
    <t>From Morty in Fuji's house after defeating him.</t>
  </si>
  <si>
    <t>Soothe Bell</t>
  </si>
  <si>
    <t>From Morty in Fuji's house after defeating him</t>
  </si>
  <si>
    <t>Shed Shell</t>
  </si>
  <si>
    <t>Poké Flute</t>
  </si>
  <si>
    <t>From Fuji in his house after defeating all Pokémon Tower grunts and saving him.</t>
  </si>
  <si>
    <t>Gengarite</t>
  </si>
  <si>
    <t>From Morty in Fuji's house after showing a Pokémon with max happiness post Mega Ring.</t>
  </si>
  <si>
    <t>Route 12 (Upper Area)</t>
  </si>
  <si>
    <t>TM 027 - Return</t>
  </si>
  <si>
    <t>In the northern gate, received from a girl upstairs.</t>
  </si>
  <si>
    <t>TM 048 - Hurricane</t>
  </si>
  <si>
    <t>On a small islet between some bridges. (Surf HM required)</t>
  </si>
  <si>
    <t>Hidden on a wooden platform near the 3rd Fisherman starting from north.</t>
  </si>
  <si>
    <t>Route 8</t>
  </si>
  <si>
    <t>Rawst Berry [x1]</t>
  </si>
  <si>
    <t>Hidden in the fenced area in the middle, on a darkened tile in the top right.</t>
  </si>
  <si>
    <t>Lum Berry [x1]</t>
  </si>
  <si>
    <t>Hidden in the fenced area in the middle, on a darkened tile in the top left.</t>
  </si>
  <si>
    <t>Leppa Berry [x1]</t>
  </si>
  <si>
    <t>Hidden in the fenced area in the middle, on a darkened tile in the bottom right.</t>
  </si>
  <si>
    <t>TM 106 - Acrobatics</t>
  </si>
  <si>
    <t>Western side of the Route, between the two ledges below the old man.</t>
  </si>
  <si>
    <t>Rocky Helmet</t>
  </si>
  <si>
    <t>From an Ace Trainer, after defeating him. (Requires Mega Ring)</t>
  </si>
  <si>
    <t>Centiskite</t>
  </si>
  <si>
    <t>Underground Path (Route 7 - Route 8)</t>
  </si>
  <si>
    <t>TM 104 - Psyshock</t>
  </si>
  <si>
    <r>
      <rPr>
        <rFont val="Sofia Sans Semi Condensed"/>
        <b/>
        <color rgb="FF1155CC"/>
        <sz val="12.0"/>
      </rPr>
      <t xml:space="preserve">(DEFAULT MODE ONLY) </t>
    </r>
    <r>
      <rPr>
        <rFont val="Sofia Sans Semi Condensed"/>
        <b/>
        <color theme="1"/>
        <sz val="12.0"/>
      </rPr>
      <t>On the left side, near the stairs.</t>
    </r>
  </si>
  <si>
    <t>Route 7</t>
  </si>
  <si>
    <t>Wepear Berry [x1]</t>
  </si>
  <si>
    <t>Hidden on a darkened tile just south of the gate/east of the underground path.</t>
  </si>
  <si>
    <t>TM 062 - Iron Tail</t>
  </si>
  <si>
    <t>In the grass patch's north eastern corner</t>
  </si>
  <si>
    <t>Celadon City</t>
  </si>
  <si>
    <t>Lucarionite</t>
  </si>
  <si>
    <t>From Lucario owner at Pokémon Center with Lucario follower (Soul Badge required).</t>
  </si>
  <si>
    <t>Loaded Dice</t>
  </si>
  <si>
    <t>In top left corner, behind Department Store via narrow path left of Pokémon Center.</t>
  </si>
  <si>
    <t>Tea</t>
  </si>
  <si>
    <t>Celadon Mansion, from the granny sitting behind the table on the 1st floor.</t>
  </si>
  <si>
    <t>Amulet Coin</t>
  </si>
  <si>
    <t>Celadon Mansion, from the tamer on the 2nd floor, sitting on a bench with camper.</t>
  </si>
  <si>
    <t>PP Up [x1]</t>
  </si>
  <si>
    <t>Hidden in narrow pathway east of Game Corner, between trees.</t>
  </si>
  <si>
    <t>Light Clay</t>
  </si>
  <si>
    <r>
      <rPr>
        <rFont val="Sofia Sans Semi Condensed"/>
        <b/>
        <color rgb="FF1155CC"/>
        <sz val="12.0"/>
      </rPr>
      <t>(DEFAULT MODE ONLY)</t>
    </r>
    <r>
      <rPr>
        <rFont val="Sofia Sans Semi Condensed"/>
        <b/>
        <color theme="1"/>
        <sz val="12.0"/>
      </rPr>
      <t xml:space="preserve"> Across pond in front (Surf HM needed).</t>
    </r>
  </si>
  <si>
    <t>From guy in restaurant, top left behind table.</t>
  </si>
  <si>
    <t>Alakazite</t>
  </si>
  <si>
    <t>Department Store's rooftop, from a little girl sitting behind the desk.</t>
  </si>
  <si>
    <t>TM 019 - Giga Drain</t>
  </si>
  <si>
    <t>From Erika after defeating her.</t>
  </si>
  <si>
    <t>TM 086 - Grass Knot</t>
  </si>
  <si>
    <t>Requires Mega Ring - Erika rematch reward after aiding her Gloom in Fuchsia City.</t>
  </si>
  <si>
    <t>TM 117 - Brave Bird</t>
  </si>
  <si>
    <t>In the hotel, after getting Mega Ring and defeating some folks in there.</t>
  </si>
  <si>
    <t>Applite</t>
  </si>
  <si>
    <t>In the hotel, after getting Mega Ring and defeating some folks in there</t>
  </si>
  <si>
    <t>Red Card</t>
  </si>
  <si>
    <t>In Erika's gym, obtainable from follower Pokémon: fire and/or flying type, upon interaction.</t>
  </si>
  <si>
    <t>Rocket Hideout</t>
  </si>
  <si>
    <t>Dream Patch [x1]</t>
  </si>
  <si>
    <t>B1F, on the table in the room on the left side of the floor under a single grunt.</t>
  </si>
  <si>
    <t>B1F, hidden in the bottom right palm tree in the middle of the floor.</t>
  </si>
  <si>
    <t>TM 105 - Psychic Noise</t>
  </si>
  <si>
    <t>B3F, near a generator just below the stairs, near a single grunt.</t>
  </si>
  <si>
    <t>B3F, hidden under a generator in the top left side.</t>
  </si>
  <si>
    <t>B3F, on the right side of the warp maze.</t>
  </si>
  <si>
    <t>Black Glasses</t>
  </si>
  <si>
    <t>B3F, in the south east part of the room, near a stair case.</t>
  </si>
  <si>
    <t>B4F, on a table near the stair case accessed from B3F.</t>
  </si>
  <si>
    <t>TM 049 - Leech Life</t>
  </si>
  <si>
    <t>B4F, above the previous Max Ether, near a single Rocket Grunt, accessed from B3F.</t>
  </si>
  <si>
    <t>Lift Key</t>
  </si>
  <si>
    <t>B4F, dropped by lone Rocket Grunt near TM 049, accessed from B3F.</t>
  </si>
  <si>
    <t>Wide Lens</t>
  </si>
  <si>
    <t>B2F, northeast of warp maze, left of staircase from previous floor.</t>
  </si>
  <si>
    <t>B2F, inside the warp maze, in the north west area.</t>
  </si>
  <si>
    <t>TM 012 - Taunt</t>
  </si>
  <si>
    <t>B2F, within warp maze, south-east of previous Moon Stone.</t>
  </si>
  <si>
    <t>B2F, inside the warp maze, on the far left side of it.</t>
  </si>
  <si>
    <t>B1F, in the top left corner of the room accessed from the B3F warp maze stair case.</t>
  </si>
  <si>
    <t>Calcium [x1]</t>
  </si>
  <si>
    <t>B4F, on a table left of the elevator.</t>
  </si>
  <si>
    <t>Net Ball [x1]</t>
  </si>
  <si>
    <t>B4F, hidden in between flowers in Giovanni's Room on the left side.</t>
  </si>
  <si>
    <t>Nest Ball [x1]</t>
  </si>
  <si>
    <t>B4F, hidden in between flowers in Giovanni's Room on the right side.</t>
  </si>
  <si>
    <t>Silph Scope</t>
  </si>
  <si>
    <t>B4F, dropped by Giovanni in his room after defeating him.</t>
  </si>
  <si>
    <t>Pokémon Tower</t>
  </si>
  <si>
    <t>Sablenite</t>
  </si>
  <si>
    <t>3F, north east area.</t>
  </si>
  <si>
    <t>4F, directly left of the stair case you came from 3F.</t>
  </si>
  <si>
    <t>Awakening [x1]</t>
  </si>
  <si>
    <t>4F, in the middle of the room, left of the previous Elixir.</t>
  </si>
  <si>
    <t>4F, in the bottom of the room.</t>
  </si>
  <si>
    <t>Cleanse Tag</t>
  </si>
  <si>
    <t>5F, in the middle of the room on the healing platform.</t>
  </si>
  <si>
    <t>Big Mushroom [x1]</t>
  </si>
  <si>
    <t>5F, hidden in the top left corner.</t>
  </si>
  <si>
    <t>5F, in the bottom left of the room.</t>
  </si>
  <si>
    <t>TM 061 - Will-O-Wisp</t>
  </si>
  <si>
    <t>6F, in the bottom right of the room.</t>
  </si>
  <si>
    <t>6F, in the bottom left of the room.</t>
  </si>
  <si>
    <t>Reaper Cloth</t>
  </si>
  <si>
    <t>6F, in the north western part of the room. (Rock Smash HM Required)</t>
  </si>
  <si>
    <t>Thick Club</t>
  </si>
  <si>
    <t>Requires Silph Scope - 6F, dropped from the Marowak boss after defeating it.</t>
  </si>
  <si>
    <t>Ghost Gem</t>
  </si>
  <si>
    <r>
      <rPr>
        <rFont val="Sofia Sans Semi Condensed"/>
        <b/>
        <color rgb="FFCC0000"/>
        <sz val="12.0"/>
      </rPr>
      <t>(POST-GAME)</t>
    </r>
    <r>
      <rPr>
        <rFont val="Sofia Sans Semi Condensed"/>
        <b/>
        <color theme="1"/>
        <sz val="12.0"/>
      </rPr>
      <t xml:space="preserve"> Southwest of Gengar puzzle room atop Tower. (Z-Ring required)</t>
    </r>
  </si>
  <si>
    <t>Mimikium Z</t>
  </si>
  <si>
    <r>
      <rPr>
        <rFont val="Sofia Sans Semi Condensed"/>
        <b/>
        <color rgb="FFCC0000"/>
        <sz val="12.0"/>
      </rPr>
      <t>(POST-GAME)</t>
    </r>
    <r>
      <rPr>
        <rFont val="Sofia Sans Semi Condensed"/>
        <b/>
        <color theme="1"/>
        <sz val="12.0"/>
      </rPr>
      <t xml:space="preserve"> South of Gengar puzzle room atop Tower. (Z-Ring required)</t>
    </r>
  </si>
  <si>
    <t>Ghostium Z</t>
  </si>
  <si>
    <r>
      <rPr>
        <rFont val="Sofia Sans Semi Condensed"/>
        <b/>
        <color rgb="FFCC0000"/>
        <sz val="12.0"/>
      </rPr>
      <t>(POST-GAME)</t>
    </r>
    <r>
      <rPr>
        <rFont val="Sofia Sans Semi Condensed"/>
        <b/>
        <color theme="1"/>
        <sz val="12.0"/>
      </rPr>
      <t xml:space="preserve"> From Morty atop Tower after trial defeat. (Z-Ring required)</t>
    </r>
  </si>
  <si>
    <t>Marshadium Z</t>
  </si>
  <si>
    <r>
      <rPr>
        <rFont val="Sofia Sans Semi Condensed"/>
        <b/>
        <color rgb="FFCC0000"/>
        <sz val="12.0"/>
      </rPr>
      <t>(POST-GAME)</t>
    </r>
    <r>
      <rPr>
        <rFont val="Sofia Sans Semi Condensed"/>
        <b/>
        <color theme="1"/>
        <sz val="12.0"/>
      </rPr>
      <t xml:space="preserve"> Dropped by Marshadow after Tower battle. (Z-Ring required)</t>
    </r>
  </si>
  <si>
    <t>Saffron City</t>
  </si>
  <si>
    <t>TM 029 - Psychic</t>
  </si>
  <si>
    <t>From Mr. Psychic in his house in the south east part of the city.</t>
  </si>
  <si>
    <t>TM 060 - Drain Punch</t>
  </si>
  <si>
    <t>From Chuck after defeating him in the Dojo.</t>
  </si>
  <si>
    <t>Expert Belt</t>
  </si>
  <si>
    <t>Mega Ring</t>
  </si>
  <si>
    <t>From President's assistant after defeating Giovanni in Silph Co., near gym.</t>
  </si>
  <si>
    <t>TM 116 - Trick Room</t>
  </si>
  <si>
    <r>
      <rPr>
        <rFont val="Sofia Sans Semi Condensed"/>
        <b/>
        <color rgb="FF1155CC"/>
        <sz val="12.0"/>
      </rPr>
      <t>(REGULAR MODE)</t>
    </r>
    <r>
      <rPr>
        <rFont val="Sofia Sans Semi Condensed"/>
        <b/>
        <color theme="1"/>
        <sz val="12.0"/>
      </rPr>
      <t xml:space="preserve"> From Sabrina after defeating her.</t>
    </r>
  </si>
  <si>
    <r>
      <rPr>
        <rFont val="Sofia Sans Semi Condensed"/>
        <b/>
        <color rgb="FF1155CC"/>
        <sz val="12.0"/>
      </rPr>
      <t>(HARDCORE MODE)</t>
    </r>
    <r>
      <rPr>
        <rFont val="Sofia Sans Semi Condensed"/>
        <b/>
        <color theme="1"/>
        <sz val="12.0"/>
      </rPr>
      <t xml:space="preserve"> From Sabrina after defeating her.</t>
    </r>
  </si>
  <si>
    <t>Shiny Charm</t>
  </si>
  <si>
    <r>
      <rPr>
        <rFont val="Sofia Sans Semi Condensed"/>
        <b/>
        <color theme="1"/>
        <sz val="12.0"/>
      </rPr>
      <t xml:space="preserve">From Sabrina after defeating her and showing her a Pokémon with 31 IVs in all stats.
</t>
    </r>
    <r>
      <rPr>
        <rFont val="Sofia Sans Semi Condensed"/>
        <b/>
        <color rgb="FF1155CC"/>
        <sz val="12.0"/>
      </rPr>
      <t>(MGM/HARDCORE MODE)</t>
    </r>
    <r>
      <rPr>
        <rFont val="Sofia Sans Semi Condensed"/>
        <b/>
        <color theme="1"/>
        <sz val="12.0"/>
      </rPr>
      <t xml:space="preserve"> A Shiny Pokemon.</t>
    </r>
  </si>
  <si>
    <t>Galladite</t>
  </si>
  <si>
    <r>
      <rPr>
        <rFont val="Sofia Sans Semi Condensed"/>
        <b/>
        <color theme="1"/>
        <sz val="12.0"/>
      </rPr>
      <t xml:space="preserve">Requires Mega Ring - From Chuck after defeating him and showing him a Pokémon 
with at least 150 EVs in Attack. </t>
    </r>
    <r>
      <rPr>
        <rFont val="Sofia Sans Semi Condensed"/>
        <b/>
        <color rgb="FF1155CC"/>
        <sz val="12.0"/>
      </rPr>
      <t>(MGM/HARDCORE MODE)</t>
    </r>
    <r>
      <rPr>
        <rFont val="Sofia Sans Semi Condensed"/>
        <b/>
        <color theme="1"/>
        <sz val="12.0"/>
      </rPr>
      <t xml:space="preserve"> 125 Base Attack.</t>
    </r>
  </si>
  <si>
    <t>Focus Sash</t>
  </si>
  <si>
    <r>
      <rPr>
        <rFont val="Sofia Sans Semi Condensed"/>
        <b/>
        <color theme="1"/>
        <sz val="12.0"/>
      </rPr>
      <t xml:space="preserve">Requires Mega Ring - From Chuck after defeating him and showing him a Pokémon 
with at least 150 EVs in Attack. </t>
    </r>
    <r>
      <rPr>
        <rFont val="Sofia Sans Semi Condensed"/>
        <b/>
        <color rgb="FF1155CC"/>
        <sz val="12.0"/>
      </rPr>
      <t>(MGM/HARDCORE MODE)</t>
    </r>
    <r>
      <rPr>
        <rFont val="Sofia Sans Semi Condensed"/>
        <b/>
        <color theme="1"/>
        <sz val="12.0"/>
      </rPr>
      <t xml:space="preserve"> 125 Base Attack.</t>
    </r>
  </si>
  <si>
    <t>Alcremite</t>
  </si>
  <si>
    <t>From a woman in the western house, after getting her ingredients for a cake.
[x1 Rawst Berry, x1 Aspear Berry, x2 Moomoo Milk]</t>
  </si>
  <si>
    <t>Metronome</t>
  </si>
  <si>
    <t>TM 026 - Earthquake</t>
  </si>
  <si>
    <t>From the Dumbass Mudkip Kid in the north-western house after battling him.</t>
  </si>
  <si>
    <t>Swampertite</t>
  </si>
  <si>
    <t>From the Dumbass Mudkip Kid in the north-western house after battling him then 
showing him a Swampert follower.</t>
  </si>
  <si>
    <t>Hidden near the PC in the Copycat's room, in the north-western house.</t>
  </si>
  <si>
    <t>Waterium Z</t>
  </si>
  <si>
    <r>
      <rPr>
        <rFont val="Sofia Sans Semi Condensed"/>
        <b/>
        <color rgb="FFCC0000"/>
        <sz val="12.0"/>
      </rPr>
      <t>(POST-GAME)</t>
    </r>
    <r>
      <rPr>
        <rFont val="Sofia Sans Semi Condensed"/>
        <b/>
        <color theme="1"/>
        <sz val="12.0"/>
      </rPr>
      <t xml:space="preserve"> From the Dumbass Mudkip Kid in the north-western house after a 
rematch battle (Requires Z-Ring)</t>
    </r>
  </si>
  <si>
    <t>Protective Pads</t>
  </si>
  <si>
    <t>In Fighting Dojo, obtainable from follower Pokémon if it's Fighting type upon interaction.</t>
  </si>
  <si>
    <t>Silph Co.</t>
  </si>
  <si>
    <t>TM 010 - Hidden Power</t>
  </si>
  <si>
    <t>1F, in the upper right corner behind a plant.</t>
  </si>
  <si>
    <t>TM 073 - Thunder Wave</t>
  </si>
  <si>
    <t>2F, from girl in top left room; key card or warp tile near 3F stairs.</t>
  </si>
  <si>
    <t>Ultra Ball [x1]</t>
  </si>
  <si>
    <t>2F, hidden in the bottom palm tree of the bottom left room with a single Scientist 
(Keycard required or warp tile from 6F)</t>
  </si>
  <si>
    <t>Protein [x1]</t>
  </si>
  <si>
    <t>3F, hidden in the middle palm tree at the bottom right of the floor.</t>
  </si>
  <si>
    <t>3F, in the western-most room with a single Scientist 
(Keycard required, warp tile from 9F also requires Keycard)</t>
  </si>
  <si>
    <t>Iron [x1]</t>
  </si>
  <si>
    <t>4F, hidden in the bottom flower in the right room with a single grunt.</t>
  </si>
  <si>
    <t>TM 041 - Liquidation</t>
  </si>
  <si>
    <t>4F, on a table in the right room with a single grunt.</t>
  </si>
  <si>
    <t>Full Heal [x1]</t>
  </si>
  <si>
    <t>4F, in the room on the far left side. (Keycard required)</t>
  </si>
  <si>
    <t>Max Revive [x1]</t>
  </si>
  <si>
    <t>Garbodorite</t>
  </si>
  <si>
    <t>Card Key</t>
  </si>
  <si>
    <t>5F, in the bottom of the room in a narrow hallway.</t>
  </si>
  <si>
    <t>5F, hidden in east room, top right corner palm tree.</t>
  </si>
  <si>
    <t>5F, hidden in palm tree in small room connected to east room (Keycard needed).</t>
  </si>
  <si>
    <t>5F, in the top room on the left side with a single Scientist. (Keycard required)</t>
  </si>
  <si>
    <t>TM 115 - Body Press</t>
  </si>
  <si>
    <t>5F, in the south room on the west side. (Keycard required)</t>
  </si>
  <si>
    <t>Carbos [x1]</t>
  </si>
  <si>
    <t>6F, hidden in the bottom left palm tree in the top left room.</t>
  </si>
  <si>
    <t>HP Up [x1]</t>
  </si>
  <si>
    <t>6F, top item in the bottom left room. (Keycard required)</t>
  </si>
  <si>
    <t>Audinite</t>
  </si>
  <si>
    <t>6F, bottom item in the bottom left room. (Keycard required)</t>
  </si>
  <si>
    <t>Zinc [x1]</t>
  </si>
  <si>
    <t>7F, hidden in the bottom palm tree in the middle-right room. (Keycard required)</t>
  </si>
  <si>
    <t>TM 008 - Zen Headbutt</t>
  </si>
  <si>
    <t>7F, in the middle-right room. (Keycard required)</t>
  </si>
  <si>
    <t>Kangaskhanite</t>
  </si>
  <si>
    <t>7F, in the bottom left area of the floor, near a Scientist.</t>
  </si>
  <si>
    <t>8F, in the right room with a single Scientist.</t>
  </si>
  <si>
    <t>8F, hidden on the top flower in the right room with a single Scientist.</t>
  </si>
  <si>
    <t>Max Potion [x1]</t>
  </si>
  <si>
    <t>9F, hidden in the left part of the floor, to the east of the woman that heals you,
at the spot of a "missing" shelve. (Keycard required)</t>
  </si>
  <si>
    <t>Calcium x1</t>
  </si>
  <si>
    <t>9F, hidden on right palm tree, left floor near healing woman. (Keycard needed)</t>
  </si>
  <si>
    <t>10F, hidden in the palm tree in the upper right room.</t>
  </si>
  <si>
    <t>10F, right item in the bottom left room.</t>
  </si>
  <si>
    <t>10F, bottom item in the bottom left room.</t>
  </si>
  <si>
    <t>10F, left item in the bottom left room.</t>
  </si>
  <si>
    <t>11F, in the bottom right part of the floor, below a grunt.</t>
  </si>
  <si>
    <t>11F, hidden in the middle palm tree in front of President's room, 
accessed by a warp tile from 7F, which is accessed from 3F. (Keycard required)</t>
  </si>
  <si>
    <t>TM 068 - Dual Chop</t>
  </si>
  <si>
    <t>From Brendan after defeating the Rocket Admins.</t>
  </si>
  <si>
    <t>Master Ball [x1]</t>
  </si>
  <si>
    <t>11F, from the President in his room after defeating Giovanni.</t>
  </si>
  <si>
    <t>Up-Grade</t>
  </si>
  <si>
    <t>Needs Silph Scope upgrade - Secret Area, northwest corner of spinny puzzle room.</t>
  </si>
  <si>
    <t>Route 16</t>
  </si>
  <si>
    <t>HM 02 - Fly</t>
  </si>
  <si>
    <t>From girl in top left house, accessed via northern gate from Celadon City exit.</t>
  </si>
  <si>
    <t>TM 100 - Dual Wingbeat</t>
  </si>
  <si>
    <t>In the north western corner of the Route, left of the house with HM 02.</t>
  </si>
  <si>
    <t>Leftovers</t>
  </si>
  <si>
    <t>Use Itemfinder Key Item on the exact spot Snorlax was on.</t>
  </si>
  <si>
    <t>Venusaurite</t>
  </si>
  <si>
    <t>Upstairs in northern gate on Route 16, from Scientist upon showing Venusaur.</t>
  </si>
  <si>
    <t>Charizardite X/Y</t>
  </si>
  <si>
    <t>Upstairs in northern gate on Route 16, from Scientist upon showing Charizard.
(Y if in Hardcore mode, else X)</t>
  </si>
  <si>
    <t>Blastoisinite</t>
  </si>
  <si>
    <t>Upstairs in northern gate on Route 16, from Scientist upon showing Blastoise.</t>
  </si>
  <si>
    <t>Tri-Pass</t>
  </si>
  <si>
    <r>
      <rPr>
        <rFont val="Sofia Sans Semi Condensed"/>
        <b/>
        <color rgb="FFCC0000"/>
        <sz val="12.0"/>
      </rPr>
      <t xml:space="preserve">(POST-GAME) </t>
    </r>
    <r>
      <rPr>
        <rFont val="Sofia Sans Semi Condensed"/>
        <b/>
        <color theme="1"/>
        <sz val="12.0"/>
      </rPr>
      <t>From girl in small house, accessed from northern gate; 
given after defeating all trainers she suggests and obtaining Gengarite from Morty.</t>
    </r>
  </si>
  <si>
    <t>Route 17</t>
  </si>
  <si>
    <t>TM 114 - Heat Crash</t>
  </si>
  <si>
    <t>South of the gate, right above the grass patch.</t>
  </si>
  <si>
    <t>Hidden on left bicycle path, 7 steps down from 3rd biker at top.</t>
  </si>
  <si>
    <t>Hidden on left bicycle path near bottom, between ponds by signpost.</t>
  </si>
  <si>
    <t>Absolite</t>
  </si>
  <si>
    <t>At bottom of Route, middle, beside signpost between ponds.</t>
  </si>
  <si>
    <t>Full Restore [x1]</t>
  </si>
  <si>
    <t>Hidden on middle bicycle path, two steps left of first signpost.</t>
  </si>
  <si>
    <t>Hidden on right bicycle path, one step right of 3rd signpost on middle path.</t>
  </si>
  <si>
    <t>Max Elixir [x1]</t>
  </si>
  <si>
    <t>Hidden 3 steps to the right from the last sign post on the south part of the Route.</t>
  </si>
  <si>
    <t>Route 18</t>
  </si>
  <si>
    <t>Altarianite</t>
  </si>
  <si>
    <t>Below the gate, in the bottom left corner of the grass patch.</t>
  </si>
  <si>
    <t>Route 12 (Lower Area)</t>
  </si>
  <si>
    <t>Slowbronite</t>
  </si>
  <si>
    <t>On a small islet to the south west from the Snorlax. (Surf HM required)</t>
  </si>
  <si>
    <t>Sharpedonite</t>
  </si>
  <si>
    <t>In the fisherman's house, if you show him a Sharpedo follower.</t>
  </si>
  <si>
    <t>Just south of the Fisherman's house.</t>
  </si>
  <si>
    <t>Hidden in grass, south of Heart Scale (2nd tile from left, 5th from top).</t>
  </si>
  <si>
    <t>TM 004 - Seed Bomb</t>
  </si>
  <si>
    <t>In the grassy area's south western corner.</t>
  </si>
  <si>
    <t>Route 13</t>
  </si>
  <si>
    <t>Hidden at bottom of fence maze on missing fence tile near Picnicker Gwen.</t>
  </si>
  <si>
    <t>TM 085 - Future Sight</t>
  </si>
  <si>
    <t>At bottom of fence maze, near tile missing a fence by Picnicker Gwen.</t>
  </si>
  <si>
    <t>Burnt Seed</t>
  </si>
  <si>
    <t>Near the Raid Den, in the patch of grass.</t>
  </si>
  <si>
    <t>Route 14</t>
  </si>
  <si>
    <t>Pinap Berry [x1]</t>
  </si>
  <si>
    <t>Hidden in the bottom right corner, on a darkened tile near the Twins.</t>
  </si>
  <si>
    <t>Hidden in the grassy area, above the bikers. (3rd grass tile from left, 2nd from top)</t>
  </si>
  <si>
    <t>TM 002 - Dragon Claw</t>
  </si>
  <si>
    <t>In the grassy area.</t>
  </si>
  <si>
    <t>Route 15</t>
  </si>
  <si>
    <t>TM 018 - Hydro Pump</t>
  </si>
  <si>
    <t>Near the gate leading to Fuchsia City, above the ledge.</t>
  </si>
  <si>
    <t>Toxic Orb</t>
  </si>
  <si>
    <t>Upstairs in the gate from the Scientist.</t>
  </si>
  <si>
    <t>Flame Orb</t>
  </si>
  <si>
    <t>Upstairs in the gate from the Scientist</t>
  </si>
  <si>
    <t>Sandacondite</t>
  </si>
  <si>
    <t>From a Female Ace Trainer after defeating her in the western part of the Route.</t>
  </si>
  <si>
    <t>Power Herb</t>
  </si>
  <si>
    <t>Fuchsia City</t>
  </si>
  <si>
    <t>Super Rod</t>
  </si>
  <si>
    <t>From Fisherman in southeast city house, right side.</t>
  </si>
  <si>
    <t>From Fisherman in southeast city house, right side, by showing specific Magikarp.</t>
  </si>
  <si>
    <t>Hidden behind Fisherman's house by pond, under middle flower.</t>
  </si>
  <si>
    <t>TM 036 - Sludge Bomb</t>
  </si>
  <si>
    <t>From Koga after defeating him.</t>
  </si>
  <si>
    <t>Life Orb</t>
  </si>
  <si>
    <r>
      <rPr>
        <rFont val="Sofia Sans Semi Condensed"/>
        <b/>
        <color theme="1"/>
        <sz val="12.0"/>
      </rPr>
      <t xml:space="preserve">From Koga after showing him a Pokémon with at least 150 EV in speed.
</t>
    </r>
    <r>
      <rPr>
        <rFont val="Sofia Sans Semi Condensed"/>
        <b/>
        <color rgb="FF1155CC"/>
        <sz val="12.0"/>
      </rPr>
      <t>(MGM/HARDCORE MODE)</t>
    </r>
    <r>
      <rPr>
        <rFont val="Sofia Sans Semi Condensed"/>
        <b/>
        <color theme="1"/>
        <sz val="12.0"/>
      </rPr>
      <t xml:space="preserve"> 125 Base Speed.</t>
    </r>
  </si>
  <si>
    <t>Toxtricitite</t>
  </si>
  <si>
    <r>
      <rPr>
        <rFont val="Sofia Sans Semi Condensed"/>
        <b/>
        <color theme="1"/>
        <sz val="12.0"/>
      </rPr>
      <t xml:space="preserve">From Koga after showing him a Pokémon with at least 150 EV in speed.
</t>
    </r>
    <r>
      <rPr>
        <rFont val="Sofia Sans Semi Condensed"/>
        <b/>
        <color rgb="FF1155CC"/>
        <sz val="12.0"/>
      </rPr>
      <t>(MGM/HARDCORE MODE)</t>
    </r>
    <r>
      <rPr>
        <rFont val="Sofia Sans Semi Condensed"/>
        <b/>
        <color theme="1"/>
        <sz val="12.0"/>
      </rPr>
      <t xml:space="preserve"> 125 Base Speed.</t>
    </r>
  </si>
  <si>
    <t>HM 06 - Rock Smash</t>
  </si>
  <si>
    <t>From Brendan after defeating him in front of Safari Zone's entrance.</t>
  </si>
  <si>
    <t>HM 04 - Strength</t>
  </si>
  <si>
    <t>From Warden in house next to Fisherman's, post-Gold Teeth exchange.</t>
  </si>
  <si>
    <t>In the Warden's house. (Strength HM required)</t>
  </si>
  <si>
    <t>Medicine</t>
  </si>
  <si>
    <t>From Nurse Joy at Safari Zone after Erika rematch request in Celadon City.</t>
  </si>
  <si>
    <t>Safari Zone</t>
  </si>
  <si>
    <t>East Area, on the heightened platform in the bottom right corner.</t>
  </si>
  <si>
    <t>TM 076 - Earth Power</t>
  </si>
  <si>
    <t>East Area, near the pond in the middle of the area.</t>
  </si>
  <si>
    <t>East Area, north west of TM 076.</t>
  </si>
  <si>
    <t>Heracronite</t>
  </si>
  <si>
    <t>East Area, left of the Rest House in the north eastern part of the area.</t>
  </si>
  <si>
    <t>TM 058 - Rising Voltage</t>
  </si>
  <si>
    <t>East Area, north east part, right above the exit to North Area.</t>
  </si>
  <si>
    <t>Beedrilite</t>
  </si>
  <si>
    <t>North Area, eastern part, via heightened platform with dead end.</t>
  </si>
  <si>
    <t>TM 059 - Dragon Pulse</t>
  </si>
  <si>
    <t>North Area, near Rest House in north part.</t>
  </si>
  <si>
    <t>Pidgeotite</t>
  </si>
  <si>
    <t>North Area, in the north-central part of the area, just above the TM 059.</t>
  </si>
  <si>
    <t>Gold Teeth</t>
  </si>
  <si>
    <t>West Area, northeast part, south of sign post, right of northern Rest House.</t>
  </si>
  <si>
    <t>TM 032 - Aura Sphere</t>
  </si>
  <si>
    <t>West Area, northwest part, between northern Rest House and pond.</t>
  </si>
  <si>
    <t>West Area, hidden in northwest part, 3 steps down from northern Rest House 
entrance, facing right.</t>
  </si>
  <si>
    <t>HM 03 - Surf</t>
  </si>
  <si>
    <t>West Area From the guy in the northern Rest House.</t>
  </si>
  <si>
    <t>Lopunnite</t>
  </si>
  <si>
    <t>West Area, southwest part, in grass below heightened platform.</t>
  </si>
  <si>
    <t>TM 055 - Expanding Force</t>
  </si>
  <si>
    <t>West Area, on the heightened platform at the south side of the area.</t>
  </si>
  <si>
    <t>West Area, in the south-eastern part of the area under a heightened platform.</t>
  </si>
  <si>
    <t>TM 054 - Grassy Glide</t>
  </si>
  <si>
    <t>Center Area, on the small islet in the pond. (Surf HM required)</t>
  </si>
  <si>
    <t>Center Area, hidden on the small islet in the pond. (Surf HM required)</t>
  </si>
  <si>
    <t>Magmarizer</t>
  </si>
  <si>
    <t>Far-Western Area, right side of the pond. (Surf HM required)</t>
  </si>
  <si>
    <t>Route 19</t>
  </si>
  <si>
    <t>Drednawite</t>
  </si>
  <si>
    <t>On a small islet on the south part of the Route. (Surf HM required)</t>
  </si>
  <si>
    <t>Route 20 (East)</t>
  </si>
  <si>
    <t>Glalitite</t>
  </si>
  <si>
    <t>From Pryce after defeating him in front of Seafom Islands.</t>
  </si>
  <si>
    <t>Choice Scarf</t>
  </si>
  <si>
    <t>Seafoam Islands</t>
  </si>
  <si>
    <t>Wellspring Mask</t>
  </si>
  <si>
    <t>1F, on the heightened platform just north of the entrance from Fuchsia City side.</t>
  </si>
  <si>
    <t>TM 070 - Triple Axel</t>
  </si>
  <si>
    <t>B1F, on a heightened platform in the middle of the floor.</t>
  </si>
  <si>
    <t>Laprasite</t>
  </si>
  <si>
    <t>B1F, in the north western part of the floor.</t>
  </si>
  <si>
    <t>Abomasite</t>
  </si>
  <si>
    <t>B2F, in the south western part of the floor.</t>
  </si>
  <si>
    <t>B3F, hidden atop rock in trio near ladder to B2F in west Route.</t>
  </si>
  <si>
    <t>B4F, hidden on left rock of trio on middle platform near ladder to B3F.</t>
  </si>
  <si>
    <t>B4F, on the heightened platform in the south part of the floor.</t>
  </si>
  <si>
    <t>TM 097 - Frost Breath</t>
  </si>
  <si>
    <r>
      <rPr>
        <rFont val="Sofia Sans Semi Condensed"/>
        <b/>
        <color rgb="FFCC0000"/>
        <sz val="12.0"/>
      </rPr>
      <t>(POST-GAME)</t>
    </r>
    <r>
      <rPr>
        <rFont val="Sofia Sans Semi Condensed"/>
        <b/>
        <color theme="1"/>
        <sz val="12.0"/>
      </rPr>
      <t xml:space="preserve"> Beat Sandshrew race on B3F, near starting point. (Z-Ring required)</t>
    </r>
  </si>
  <si>
    <t>Icium Z</t>
  </si>
  <si>
    <r>
      <rPr>
        <rFont val="Sofia Sans Semi Condensed"/>
        <b/>
        <color rgb="FFCC0000"/>
        <sz val="12.0"/>
      </rPr>
      <t>(POST-GAME)</t>
    </r>
    <r>
      <rPr>
        <rFont val="Sofia Sans Semi Condensed"/>
        <b/>
        <color theme="1"/>
        <sz val="11.0"/>
      </rPr>
      <t xml:space="preserve"> Beat Sandshrew race on B3F; from Pryce post-rematch. (Z-Ring required)</t>
    </r>
  </si>
  <si>
    <t>Blue Orb</t>
  </si>
  <si>
    <r>
      <rPr>
        <rFont val="Sofia Sans Semi Condensed"/>
        <b/>
        <color rgb="FFCC0000"/>
        <sz val="12.0"/>
      </rPr>
      <t xml:space="preserve">(POST-GAME) </t>
    </r>
    <r>
      <rPr>
        <rFont val="Sofia Sans Semi Condensed"/>
        <b/>
        <color theme="1"/>
        <sz val="12.0"/>
      </rPr>
      <t>Beat Sandshrew race on B3F; dropped by Kyogre (Z-Ring required).</t>
    </r>
  </si>
  <si>
    <t>Route 20 (West)</t>
  </si>
  <si>
    <t>Medichamite</t>
  </si>
  <si>
    <t>On small islet in middle of Route, below stationary female Swimmer.</t>
  </si>
  <si>
    <t>TM 052 - Focus Blast</t>
  </si>
  <si>
    <t>On the islet in the middle of the Route, a male Swimmer is swimming below it.</t>
  </si>
  <si>
    <t>Hidden the same islet in the middle of the Route as listed above.</t>
  </si>
  <si>
    <t>Cinnabar Island</t>
  </si>
  <si>
    <t>Latiosite</t>
  </si>
  <si>
    <t>In Pokémon Lab's rightmost room, from Scientist at left table when showing Latios.</t>
  </si>
  <si>
    <t>Latiasite</t>
  </si>
  <si>
    <t>In Pokémon Lab's rightmost room, from Scientist at left table when showing Latias.</t>
  </si>
  <si>
    <t>Soul Dew [x2]</t>
  </si>
  <si>
    <t>In Pokémon Lab's rightmost room, from Scientist at left table when showing both Latis.</t>
  </si>
  <si>
    <t>Reveal Glass</t>
  </si>
  <si>
    <t>In Pokémon Lab's rightmost room, from Scientist at bottom left table when 
showing a Force of Nature member.</t>
  </si>
  <si>
    <t>DNA Splicers</t>
  </si>
  <si>
    <t>In Pokémon Lab's rightmost room, from Scientist at bottom left table showing a 
Tao Trio member.</t>
  </si>
  <si>
    <t>Prison Bottle</t>
  </si>
  <si>
    <t>In Pokémon Lab's rightmost room, from Scientist at bottom left table when showing Hoopa.</t>
  </si>
  <si>
    <t>Aggronite</t>
  </si>
  <si>
    <t>From Jasmine after defeating her in Pokémon Lab.</t>
  </si>
  <si>
    <t>Choice Band</t>
  </si>
  <si>
    <t>Assault Vest</t>
  </si>
  <si>
    <r>
      <rPr>
        <rFont val="Sofia Sans Semi Condensed"/>
        <b/>
        <color theme="1"/>
        <sz val="12.0"/>
      </rPr>
      <t xml:space="preserve">From Jasmine after defeating her in Pokémon Lab and showing her a Pokémon 
with 150 EVs in defense. </t>
    </r>
    <r>
      <rPr>
        <rFont val="Sofia Sans Semi Condensed"/>
        <b/>
        <color rgb="FF1155CC"/>
        <sz val="12.0"/>
      </rPr>
      <t>(MGM/HARDCORE MODE)</t>
    </r>
    <r>
      <rPr>
        <rFont val="Sofia Sans Semi Condensed"/>
        <b/>
        <color theme="1"/>
        <sz val="12.0"/>
      </rPr>
      <t xml:space="preserve"> 125 Base Defense.</t>
    </r>
  </si>
  <si>
    <t>Steelixite</t>
  </si>
  <si>
    <r>
      <rPr>
        <rFont val="Sofia Sans Semi Condensed"/>
        <b/>
        <color theme="1"/>
        <sz val="11.0"/>
      </rPr>
      <t xml:space="preserve">From Jasmine after defeating her in Pokémon Lab and showing her a Pokémon 
with 150 EVs in defense. </t>
    </r>
    <r>
      <rPr>
        <rFont val="Sofia Sans Semi Condensed"/>
        <b/>
        <color rgb="FF1155CC"/>
        <sz val="11.0"/>
      </rPr>
      <t>(MGM/HARDCORE MODE)</t>
    </r>
    <r>
      <rPr>
        <rFont val="Sofia Sans Semi Condensed"/>
        <b/>
        <color theme="1"/>
        <sz val="11.0"/>
      </rPr>
      <t xml:space="preserve"> 125 Base Defense.</t>
    </r>
  </si>
  <si>
    <t>Blazikenite</t>
  </si>
  <si>
    <t>From May after you defeat her in front of the Pokémon Mansion.</t>
  </si>
  <si>
    <t>TM 038 - Fire Blast</t>
  </si>
  <si>
    <t>From Blaine after defeating him.</t>
  </si>
  <si>
    <t>Charizardite Y/X</t>
  </si>
  <si>
    <r>
      <rPr>
        <rFont val="Sofia Sans Semi Condensed"/>
        <b/>
        <color theme="1"/>
        <sz val="12.0"/>
      </rPr>
      <t xml:space="preserve">From Blaine after defeating him and showing him a Pokémon with at least 150 EVs 
in Special Attack  </t>
    </r>
    <r>
      <rPr>
        <rFont val="Sofia Sans Semi Condensed"/>
        <b/>
        <color rgb="FF1155CC"/>
        <sz val="12.0"/>
      </rPr>
      <t>(MGM/HARDCORE MODE)</t>
    </r>
    <r>
      <rPr>
        <rFont val="Sofia Sans Semi Condensed"/>
        <b/>
        <color theme="1"/>
        <sz val="12.0"/>
      </rPr>
      <t xml:space="preserve"> 125 Base Special Attack &amp; X.</t>
    </r>
  </si>
  <si>
    <t>Choice Specs</t>
  </si>
  <si>
    <t>From Blaine after defeating him and showing him a Pokémon with at least 150 EVs 
in Special Attack  (MGM/HARDCORE MODE) 125 Base Special Attack.</t>
  </si>
  <si>
    <t>Pokémon Mansion</t>
  </si>
  <si>
    <t>1F, north side between the 4 pillars.</t>
  </si>
  <si>
    <t>1F, hidden among the pile of rocks in the corridor at the entrance on the left.</t>
  </si>
  <si>
    <t>TM 090 - Gunk Shot</t>
  </si>
  <si>
    <t>1F, south of escape rope, after pressing Mewtwo statue to unlock gate.</t>
  </si>
  <si>
    <t>2F, in the narrow hallway starting at the bottom of the floor.</t>
  </si>
  <si>
    <t>2F, in the north east part of the floor.</t>
  </si>
  <si>
    <t>TM 007 - Heat Wave</t>
  </si>
  <si>
    <t>3F, just south of the Nerd near a table and a staircase.</t>
  </si>
  <si>
    <t>3F, in the north east part of the floor, accessed by pressing a Mewtwo statue 
on 2F and going up through the northern staircase on 2F.</t>
  </si>
  <si>
    <t>3F, hidden in the central east part of the floor, just above the staircase in the 
south east, requires you to press Mewtwo statue.</t>
  </si>
  <si>
    <t>2F, central east section, accessible via staircase mentioned above.</t>
  </si>
  <si>
    <t>Gardevoirite
Cameruptite</t>
  </si>
  <si>
    <r>
      <rPr>
        <rFont val="Sofia Sans Semi Condensed"/>
        <b/>
        <color theme="1"/>
        <sz val="12.0"/>
      </rPr>
      <t xml:space="preserve">1F, in the south east part of the floor with lots of palm trees and a Scientist, 
accessed by falling through the bigger hole on 3F. </t>
    </r>
    <r>
      <rPr>
        <rFont val="Sofia Sans Semi Condensed"/>
        <b/>
        <color rgb="FF1155CC"/>
        <sz val="12.0"/>
      </rPr>
      <t>(HARDCORE MODE)</t>
    </r>
    <r>
      <rPr>
        <rFont val="Sofia Sans Semi Condensed"/>
        <b/>
        <color theme="1"/>
        <sz val="12.0"/>
      </rPr>
      <t xml:space="preserve"> Gardevoirite.</t>
    </r>
  </si>
  <si>
    <t>Banettite</t>
  </si>
  <si>
    <t>B1F, in the south west part of the floor.</t>
  </si>
  <si>
    <t>B1F, hidden in the upper right corner of the floor, near the Mewtwo statue.</t>
  </si>
  <si>
    <t>TM 014 - Blizzard</t>
  </si>
  <si>
    <t>B1F, in small room in north, requires pressing Mewtwo statue in south.</t>
  </si>
  <si>
    <t>Secret Key</t>
  </si>
  <si>
    <t>B1F, table in northwest, after pressing Mewtwo statue in northeast room.</t>
  </si>
  <si>
    <t>TM 022 - Weather Ball</t>
  </si>
  <si>
    <t>B1F, in a small room with palm trees, just below the Secret Key.</t>
  </si>
  <si>
    <t>Hearthflame Mask</t>
  </si>
  <si>
    <t>Requires Silph Scope upgrade - 4F</t>
  </si>
  <si>
    <t>Hidden Costume</t>
  </si>
  <si>
    <t>Route 21</t>
  </si>
  <si>
    <t>Kinglerite</t>
  </si>
  <si>
    <t>On an islet in the upper part of the Route, below 2 stationary girls.</t>
  </si>
  <si>
    <t>Pearl [x1]</t>
  </si>
  <si>
    <t>Hidden on an islet in the upper part of the Route, below 2 stationary girls.</t>
  </si>
  <si>
    <t>Cerulean Cave</t>
  </si>
  <si>
    <t>Diancite</t>
  </si>
  <si>
    <t>2F, northeast area, reached by climbing northeast ladder on 1F.</t>
  </si>
  <si>
    <t>1F, on a heightened platform on the north part of the floor.</t>
  </si>
  <si>
    <t>2F, in the south west area of the floor, accesed by going up the south west ladder 
on a heightened platform on 1F. (Rock Smash HM required)</t>
  </si>
  <si>
    <t>1F, in the south east area of the floor near the pond.</t>
  </si>
  <si>
    <t>1F, on the heightened platform in the middle of the floor.</t>
  </si>
  <si>
    <t>TM 001 - Close Combat</t>
  </si>
  <si>
    <t>2F, in the south east part of the floor.</t>
  </si>
  <si>
    <t>Mawilite</t>
  </si>
  <si>
    <t>1F, from Ariana after defeating her in battle.</t>
  </si>
  <si>
    <t>Houndoominite</t>
  </si>
  <si>
    <t>1F, from Archer after defeating him in battle.</t>
  </si>
  <si>
    <t>Garchompite</t>
  </si>
  <si>
    <t>B1F, in the north east area of the floor.</t>
  </si>
  <si>
    <t>Booster Energy</t>
  </si>
  <si>
    <r>
      <rPr>
        <rFont val="Sofia Sans Semi Condensed"/>
        <b/>
        <color rgb="FF1155CC"/>
        <sz val="12.0"/>
      </rPr>
      <t>(DEFAULT MODES)</t>
    </r>
    <r>
      <rPr>
        <rFont val="Sofia Sans Semi Condensed"/>
        <b/>
        <color theme="1"/>
        <sz val="12.0"/>
      </rPr>
      <t xml:space="preserve"> B1F, on heightened platform in central-west.</t>
    </r>
  </si>
  <si>
    <t>Big Nugget [x5]</t>
  </si>
  <si>
    <t>2F, from Black Belt Ketchup after you defeat him a third time. (Or more)</t>
  </si>
  <si>
    <t>Power Plant</t>
  </si>
  <si>
    <t>Electirizer</t>
  </si>
  <si>
    <t>Just north of the entrance.</t>
  </si>
  <si>
    <t>Machampite</t>
  </si>
  <si>
    <t>From Dumbass trainer after defeating him in the central room.</t>
  </si>
  <si>
    <t>Cornerstone Mask</t>
  </si>
  <si>
    <t>TM 109 - Superpower</t>
  </si>
  <si>
    <t>In the central room, right next to the Dumbass trainer.</t>
  </si>
  <si>
    <t>In the central room's west side.</t>
  </si>
  <si>
    <t>TM 025 - Thunder</t>
  </si>
  <si>
    <t>In the south east corner.</t>
  </si>
  <si>
    <t>Ampharosite</t>
  </si>
  <si>
    <t>In the north east corner.</t>
  </si>
  <si>
    <t>Hidden in the lowest north-central room, just under the generator.</t>
  </si>
  <si>
    <t>Hidden in the north west area, where Zapdos is, just in front of the big generator.</t>
  </si>
  <si>
    <t>Eject Button</t>
  </si>
  <si>
    <r>
      <rPr>
        <rFont val="Sofia Sans Semi Condensed"/>
        <b/>
        <color rgb="FF1155CC"/>
        <sz val="12.0"/>
      </rPr>
      <t>(DEFAULT MODES)</t>
    </r>
    <r>
      <rPr>
        <rFont val="Sofia Sans Semi Condensed"/>
        <b/>
        <color theme="1"/>
        <sz val="12.0"/>
      </rPr>
      <t xml:space="preserve"> From follower Pokémon if electric type, upon interaction.</t>
    </r>
  </si>
  <si>
    <t>Route 23</t>
  </si>
  <si>
    <t>Hidden on darkened tile left of gate between Thunder and Rainbow Badge checks.</t>
  </si>
  <si>
    <t>Hidden on islet in pond between Soul and Marsh Badge checks.</t>
  </si>
  <si>
    <t>Hidden between two statues wall, between Marsh and Volcano badges checks.</t>
  </si>
  <si>
    <t>Aspear Berry [x1]</t>
  </si>
  <si>
    <t>Hidden on darkened tile below Volcano badge gate, left side of boulder maze.</t>
  </si>
  <si>
    <t>Snorlaxite</t>
  </si>
  <si>
    <t>In the north east corner of the Volcano badge check gate.</t>
  </si>
  <si>
    <t>Hidden on a rock 2 tiles to the left of the Snorlaxite.</t>
  </si>
  <si>
    <t>Hidden on darkened tile in northwest corner, just below leftmost side of Victory Road.</t>
  </si>
  <si>
    <t>Sceptilite</t>
  </si>
  <si>
    <t>From Brendan after defeating him in front of Victory Road's entrance.</t>
  </si>
  <si>
    <t>Hidden on a dark tile on the north side of the Route, above Victory Road.</t>
  </si>
  <si>
    <t>Hidden on north side of Route, dead-end path maze in front of Pokémon League.</t>
  </si>
  <si>
    <t>Victory Road</t>
  </si>
  <si>
    <t>1F, in the north west part of the floor, the eastern item of the boulder puzzle.</t>
  </si>
  <si>
    <t>TM 067 - Poltergeist</t>
  </si>
  <si>
    <t>1F, in the north west part of the floor, the northern item of the boulder puzzle.</t>
  </si>
  <si>
    <t>1F, hidden northwest, on boulder 2 tiles east from TM 067.</t>
  </si>
  <si>
    <t>1F, hidden on rock in narrow dead-end path from northwest heightened platform descent.</t>
  </si>
  <si>
    <t>Heavy-Duty-Boots [x2]</t>
  </si>
  <si>
    <t>2F, western side of the floor, near a boulder.</t>
  </si>
  <si>
    <t>TM 037 - High Horsepower</t>
  </si>
  <si>
    <t>2F, in the central-south part of the floor, right below the heightened platform.</t>
  </si>
  <si>
    <t>2F, in the central-east part of the floor, near a walking Tamer.</t>
  </si>
  <si>
    <t>Metagrossite</t>
  </si>
  <si>
    <t>2F, in the north east part of the floor, near a Juggler.</t>
  </si>
  <si>
    <t>3F, in the north eastern part of the floor, near an Ace Trainer.</t>
  </si>
  <si>
    <t>TM 050 - Overheat</t>
  </si>
  <si>
    <t>3F, northwest, in front of rock on narrow path west of heightened platform.</t>
  </si>
  <si>
    <t>Indigo Plateau</t>
  </si>
  <si>
    <t>TM 011 - Supercell Slam</t>
  </si>
  <si>
    <t>From Dumbass Creator after defeating him in front of the league entrance.</t>
  </si>
  <si>
    <r>
      <rPr>
        <rFont val="Sofia Sans Semi Condensed"/>
        <b/>
        <color theme="1"/>
        <sz val="16.0"/>
        <u/>
      </rPr>
      <t xml:space="preserve">Treasure Beach </t>
    </r>
    <r>
      <rPr>
        <rFont val="Sofia Sans Semi Condensed"/>
        <b/>
        <color rgb="FFCC0000"/>
        <sz val="16.0"/>
        <u/>
      </rPr>
      <t>(POST-GAME)</t>
    </r>
  </si>
  <si>
    <t>Rock Gem</t>
  </si>
  <si>
    <t>South of Treasure Beach.</t>
  </si>
  <si>
    <t>Mewtwonite X</t>
  </si>
  <si>
    <t>From Red after defeating him on beach (Requires 4+ Battle Simulator win streak).</t>
  </si>
  <si>
    <r>
      <rPr>
        <rFont val="Sofia Sans Semi Condensed"/>
        <b/>
        <color theme="1"/>
        <sz val="16.0"/>
        <u/>
      </rPr>
      <t>Kindle Road</t>
    </r>
    <r>
      <rPr>
        <rFont val="Sofia Sans Semi Condensed"/>
        <b/>
        <color rgb="FFCC0000"/>
        <sz val="16.0"/>
        <u/>
      </rPr>
      <t xml:space="preserve"> (POST-GAME)</t>
    </r>
  </si>
  <si>
    <t>Bugium Z</t>
  </si>
  <si>
    <t>On the right of the grass patches, from Bugsy after defeating him in a rematch.</t>
  </si>
  <si>
    <t>Bug Gem</t>
  </si>
  <si>
    <t>At the south of where Bugsy's standing.</t>
  </si>
  <si>
    <t>On small islet by first male Swimmer, near Bugsy.</t>
  </si>
  <si>
    <t>Obtained by breaking a rock near the first male Swimmer.</t>
  </si>
  <si>
    <r>
      <rPr>
        <rFont val="Sofia Sans Semi Condensed"/>
        <b/>
        <color theme="1"/>
        <sz val="16.0"/>
        <u/>
      </rPr>
      <t xml:space="preserve">Ember Spa </t>
    </r>
    <r>
      <rPr>
        <rFont val="Sofia Sans Semi Condensed"/>
        <b/>
        <color rgb="FFCC0000"/>
        <sz val="16.0"/>
        <u/>
      </rPr>
      <t>(POST-GAME)</t>
    </r>
  </si>
  <si>
    <t>HM 07 - Waterfall</t>
  </si>
  <si>
    <t>From the old man close to the waterfalls.</t>
  </si>
  <si>
    <r>
      <rPr>
        <rFont val="Sofia Sans Semi Condensed"/>
        <b/>
        <color theme="1"/>
        <sz val="16.0"/>
        <u/>
      </rPr>
      <t xml:space="preserve">Mt. Ember </t>
    </r>
    <r>
      <rPr>
        <rFont val="Sofia Sans Semi Condensed"/>
        <b/>
        <color rgb="FFCC0000"/>
        <sz val="16.0"/>
        <u/>
      </rPr>
      <t>(POST-GAME)</t>
    </r>
  </si>
  <si>
    <t>TM 112 - Misty Explosion</t>
  </si>
  <si>
    <t>From a Hiker at the entrance.</t>
  </si>
  <si>
    <t>Fairium Z</t>
  </si>
  <si>
    <t>East of the mountain, in a narrow path.</t>
  </si>
  <si>
    <t>Hidden in a rock at the northwest of the mountain.</t>
  </si>
  <si>
    <t>Dusk Ball [x1]</t>
  </si>
  <si>
    <t>Northwest of the mountain.</t>
  </si>
  <si>
    <t>TM 094 - Scale Shot</t>
  </si>
  <si>
    <t>Northeast of the mountain, after pushing some boulders.</t>
  </si>
  <si>
    <r>
      <rPr>
        <rFont val="Sofia Sans Semi Condensed"/>
        <b/>
        <color theme="1"/>
        <sz val="16.0"/>
        <u/>
      </rPr>
      <t xml:space="preserve">Two Island </t>
    </r>
    <r>
      <rPr>
        <rFont val="Sofia Sans Semi Condensed"/>
        <b/>
        <color rgb="FFCC0000"/>
        <sz val="16.0"/>
        <u/>
      </rPr>
      <t>(POST-GAME)</t>
    </r>
  </si>
  <si>
    <t>TM 066 - Steel Beam</t>
  </si>
  <si>
    <t>Hidden behind a cut tree near the Joyful Game Corner.</t>
  </si>
  <si>
    <t>Normalium Z</t>
  </si>
  <si>
    <t>From Whitney post-rematch victory.</t>
  </si>
  <si>
    <r>
      <rPr>
        <rFont val="Sofia Sans Semi Condensed"/>
        <b/>
        <color theme="1"/>
        <sz val="16.0"/>
        <u/>
      </rPr>
      <t xml:space="preserve">Cape Brink </t>
    </r>
    <r>
      <rPr>
        <rFont val="Sofia Sans Semi Condensed"/>
        <b/>
        <color rgb="FFCC0000"/>
        <sz val="16.0"/>
        <u/>
      </rPr>
      <t>(POST-GAME)</t>
    </r>
  </si>
  <si>
    <t>Hidden behind Rachel's house.</t>
  </si>
  <si>
    <r>
      <rPr>
        <rFont val="Sofia Sans Semi Condensed"/>
        <b/>
        <color theme="1"/>
        <sz val="16.0"/>
        <u/>
      </rPr>
      <t xml:space="preserve">Three Isle Path </t>
    </r>
    <r>
      <rPr>
        <rFont val="Sofia Sans Semi Condensed"/>
        <b/>
        <color rgb="FFCC0000"/>
        <sz val="16.0"/>
        <u/>
      </rPr>
      <t>(POST-GAME)</t>
    </r>
  </si>
  <si>
    <t>Hidden in a rock right below the stairs, on the right.</t>
  </si>
  <si>
    <t>Groundium Z</t>
  </si>
  <si>
    <t>From the Digger.</t>
  </si>
  <si>
    <r>
      <rPr>
        <rFont val="Sofia Sans Semi Condensed"/>
        <b/>
        <color theme="1"/>
        <sz val="16.0"/>
        <u/>
      </rPr>
      <t xml:space="preserve">Three Island </t>
    </r>
    <r>
      <rPr>
        <rFont val="Sofia Sans Semi Condensed"/>
        <b/>
        <color rgb="FFCC0000"/>
        <sz val="16.0"/>
        <u/>
      </rPr>
      <t>(POST-GAME)</t>
    </r>
  </si>
  <si>
    <t>Steelium Z</t>
  </si>
  <si>
    <t>From one of two NPCs left of Pokémon Center after defeating Bikers.</t>
  </si>
  <si>
    <t>Grass Gem</t>
  </si>
  <si>
    <t>In a small path hidden by a cut tree, in the upper right corner.</t>
  </si>
  <si>
    <t>Hidden on the last tile of the small path, hidden by a cut tree in Bond Bridge.</t>
  </si>
  <si>
    <r>
      <rPr>
        <rFont val="Sofia Sans Semi Condensed"/>
        <b/>
        <color theme="1"/>
        <sz val="16.0"/>
        <u/>
      </rPr>
      <t xml:space="preserve">Bond Bridge </t>
    </r>
    <r>
      <rPr>
        <rFont val="Sofia Sans Semi Condensed"/>
        <b/>
        <color rgb="FFCC0000"/>
        <sz val="16.0"/>
        <u/>
      </rPr>
      <t>(POST-GAME)</t>
    </r>
  </si>
  <si>
    <t>Max Repel [x1]</t>
  </si>
  <si>
    <t>Hidden in a stone.</t>
  </si>
  <si>
    <r>
      <rPr>
        <rFont val="Sofia Sans Semi Condensed"/>
        <b/>
        <color theme="1"/>
        <sz val="16.0"/>
        <u/>
      </rPr>
      <t xml:space="preserve">Berry Forest </t>
    </r>
    <r>
      <rPr>
        <rFont val="Sofia Sans Semi Condensed"/>
        <b/>
        <color rgb="FFCC0000"/>
        <sz val="16.0"/>
        <u/>
      </rPr>
      <t>(POST-GAME)</t>
    </r>
  </si>
  <si>
    <t>Ground Gem</t>
  </si>
  <si>
    <t>Near the pond, next to trainer Barry.</t>
  </si>
  <si>
    <t>TM 095 - Cosmic Power</t>
  </si>
  <si>
    <t>In the bottom left corner of the forest, near trainer Sharon.</t>
  </si>
  <si>
    <t>North of the forest, next to trainer Janny.</t>
  </si>
  <si>
    <t>Psychium Z</t>
  </si>
  <si>
    <t>From Lostelle after saving her from Mew.</t>
  </si>
  <si>
    <t>Mewium Z</t>
  </si>
  <si>
    <t>Dropped by Mew after defeating Owen.</t>
  </si>
  <si>
    <t>Charizardite X</t>
  </si>
  <si>
    <t>Upstairs in northern gate on Route 16, from 
Scientist upon showing Venusaur.</t>
  </si>
  <si>
    <r>
      <rPr>
        <rFont val="Sofia Sans Semi Condensed"/>
        <b/>
        <color rgb="FFCC0000"/>
        <sz val="12.0"/>
      </rPr>
      <t>(Swapped with Charizardite Y in Hardcore)</t>
    </r>
    <r>
      <rPr>
        <rFont val="Sofia Sans Semi Condensed"/>
        <b/>
        <color rgb="FF232222"/>
        <sz val="12.0"/>
      </rPr>
      <t xml:space="preserve">
Upstairs in northern gate on Route 16, from 
Scientist after showing Charizard.</t>
    </r>
  </si>
  <si>
    <t>Upstairs in northern gate on Route 16, from 
Scientist upon showing Blastoise.</t>
  </si>
  <si>
    <t>From Brendan after defeating him on Route 23.</t>
  </si>
  <si>
    <t>From May after defeating her on Cinnabar Island, 
in front of the Pokémon Mansion.</t>
  </si>
  <si>
    <t>From the Dumbass Mudkip Kid in Saffron City, 
after defeating him, then talking to him with a 
Swampert follower.</t>
  </si>
  <si>
    <t>In Celadon City, from the guy close to the 
Pokémon Center having a Lucario if you have a 
Lucario follower. (Soul Badge needed)</t>
  </si>
  <si>
    <t>Celadon City's Department Store, from a little
girl on the rooftop.</t>
  </si>
  <si>
    <t>Lavender Town's Pokémon Tower in the 3rd floor, 
north side of the room.</t>
  </si>
  <si>
    <t>Saffron City's Silph Co. 7th floor, in the bottom 
left part of the floor, near a Scientist.</t>
  </si>
  <si>
    <t>Saffron City's Silph Co. 6th floor, at the south 
west part of the floor, near a Scientist.</t>
  </si>
  <si>
    <t>Saffron City's Silph Co. 4th floor, in the far 
western room, Keycard is required to enter.</t>
  </si>
  <si>
    <t>Gardevoirite</t>
  </si>
  <si>
    <r>
      <rPr>
        <rFont val="Sofia Sans Semi Condensed"/>
        <b/>
        <color rgb="FFCC0000"/>
        <sz val="11.0"/>
      </rPr>
      <t xml:space="preserve">(Swapped with Cameruptite in Hardcore) </t>
    </r>
    <r>
      <rPr>
        <rFont val="Sofia Sans Semi Condensed"/>
        <b/>
        <color rgb="FF232222"/>
        <sz val="11.0"/>
      </rPr>
      <t>From 
Sabrina after defeating her and showing a Pokémon 
with 31 IVs in all stats. (or a shiny in MGM/Hardcore)</t>
    </r>
  </si>
  <si>
    <t>Route 17, on the south side near a sign post 
between two ponds.</t>
  </si>
  <si>
    <t>Route 21, on an islet.</t>
  </si>
  <si>
    <t>Route 18, near the grass.</t>
  </si>
  <si>
    <t>Route 19, on a small islet on the south side of the 
Route. (Surf HM required)</t>
  </si>
  <si>
    <t>Route 12, from the Fisherman in a house if you 
talk to him with a Sharpedo follower.</t>
  </si>
  <si>
    <t>From Koga after defeating him and showing him 
a Pokémon with at least 150 EVs in Spe.
(or 125 Base Spe in MGM/Hardcore)</t>
  </si>
  <si>
    <t>Safari Zone Eastern Area.</t>
  </si>
  <si>
    <t>Safari Zone Western Area, at the south.</t>
  </si>
  <si>
    <t>Safari Zone North Area, up north.</t>
  </si>
  <si>
    <t>Beedrillite</t>
  </si>
  <si>
    <t>Safari Zone North Area, in the eastern part of 
the area.</t>
  </si>
  <si>
    <t>Route 20, from Pryce after defeating him.</t>
  </si>
  <si>
    <t>Seafoam Islands B2F, southern part of the floor.</t>
  </si>
  <si>
    <t>Seafoam Islands B2F, north eastern part of the 
floor.</t>
  </si>
  <si>
    <t>Route 20 (Cinnabar Island side), on a small islet 
below a stationary female Swimmer.</t>
  </si>
  <si>
    <t>In the Pokémon Lab, from Jasmine after defeating 
her.</t>
  </si>
  <si>
    <t>In Pokémon Lab's rightmost room, from Scientist 
at left table when showing Latios or Latias.</t>
  </si>
  <si>
    <t>In Pokémon Lab's rightmost room, from Scientist 
at left table when showing Latias or Latios.</t>
  </si>
  <si>
    <t>Cameruptite</t>
  </si>
  <si>
    <t>From Jasmine after defeating her and showing her 
a Pokémon with 150 EVs in Def.
(125 Base Def in MGM/Hardcore)</t>
  </si>
  <si>
    <r>
      <rPr>
        <rFont val="Sofia Sans Semi Condensed"/>
        <b/>
        <color rgb="FFCC0000"/>
        <sz val="12.0"/>
      </rPr>
      <t>(Swapped with Gardevoirite in Hardcore)</t>
    </r>
    <r>
      <rPr>
        <rFont val="Sofia Sans Semi Condensed"/>
        <b/>
        <color rgb="FF232222"/>
        <sz val="12.0"/>
      </rPr>
      <t xml:space="preserve">
Cinnabar Island's Pokémon Mansion 1F, accessed 
by falling through the hole on 3F.</t>
    </r>
  </si>
  <si>
    <t>Charizardite Y</t>
  </si>
  <si>
    <r>
      <rPr>
        <rFont val="Sofia Sans Semi Condensed"/>
        <b/>
        <color rgb="FFCC0000"/>
        <sz val="11.0"/>
      </rPr>
      <t>(Swapped with Charizardite X in Hardcore)</t>
    </r>
    <r>
      <rPr>
        <rFont val="Sofia Sans Semi Condensed"/>
        <b/>
        <color rgb="FF232222"/>
        <sz val="11.0"/>
      </rPr>
      <t xml:space="preserve"> From 
Blaine after defeating him and showing a Pokémon 
with 150 EVs in SpA. (125 Base SpA in MGM/Hardcore)</t>
    </r>
  </si>
  <si>
    <t>Route 24, on a small islet.</t>
  </si>
  <si>
    <t>Cerulean Cave 1F, from Ariana after defeating 
her in battle.</t>
  </si>
  <si>
    <t>Cerulean Cave 1F, from Archer after defeating 
him in battle.</t>
  </si>
  <si>
    <t>From Giovanni after defeating him in Cerulean 
Cave.</t>
  </si>
  <si>
    <t>Route 6, south west of the pond.</t>
  </si>
  <si>
    <t>Power Plant, in the north east corner.</t>
  </si>
  <si>
    <t>Power Plant, from Dumbass Jojo Fan after 
defeating him.</t>
  </si>
  <si>
    <t>Rock Tunnel 1F. (Rock Smash HM needed)</t>
  </si>
  <si>
    <t>Route 12, on an islet just south of the sleeping 
Snorlax.</t>
  </si>
  <si>
    <t>From Lance after defeating Giovanni in Cerulean 
Cave.</t>
  </si>
  <si>
    <t>Route 2, above Diglett's Cave. (Rock Smash HM 
required)</t>
  </si>
  <si>
    <t>Route 22, below the pond and a ledge in the 
center. (Surf HM required)</t>
  </si>
  <si>
    <t>Route 23, to the north of the Route, above the 
Volcano badge check gate.</t>
  </si>
  <si>
    <t>Cerulean Cave B1F, in the north east area of the 
floor.</t>
  </si>
  <si>
    <t>Victory Road 2F, near a Juggler at the northeast 
part of the floor.</t>
  </si>
  <si>
    <t>Pewter City, from Brock after defeating him in a 
rematch.</t>
  </si>
  <si>
    <t>Cerulean City, from Misty after defeating her 
in a rematch.</t>
  </si>
  <si>
    <t>Vermilion City, from Lt. Surge after defeating 
him in a rematch.</t>
  </si>
  <si>
    <t>From Chuck after defeating him, and showing 
him a Pokémon with at least 150 EVs in Atk.
(125 Base Atk in MGM/Hardcore)</t>
  </si>
  <si>
    <t>Lavender Town in Fuji's House, from Morty after 
getting the Mega Ring if you show him a 
Pokémon with max happiness.</t>
  </si>
  <si>
    <t>On islet below Vermilion City Gym. 
(Surf HM required)</t>
  </si>
  <si>
    <t>Route 8, from Ace Trainer Cole after defeating 
him, only after getting the Mega Ring.</t>
  </si>
  <si>
    <t>Route 15, from Ace Trainer Haley after defeating 
her.</t>
  </si>
  <si>
    <t>Celadon City's Hotel, after getting the Mega Ring 
and defeating the two Beauties in there.</t>
  </si>
  <si>
    <t>From a woman in a Saffron City house, after bring 
to her the ingredients for a cake. (x1 Rawst Berry, 
x1 Aspear Berry, x2 Moomoo Milk)</t>
  </si>
  <si>
    <t>Cinnabar Island's Pokémon Mansion B1F, south 
western part of the floor.</t>
  </si>
  <si>
    <t>Cerulean Cave 2F, in the north east area of the 
floor, accessed by going up the north east ladder 
on 1F.</t>
  </si>
  <si>
    <r>
      <rPr>
        <rFont val="Sofia Sans Semi Condensed"/>
        <b/>
        <color rgb="FF3C78D8"/>
        <sz val="12.0"/>
      </rPr>
      <t>(POST-GAME)</t>
    </r>
    <r>
      <rPr>
        <rFont val="Sofia Sans Semi Condensed"/>
        <b/>
        <color rgb="FF232222"/>
        <sz val="12.0"/>
      </rPr>
      <t xml:space="preserve"> One Island, Treasure Beach, from 
Red after defeating him on the beach.
(Requires 4+ win streak in the Battle Simulator)</t>
    </r>
  </si>
  <si>
    <t xml:space="preserve">        Z-CRYSTAL</t>
  </si>
  <si>
    <t>Bugium</t>
  </si>
  <si>
    <t>One Island, Kindle Road, from Bugsy after defeating him in a rematch.</t>
  </si>
  <si>
    <t>Fairium</t>
  </si>
  <si>
    <t>One Island, Mt. Ember, northeast of the mountain.</t>
  </si>
  <si>
    <t>Fightinium</t>
  </si>
  <si>
    <t>One Island, from Dumbass Jojo Fan after defeating him in rematch.</t>
  </si>
  <si>
    <t>Flyinium</t>
  </si>
  <si>
    <t>Rock Tunnel area near the Power Plant.</t>
  </si>
  <si>
    <t>Ghostium</t>
  </si>
  <si>
    <t>From Morty in the Pokémon Tower, post-trial defeat at the top.</t>
  </si>
  <si>
    <t>Groundium</t>
  </si>
  <si>
    <t>Three Island Port, in the tunnel, from the digger.</t>
  </si>
  <si>
    <t>Icium</t>
  </si>
  <si>
    <t>Seafoam Island secret area, from Pryce after defeating him in a rematch.</t>
  </si>
  <si>
    <t>Normalium</t>
  </si>
  <si>
    <t>Two Island, near Joyful Game Corner, from Whitney post-rematch victory.</t>
  </si>
  <si>
    <t>Psychium</t>
  </si>
  <si>
    <t>Three Island, Berry Forest, from Lostelle after defeating Mew.</t>
  </si>
  <si>
    <t>Steelium</t>
  </si>
  <si>
    <t>Three Island, from a guy outside after defeating the Bikers.</t>
  </si>
  <si>
    <t>Waterium</t>
  </si>
  <si>
    <t>Saffron City, from Gian (Mudkip Fan) after defeating him in a rematch.</t>
  </si>
  <si>
    <t>Eevium</t>
  </si>
  <si>
    <t>Pallet Town, Oak's Lab, from Prof. Oak after a battle.</t>
  </si>
  <si>
    <t>Marshadium</t>
  </si>
  <si>
    <t>In the Pokémon Tower, Dropped by Marshadow after top tower battle.</t>
  </si>
  <si>
    <t>Mewium</t>
  </si>
  <si>
    <t>Berry Forest, from Gatekeeper Owen after the hidden Mew event's battle.</t>
  </si>
  <si>
    <t>Mimikium</t>
  </si>
  <si>
    <t>Pokémon Tower, south of the Gengar puzzle room at the top of the Tower.</t>
  </si>
  <si>
    <t>Tapunium</t>
  </si>
  <si>
    <t>One Island's Pokémon Center, from the Battle Simulator BP Exchange. (3 BP)</t>
  </si>
  <si>
    <t>Snorlium</t>
  </si>
  <si>
    <t>Pikanium</t>
  </si>
  <si>
    <t>Pikashunium</t>
  </si>
  <si>
    <t>One Island's Pokémon Center, from the Battle Simulator BP Exchange. (5 BP)</t>
  </si>
  <si>
    <t>Aloraichium</t>
  </si>
  <si>
    <t>Incinium</t>
  </si>
  <si>
    <t>Decidium</t>
  </si>
  <si>
    <t>Primarium</t>
  </si>
  <si>
    <t>Lycanium</t>
  </si>
  <si>
    <t>One Island's Pokémon Center, from the Battle Simulator BP Exchange. (25 BP)</t>
  </si>
  <si>
    <t>Kommonium</t>
  </si>
  <si>
    <t>Ultranecrozium</t>
  </si>
  <si>
    <t>One Island's Pokémon Center, from the Battle Simulator BP Exchange. (50 BP)</t>
  </si>
  <si>
    <t>CERULEAN CITY</t>
  </si>
  <si>
    <t>TM 021 - Icy Wind</t>
  </si>
  <si>
    <t>TM 047 - Steel Wing</t>
  </si>
  <si>
    <t>TM 087 - Aerial Ace</t>
  </si>
  <si>
    <t>TM 088 - Pluck</t>
  </si>
  <si>
    <t>TM 108 - Snarl</t>
  </si>
  <si>
    <t>TM 111 - Vacuum Wave</t>
  </si>
  <si>
    <t>CELADON DEPT. STORE (2F)</t>
  </si>
  <si>
    <t>Net Ball</t>
  </si>
  <si>
    <t>Dive Ball</t>
  </si>
  <si>
    <t>Nest Ball</t>
  </si>
  <si>
    <t>Repeat Ball</t>
  </si>
  <si>
    <t>Timer Ball</t>
  </si>
  <si>
    <t>Luxury Ball</t>
  </si>
  <si>
    <t>Quick Ball</t>
  </si>
  <si>
    <t>Dusk Ball</t>
  </si>
  <si>
    <t>Love Ball</t>
  </si>
  <si>
    <t>Fast Ball</t>
  </si>
  <si>
    <t>Level Ball</t>
  </si>
  <si>
    <t>Heavy Ball</t>
  </si>
  <si>
    <t>Moon Ball</t>
  </si>
  <si>
    <t>CELADON DEPT. STORE (4F)</t>
  </si>
  <si>
    <t>Fire Stone</t>
  </si>
  <si>
    <t>Thunder Stone</t>
  </si>
  <si>
    <t>Leaf Stone</t>
  </si>
  <si>
    <t>Water Stone</t>
  </si>
  <si>
    <t>Sun Stone</t>
  </si>
  <si>
    <t>Moon Stone</t>
  </si>
  <si>
    <t>Prism Scale</t>
  </si>
  <si>
    <t>Ice Stone</t>
  </si>
  <si>
    <t>Link Cable</t>
  </si>
  <si>
    <t>Dusk Stone</t>
  </si>
  <si>
    <t>Dawn Stone</t>
  </si>
  <si>
    <t>Shiny Stone</t>
  </si>
  <si>
    <t>King's Rock</t>
  </si>
  <si>
    <t>Metal Coat</t>
  </si>
  <si>
    <t>CELADON DEPT. STORE (5F)</t>
  </si>
  <si>
    <t>HP Up</t>
  </si>
  <si>
    <t>Protein</t>
  </si>
  <si>
    <t>Iron</t>
  </si>
  <si>
    <t>Calcium</t>
  </si>
  <si>
    <t>Zinc</t>
  </si>
  <si>
    <t>Carbos</t>
  </si>
  <si>
    <t>CELADON DEPT. STORE (ROOF)</t>
  </si>
  <si>
    <t>Fresh Water</t>
  </si>
  <si>
    <t>Soda Pop</t>
  </si>
  <si>
    <t>Lemonade</t>
  </si>
  <si>
    <t>CELADON GAME CORNER</t>
  </si>
  <si>
    <t>TM 006 - Toxic</t>
  </si>
  <si>
    <t>17 500</t>
  </si>
  <si>
    <t>TM 013 - Ice Beam</t>
  </si>
  <si>
    <t>30 000</t>
  </si>
  <si>
    <t>TM 016 - Light Screen</t>
  </si>
  <si>
    <t>TM 017 - Protect</t>
  </si>
  <si>
    <t>15 000</t>
  </si>
  <si>
    <t>TM 020 - Hyper Voice</t>
  </si>
  <si>
    <t>TM 024 - Thunderbolt</t>
  </si>
  <si>
    <t>TM 033 - Reflect</t>
  </si>
  <si>
    <t>TM 035 - Flamethrower</t>
  </si>
  <si>
    <t>TM 053 - Energy Ball</t>
  </si>
  <si>
    <t>25 000</t>
  </si>
  <si>
    <t>TM 056 - Air Slash</t>
  </si>
  <si>
    <t>TM 064 - Explosion</t>
  </si>
  <si>
    <t>TM 065 - Shadow Claw</t>
  </si>
  <si>
    <t>TM 074 - Gyro Ball</t>
  </si>
  <si>
    <t>20 000</t>
  </si>
  <si>
    <t>TM 075 - Knock Off</t>
  </si>
  <si>
    <t>TM 079 - Dark Pulse</t>
  </si>
  <si>
    <t>TM 082 - Sleep Talk</t>
  </si>
  <si>
    <t>TM 083 - Scald</t>
  </si>
  <si>
    <t>TM 084 - Poison Jab</t>
  </si>
  <si>
    <t>TM 091 - Flash Cannon</t>
  </si>
  <si>
    <t>TM 093 - Dragon Tail</t>
  </si>
  <si>
    <t>TM 102 - Dazzling Gleam</t>
  </si>
  <si>
    <t>TM 110 - Scorching Sands</t>
  </si>
  <si>
    <t>12 500</t>
  </si>
  <si>
    <t>SAFFRON CITY FANCLUB</t>
  </si>
  <si>
    <t>Ability Pill</t>
  </si>
  <si>
    <t>Dream Patch</t>
  </si>
  <si>
    <t>Cheri Berry</t>
  </si>
  <si>
    <t>Chesto Berry</t>
  </si>
  <si>
    <t>Rawst Berry</t>
  </si>
  <si>
    <t>Aspear Berry</t>
  </si>
  <si>
    <t>Persim Berry</t>
  </si>
  <si>
    <t>Power Bracer</t>
  </si>
  <si>
    <t>Power Belt</t>
  </si>
  <si>
    <t>Power Lens</t>
  </si>
  <si>
    <t>Power Band</t>
  </si>
  <si>
    <t>Power Anklet</t>
  </si>
  <si>
    <t>Power Weight</t>
  </si>
  <si>
    <t>Destiny Knot</t>
  </si>
  <si>
    <t>Red Nectar</t>
  </si>
  <si>
    <t>Yellow Nectar</t>
  </si>
  <si>
    <t>Pink Nectar</t>
  </si>
  <si>
    <t>Purple Nectar</t>
  </si>
  <si>
    <t>CINNABAR POKEMON LAB</t>
  </si>
  <si>
    <t>Dream Ball</t>
  </si>
  <si>
    <t>White Herb</t>
  </si>
  <si>
    <t>Lum Berry</t>
  </si>
  <si>
    <t>Beast Ball (Need 8th Badge)</t>
  </si>
  <si>
    <t>ONE ISLAND</t>
  </si>
  <si>
    <t>Master Ball</t>
  </si>
  <si>
    <t>3 BP</t>
  </si>
  <si>
    <t>Tapunium Z</t>
  </si>
  <si>
    <t>Snorlium Z</t>
  </si>
  <si>
    <t>Pikanium Z</t>
  </si>
  <si>
    <t>Pikashunium Z</t>
  </si>
  <si>
    <t>Alolaraichium Z</t>
  </si>
  <si>
    <t>5 BP</t>
  </si>
  <si>
    <t>Incinium Z</t>
  </si>
  <si>
    <t>Decidium Z</t>
  </si>
  <si>
    <t>Primarium Z</t>
  </si>
  <si>
    <t>Lycanium Z</t>
  </si>
  <si>
    <t>Flying Gem</t>
  </si>
  <si>
    <t>15 BP</t>
  </si>
  <si>
    <t>Kommonium Z</t>
  </si>
  <si>
    <t>25 BP</t>
  </si>
  <si>
    <t>Necromizer (once)</t>
  </si>
  <si>
    <t>Ultranecrozium Z</t>
  </si>
  <si>
    <t>50 BP</t>
  </si>
  <si>
    <t>TWO ISLAND</t>
  </si>
  <si>
    <t>Wishing Piece</t>
  </si>
  <si>
    <t>Ultra Ball</t>
  </si>
  <si>
    <t>Moomoo Milk</t>
  </si>
  <si>
    <t>WHAT ARE CARE PACKAGES?</t>
  </si>
  <si>
    <t>At many points during your playthrough, you'll receive "Care Packages" that contain 
ALL items that you can grind/thief off Wild Pokémon and Raid Pokémon at the point you 
receive the Care Packages.
At any point during your playthrough, you may go to the player's room in Pallet Town, and 
interact with the little game console near the TV. You'll be prompted to enter a code. 
Input "SO2Toxic". 
The codes are case-sensitive, so you should NOT try to input "so2toxic".</t>
  </si>
  <si>
    <t>(ITEMS HIGHLIGHTED IN RED ARE NOT GIVEN IN HARDCORE)</t>
  </si>
  <si>
    <t>(ITEMS HIGHLIGHTED IN BLUE ARE NOT GIVEN IN MGM + HARDCORE)</t>
  </si>
  <si>
    <t>ENTERING ROUTE 2</t>
  </si>
  <si>
    <t>Absorb Bulb [x10]</t>
  </si>
  <si>
    <t>Aspear Berry [x10]</t>
  </si>
  <si>
    <t>Big Mushroom [x10]</t>
  </si>
  <si>
    <t>Blue Shard [x10]</t>
  </si>
  <si>
    <t>Charti Berry [x10]</t>
  </si>
  <si>
    <t>Chilan Berry [x10]</t>
  </si>
  <si>
    <t>Coba Berry [x10]</t>
  </si>
  <si>
    <t>Deep Sea Scale [x10]</t>
  </si>
  <si>
    <t>Deep Sea Tooth [x10]</t>
  </si>
  <si>
    <t>Green Shard [x10]</t>
  </si>
  <si>
    <t>Hard Stone [x10]</t>
  </si>
  <si>
    <t>Kebia Berry [x10]</t>
  </si>
  <si>
    <t>Light Ball [x10]</t>
  </si>
  <si>
    <t>Mental Herb [x10]</t>
  </si>
  <si>
    <t>Mystic Water [x10]</t>
  </si>
  <si>
    <t>Never-Melt Ice [x10]</t>
  </si>
  <si>
    <t>Nugget [x10]</t>
  </si>
  <si>
    <t>Occa Berry [x10]</t>
  </si>
  <si>
    <t>Passho Berry [x10]</t>
  </si>
  <si>
    <t>Payapa Berry [x10]</t>
  </si>
  <si>
    <t>Pecha Berry [x10]</t>
  </si>
  <si>
    <t>Pixie Plate [x10]</t>
  </si>
  <si>
    <t>Poison Barb [x10]</t>
  </si>
  <si>
    <t>Potion [x10]</t>
  </si>
  <si>
    <t>Red Shard [x10]</t>
  </si>
  <si>
    <t>Revive [x10]</t>
  </si>
  <si>
    <t>Rindo Berry [x10]</t>
  </si>
  <si>
    <t>Sharp Beak [x10]</t>
  </si>
  <si>
    <t>Silver Powder [x10]</t>
  </si>
  <si>
    <t>Soft Sand [x10]</t>
  </si>
  <si>
    <t>Spell Tag [x10]</t>
  </si>
  <si>
    <t>Tiny Mushroom [x10]</t>
  </si>
  <si>
    <t>Twisted Spoon [x10]</t>
  </si>
  <si>
    <t>Yache Berry [x10]</t>
  </si>
  <si>
    <t>Quick Ball [x153]</t>
  </si>
  <si>
    <t>Magnet [x10]</t>
  </si>
  <si>
    <t>Shell Bell [x10]</t>
  </si>
  <si>
    <t>Cleanse Tag [x10]</t>
  </si>
  <si>
    <t>EXITING VIRIDIAN FOREST</t>
  </si>
  <si>
    <t>Miracle Seed [x10]</t>
  </si>
  <si>
    <t>Tanga Berry [x10]</t>
  </si>
  <si>
    <t>Rawst Berry [x10]</t>
  </si>
  <si>
    <t>Persim Berry [x10]</t>
  </si>
  <si>
    <t>Dragon Fang [x10]</t>
  </si>
  <si>
    <t>Black Glasses [x10]</t>
  </si>
  <si>
    <t>Black Belt [x10]</t>
  </si>
  <si>
    <t>Psychic Seed [x10]</t>
  </si>
  <si>
    <t>EXITING PEWTER CITY</t>
  </si>
  <si>
    <t>Cheri Berry [x10]</t>
  </si>
  <si>
    <t>Chople Berry [x10]</t>
  </si>
  <si>
    <t>Moon Stone [x10]</t>
  </si>
  <si>
    <t>ROUTE 3 AFTER LASS SALLY</t>
  </si>
  <si>
    <t>Muscle Wing [x10]</t>
  </si>
  <si>
    <t>Protein [x10]</t>
  </si>
  <si>
    <t>Carbos [x10]</t>
  </si>
  <si>
    <t>Swift Wing [x10]</t>
  </si>
  <si>
    <t>Throat Spray [x10]</t>
  </si>
  <si>
    <t>Berry Juice [x10]</t>
  </si>
  <si>
    <t>Chesto Berry [x10]</t>
  </si>
  <si>
    <t>Ether [x10]</t>
  </si>
  <si>
    <t>Heal Ball [x50]</t>
  </si>
  <si>
    <t>Leppa Berry [x10]</t>
  </si>
  <si>
    <t>Lucky Egg [x10]</t>
  </si>
  <si>
    <t>PP Up [x10]</t>
  </si>
  <si>
    <t>Sitrus Berry [x10]</t>
  </si>
  <si>
    <t>Stardust [x10]</t>
  </si>
  <si>
    <t>Iron Ball [x10]</t>
  </si>
  <si>
    <t>ROUTE 4 (EAST) AFTER EXITING MT. MOON</t>
  </si>
  <si>
    <t>Calcium [x10]</t>
  </si>
  <si>
    <t>Genius Wing [x10]</t>
  </si>
  <si>
    <t>Heat Rock [x10]</t>
  </si>
  <si>
    <t>Star Piece [x10]</t>
  </si>
  <si>
    <t>Colbur Berry [x10]</t>
  </si>
  <si>
    <t>Wide Lens [x10]</t>
  </si>
  <si>
    <t>NUGGET BRIDGE AFTER DEFEATING GRUNT</t>
  </si>
  <si>
    <t>Health Wing [x10]</t>
  </si>
  <si>
    <t>HP Up [x10]</t>
  </si>
  <si>
    <t>Leek Stick [x10]</t>
  </si>
  <si>
    <t>Silk Scarf [x10]</t>
  </si>
  <si>
    <t>Wacan Berry [x10]</t>
  </si>
  <si>
    <t>CERULEAN CITY AFTER DEFEATING GRUNT</t>
  </si>
  <si>
    <t>Ability Pill [x306]</t>
  </si>
  <si>
    <t>Big Pearl [x10]</t>
  </si>
  <si>
    <t>Charcoal [x10]</t>
  </si>
  <si>
    <t>Haban Berry [x10]</t>
  </si>
  <si>
    <t>Pearl [x10]</t>
  </si>
  <si>
    <t>Ultra Ball [x10]</t>
  </si>
  <si>
    <t>Clever Wing [x50]</t>
  </si>
  <si>
    <t>Resist Wing [x50]</t>
  </si>
  <si>
    <t>Zinc [x10]</t>
  </si>
  <si>
    <t>Iron [x10]</t>
  </si>
  <si>
    <t>Air Balloon [x10]</t>
  </si>
  <si>
    <t>Terrain Extender [x10]</t>
  </si>
  <si>
    <t>BEFORE ENTERING VERMILION CITY</t>
  </si>
  <si>
    <t>Great Ball [x10]</t>
  </si>
  <si>
    <t>Prism Scale [x10]</t>
  </si>
  <si>
    <t>Roseli Berry [x10]</t>
  </si>
  <si>
    <t>Shuca Berry [x10]</t>
  </si>
  <si>
    <t>Yellow Shard [x10]</t>
  </si>
  <si>
    <t>DEFEATING LT. SURGE</t>
  </si>
  <si>
    <t>Dream Ball [x50]</t>
  </si>
  <si>
    <t>ROUTE 9 AFTER FIRST MANDATORY TRAINER</t>
  </si>
  <si>
    <t>Babiri Berry [x10]</t>
  </si>
  <si>
    <t>Black Sludge [x10]</t>
  </si>
  <si>
    <t>Everstone [x10]</t>
  </si>
  <si>
    <t>Flame Orb [x10]</t>
  </si>
  <si>
    <t>Kasib Berry [x10]</t>
  </si>
  <si>
    <t>Smoke Ball [x10]</t>
  </si>
  <si>
    <t>Thick Club [x10]</t>
  </si>
  <si>
    <t>Weakness Policy [x10]</t>
  </si>
  <si>
    <t>BEFORE ENTERING LAVENDER TOWN</t>
  </si>
  <si>
    <t>Big Nugget [x10]</t>
  </si>
  <si>
    <t>Dive Ball [x10]</t>
  </si>
  <si>
    <t>Dusk Ball [x10]</t>
  </si>
  <si>
    <t>Moomoo Milk [x10]</t>
  </si>
  <si>
    <t>Misty Seed [x10]</t>
  </si>
  <si>
    <t>ENTERING CELADON CITY GYM</t>
  </si>
  <si>
    <t>Electric Seed [x10]</t>
  </si>
  <si>
    <t>Metal Coat [x10]</t>
  </si>
  <si>
    <t>DEFEATING BRENDAN IN FUCHSIA CITY</t>
  </si>
  <si>
    <t>Smooth Rock [x10]</t>
  </si>
  <si>
    <t>Lucky Punch [x10]</t>
  </si>
  <si>
    <t>Expert Belt [x10]</t>
  </si>
  <si>
    <t>Yellow Nectar [x10]</t>
  </si>
  <si>
    <t>Salac Berry [x10]</t>
  </si>
  <si>
    <t>Pink Nectar [x10]</t>
  </si>
  <si>
    <t>Petaya Berry [x10]</t>
  </si>
  <si>
    <t>Metal Powder [x10]</t>
  </si>
  <si>
    <t>Liechi Berry [x10]</t>
  </si>
  <si>
    <t>King's Rock [x10]</t>
  </si>
  <si>
    <t>Heart Scale [x10]</t>
  </si>
  <si>
    <t>Grassy Seed [x10]</t>
  </si>
  <si>
    <t>Icy Rock [x10]</t>
  </si>
  <si>
    <t>Damp Rock [x10]</t>
  </si>
  <si>
    <t>Leftovers [x10]</t>
  </si>
  <si>
    <t>PP Max [x153]</t>
  </si>
  <si>
    <t>DEFEATING BLAINE</t>
  </si>
  <si>
    <t>Life Orb [x10]</t>
  </si>
  <si>
    <t>Power Herb [x10]</t>
  </si>
  <si>
    <t>DEFEATING CLAIR</t>
  </si>
  <si>
    <t>Beast Ball [x100]</t>
  </si>
  <si>
    <t>PLAYER'S HOUSE (POST-GAME)</t>
  </si>
  <si>
    <t>Choice Scarf [x10]</t>
  </si>
  <si>
    <t>Choice Specs [x10]</t>
  </si>
  <si>
    <t>Choice Band [x10]</t>
  </si>
  <si>
    <t>Eviolite [x10]</t>
  </si>
  <si>
    <t>Rocky Helmet [x10]</t>
  </si>
  <si>
    <r>
      <rPr>
        <rFont val="Sofia Sans Semi Condensed"/>
        <b/>
        <i/>
        <color rgb="FFB7B7B7"/>
        <sz val="11.0"/>
      </rPr>
      <t xml:space="preserve">SHARDS - Used for obtaining </t>
    </r>
    <r>
      <rPr>
        <rFont val="Sofia Sans Semi Condensed"/>
        <b/>
        <i/>
        <color rgb="FFB7B7B7"/>
        <sz val="11.0"/>
      </rPr>
      <t>Starter Eggs</t>
    </r>
    <r>
      <rPr>
        <rFont val="Sofia Sans Semi Condensed"/>
        <b/>
        <i/>
        <color rgb="FFB7B7B7"/>
        <sz val="11.0"/>
      </rPr>
      <t>,</t>
    </r>
    <r>
      <rPr>
        <rFont val="Sofia Sans Semi Condensed"/>
        <b/>
        <i/>
        <color rgb="FFB7B7B7"/>
        <sz val="11.0"/>
      </rPr>
      <t xml:space="preserve"> Pikachu forms</t>
    </r>
    <r>
      <rPr>
        <rFont val="Sofia Sans Semi Condensed"/>
        <b/>
        <i/>
        <color rgb="FFB7B7B7"/>
        <sz val="11.0"/>
      </rPr>
      <t xml:space="preserve"> and </t>
    </r>
    <r>
      <rPr>
        <rFont val="Sofia Sans Semi Condensed"/>
        <b/>
        <i/>
        <color rgb="FFB7B7B7"/>
        <sz val="11.0"/>
      </rPr>
      <t>fossils.</t>
    </r>
  </si>
  <si>
    <t>GREEN SHARD</t>
  </si>
  <si>
    <t>BLUE SHARD</t>
  </si>
  <si>
    <t>RED SHARD</t>
  </si>
  <si>
    <t>YELLOW SHARD</t>
  </si>
  <si>
    <t>Bellsprout</t>
  </si>
  <si>
    <t>Psyduck</t>
  </si>
  <si>
    <t>Slugma</t>
  </si>
  <si>
    <t>Electrike</t>
  </si>
  <si>
    <t>Weepinbell</t>
  </si>
  <si>
    <t>Golduck</t>
  </si>
  <si>
    <t>Magcargo</t>
  </si>
  <si>
    <t>Manectric</t>
  </si>
  <si>
    <t>Victreebel</t>
  </si>
  <si>
    <t>Houndour</t>
  </si>
  <si>
    <t>Helioptile</t>
  </si>
  <si>
    <t>Cherubi</t>
  </si>
  <si>
    <t>Houndoom</t>
  </si>
  <si>
    <t>Heliolisk</t>
  </si>
  <si>
    <t>Cherrim</t>
  </si>
  <si>
    <t>Litleo</t>
  </si>
  <si>
    <t>Pyroar</t>
  </si>
  <si>
    <r>
      <rPr>
        <rFont val="Sofia Sans Semi Condensed"/>
        <b/>
        <i/>
        <color rgb="FFB7B7B7"/>
        <sz val="11.0"/>
      </rPr>
      <t>LUCKY EGGS - Unobtainable from Pelipper</t>
    </r>
    <r>
      <rPr>
        <rFont val="Sofia Sans Semi Condensed"/>
        <b/>
        <i/>
        <color rgb="FFE06666"/>
        <sz val="11.0"/>
      </rPr>
      <t xml:space="preserve"> </t>
    </r>
    <r>
      <rPr>
        <rFont val="Sofia Sans Semi Condensed"/>
        <b/>
        <i/>
        <color rgb="FFB7B7B7"/>
        <sz val="11.0"/>
      </rPr>
      <t xml:space="preserve">in </t>
    </r>
    <r>
      <rPr>
        <rFont val="Sofia Sans Semi Condensed"/>
        <b/>
        <i/>
        <color rgb="FFE06666"/>
        <sz val="11.0"/>
      </rPr>
      <t>Hardcore.</t>
    </r>
  </si>
  <si>
    <t>LUCKY EGG</t>
  </si>
  <si>
    <t>Chansey</t>
  </si>
  <si>
    <t>Blissey</t>
  </si>
  <si>
    <t>Pelipper</t>
  </si>
  <si>
    <t>NUGGETS -Sell for money.</t>
  </si>
  <si>
    <t>NUGGET</t>
  </si>
  <si>
    <t>BIG NUGGET</t>
  </si>
  <si>
    <t>Meowth</t>
  </si>
  <si>
    <t>Persian</t>
  </si>
  <si>
    <t>Meowth-Alola</t>
  </si>
  <si>
    <t>Persian-Alola</t>
  </si>
  <si>
    <t>WISHING PIECES - Commonly found in raid dens.</t>
  </si>
  <si>
    <t>WISHING PIECE</t>
  </si>
  <si>
    <r>
      <rPr>
        <rFont val="Sofia Sans Semi Condensed"/>
        <b/>
        <i/>
        <color rgb="FFB7B7B7"/>
        <sz val="11.0"/>
      </rPr>
      <t xml:space="preserve">AIR BALLOONS - Unobtainable in </t>
    </r>
    <r>
      <rPr>
        <rFont val="Sofia Sans Semi Condensed"/>
        <b/>
        <i/>
        <color rgb="FFE06666"/>
        <sz val="11.0"/>
      </rPr>
      <t>Hardcore.</t>
    </r>
  </si>
  <si>
    <t>AIR BALLOON</t>
  </si>
  <si>
    <t>Drifloon</t>
  </si>
  <si>
    <t>Drifblim</t>
  </si>
  <si>
    <r>
      <rPr>
        <rFont val="Sofia Sans Semi Condensed"/>
        <b/>
        <i/>
        <color rgb="FFB7B7B7"/>
        <sz val="11.0"/>
      </rPr>
      <t xml:space="preserve">WEATHER ROCKS - All unobtainable in </t>
    </r>
    <r>
      <rPr>
        <rFont val="Sofia Sans Semi Condensed"/>
        <b/>
        <i/>
        <color rgb="FFE06666"/>
        <sz val="11.0"/>
      </rPr>
      <t>Hardcore.</t>
    </r>
  </si>
  <si>
    <t>DAMP ROCK</t>
  </si>
  <si>
    <t>HEAT ROCK</t>
  </si>
  <si>
    <t>ICY ROCK</t>
  </si>
  <si>
    <t>SMOOTH ROCK</t>
  </si>
  <si>
    <t>Ninetales</t>
  </si>
  <si>
    <t>Abomasnow</t>
  </si>
  <si>
    <t>Hippowdon</t>
  </si>
  <si>
    <t>Politoed</t>
  </si>
  <si>
    <t>Torkoal</t>
  </si>
  <si>
    <t>Ninetales-Alola</t>
  </si>
  <si>
    <r>
      <rPr>
        <rFont val="Sofia Sans Semi Condensed"/>
        <b/>
        <i/>
        <color rgb="FFB7B7B7"/>
        <sz val="11.0"/>
      </rPr>
      <t xml:space="preserve">WEAKNESS POLICYS - Unobtainable in </t>
    </r>
    <r>
      <rPr>
        <rFont val="Sofia Sans Semi Condensed"/>
        <b/>
        <i/>
        <color rgb="FFE06666"/>
        <sz val="11.0"/>
      </rPr>
      <t>Hardcore.</t>
    </r>
  </si>
  <si>
    <t>WEAKNESS POL.</t>
  </si>
  <si>
    <t>Graveler</t>
  </si>
  <si>
    <t>Graveler-Alola</t>
  </si>
  <si>
    <t>Golem</t>
  </si>
  <si>
    <t>Golem-Alola</t>
  </si>
  <si>
    <t>TERRAIN SEEDS</t>
  </si>
  <si>
    <t>GRASSY SEED</t>
  </si>
  <si>
    <t>MISTY SEED</t>
  </si>
  <si>
    <t>PSYCHIC SEED</t>
  </si>
  <si>
    <t>ELECTRIC SEED</t>
  </si>
  <si>
    <t>Tsareena</t>
  </si>
  <si>
    <t>Comfey</t>
  </si>
  <si>
    <t>Exeggcute</t>
  </si>
  <si>
    <t>Togedemaru</t>
  </si>
  <si>
    <t>Bug</t>
  </si>
  <si>
    <t>bug</t>
  </si>
  <si>
    <t>abomasite</t>
  </si>
  <si>
    <t>aloraichium-z--held</t>
  </si>
  <si>
    <t>beast</t>
  </si>
  <si>
    <t>ability-capsule</t>
  </si>
  <si>
    <t>ability-patch</t>
  </si>
  <si>
    <t>balm-mushroom</t>
  </si>
  <si>
    <t>berry-sweet</t>
  </si>
  <si>
    <t>absorb-bulb</t>
  </si>
  <si>
    <t>acro-bike</t>
  </si>
  <si>
    <t>aguav</t>
  </si>
  <si>
    <t>air-mail</t>
  </si>
  <si>
    <t>dire-hit</t>
  </si>
  <si>
    <t>black</t>
  </si>
  <si>
    <t>amaze</t>
  </si>
  <si>
    <t>armor</t>
  </si>
  <si>
    <t>macho-brace</t>
  </si>
  <si>
    <t>full</t>
  </si>
  <si>
    <t>draco</t>
  </si>
  <si>
    <t>beach-glass</t>
  </si>
  <si>
    <t>blue</t>
  </si>
  <si>
    <t>bachs-food-tin</t>
  </si>
  <si>
    <t>l</t>
  </si>
  <si>
    <t>attack</t>
  </si>
  <si>
    <t>Dark</t>
  </si>
  <si>
    <t>dark</t>
  </si>
  <si>
    <t>absolite</t>
  </si>
  <si>
    <t>buginium-z--held</t>
  </si>
  <si>
    <t>cherish</t>
  </si>
  <si>
    <t>antidote</t>
  </si>
  <si>
    <t>armorite-ore</t>
  </si>
  <si>
    <t>big-mushroom</t>
  </si>
  <si>
    <t>chipped-pot</t>
  </si>
  <si>
    <t>adamant-orb</t>
  </si>
  <si>
    <t>adventure-guide</t>
  </si>
  <si>
    <t>apicot</t>
  </si>
  <si>
    <t>bead-mail</t>
  </si>
  <si>
    <t>guard-spec</t>
  </si>
  <si>
    <t>boost</t>
  </si>
  <si>
    <t>bird</t>
  </si>
  <si>
    <t>power-anklet</t>
  </si>
  <si>
    <t>lax</t>
  </si>
  <si>
    <t>dread</t>
  </si>
  <si>
    <t>chalky-stone</t>
  </si>
  <si>
    <t>green</t>
  </si>
  <si>
    <t>bobs-food-tin</t>
  </si>
  <si>
    <t>m</t>
  </si>
  <si>
    <t>defense</t>
  </si>
  <si>
    <t>Dragon</t>
  </si>
  <si>
    <t>dragon</t>
  </si>
  <si>
    <t>aerodactylite</t>
  </si>
  <si>
    <t>darkinium-z--held</t>
  </si>
  <si>
    <t>dive</t>
  </si>
  <si>
    <t>awakening</t>
  </si>
  <si>
    <t>bottle-cap</t>
  </si>
  <si>
    <t>big-nugget</t>
  </si>
  <si>
    <t>clover-sweet</t>
  </si>
  <si>
    <t>adrenaline-orb</t>
  </si>
  <si>
    <t>apricorn-box</t>
  </si>
  <si>
    <t>aspear</t>
  </si>
  <si>
    <t>bloom-mail</t>
  </si>
  <si>
    <t>max-mushrooms</t>
  </si>
  <si>
    <t>red</t>
  </si>
  <si>
    <t>damp</t>
  </si>
  <si>
    <t>claw</t>
  </si>
  <si>
    <t>power-band</t>
  </si>
  <si>
    <t>luck</t>
  </si>
  <si>
    <t>earth</t>
  </si>
  <si>
    <t>gold-leaf</t>
  </si>
  <si>
    <t>orange</t>
  </si>
  <si>
    <t>boiled-egg</t>
  </si>
  <si>
    <t>s</t>
  </si>
  <si>
    <t>neutral</t>
  </si>
  <si>
    <t>Electric</t>
  </si>
  <si>
    <t>electric</t>
  </si>
  <si>
    <t>aggronite</t>
  </si>
  <si>
    <t>decidium-z--held</t>
  </si>
  <si>
    <t>Ace Trainer</t>
  </si>
  <si>
    <t>dream</t>
  </si>
  <si>
    <t>berry-juice</t>
  </si>
  <si>
    <t>discount-coupon</t>
  </si>
  <si>
    <t>big-pearl</t>
  </si>
  <si>
    <t>cracked-pot</t>
  </si>
  <si>
    <t>air-balloon</t>
  </si>
  <si>
    <t>aqua-suit</t>
  </si>
  <si>
    <t>babiri</t>
  </si>
  <si>
    <t>brick-mail</t>
  </si>
  <si>
    <t>x-accuracy</t>
  </si>
  <si>
    <t>white</t>
  </si>
  <si>
    <t>gooey</t>
  </si>
  <si>
    <t>cover</t>
  </si>
  <si>
    <t>power-belt</t>
  </si>
  <si>
    <t>odd</t>
  </si>
  <si>
    <t>fist</t>
  </si>
  <si>
    <t>pink</t>
  </si>
  <si>
    <t>leaf-letter-eevee</t>
  </si>
  <si>
    <t>bread</t>
  </si>
  <si>
    <t>xl</t>
  </si>
  <si>
    <t>special-attack</t>
  </si>
  <si>
    <t>Fairy</t>
  </si>
  <si>
    <t>fairy</t>
  </si>
  <si>
    <t>alakazite</t>
  </si>
  <si>
    <t>dragonium-z--held</t>
  </si>
  <si>
    <t>Super Nerd</t>
  </si>
  <si>
    <t>dusk</t>
  </si>
  <si>
    <t>big-malasada</t>
  </si>
  <si>
    <t>dynamax-candy</t>
  </si>
  <si>
    <t>comet-shard</t>
  </si>
  <si>
    <t>dawn-stone</t>
  </si>
  <si>
    <t>amulet-coin</t>
  </si>
  <si>
    <t>armor-pass</t>
  </si>
  <si>
    <t>belue</t>
  </si>
  <si>
    <t>bridge-mail-d</t>
  </si>
  <si>
    <t>x-attack</t>
  </si>
  <si>
    <t>yellow</t>
  </si>
  <si>
    <t>growth</t>
  </si>
  <si>
    <t>dino</t>
  </si>
  <si>
    <t>power-bracer</t>
  </si>
  <si>
    <t>pure</t>
  </si>
  <si>
    <t>flame</t>
  </si>
  <si>
    <t>leaf-letter-pikachu</t>
  </si>
  <si>
    <t>purple</t>
  </si>
  <si>
    <t>brittle-bones</t>
  </si>
  <si>
    <t>xs</t>
  </si>
  <si>
    <t>special-defense</t>
  </si>
  <si>
    <t>Fighting</t>
  </si>
  <si>
    <t>fighting</t>
  </si>
  <si>
    <t>altarianite</t>
  </si>
  <si>
    <t>eevium-z--held</t>
  </si>
  <si>
    <t>Bug Catcher 2</t>
  </si>
  <si>
    <t>fast</t>
  </si>
  <si>
    <t>burn-heal</t>
  </si>
  <si>
    <t>dynamax-crystal</t>
  </si>
  <si>
    <t>nugget</t>
  </si>
  <si>
    <t>deep-sea-scale</t>
  </si>
  <si>
    <t>assault-vest</t>
  </si>
  <si>
    <t>auroraticket</t>
  </si>
  <si>
    <t>bluk</t>
  </si>
  <si>
    <t>bridge-mail-m</t>
  </si>
  <si>
    <t>x-defense</t>
  </si>
  <si>
    <t>rich</t>
  </si>
  <si>
    <t>dome</t>
  </si>
  <si>
    <t>power-lens</t>
  </si>
  <si>
    <t>rock</t>
  </si>
  <si>
    <t>icicle</t>
  </si>
  <si>
    <t>lone-earring</t>
  </si>
  <si>
    <t>coconut-milk</t>
  </si>
  <si>
    <t>speed</t>
  </si>
  <si>
    <t>Fire</t>
  </si>
  <si>
    <t>fire</t>
  </si>
  <si>
    <t>ampharosite</t>
  </si>
  <si>
    <t>electrium-z--held</t>
  </si>
  <si>
    <t>Super Nerd 2</t>
  </si>
  <si>
    <t>feather</t>
  </si>
  <si>
    <t>calcium</t>
  </si>
  <si>
    <t>dynite-ore</t>
  </si>
  <si>
    <t>pearl</t>
  </si>
  <si>
    <t>deep-sea-tooth</t>
  </si>
  <si>
    <t>big-root</t>
  </si>
  <si>
    <t>autograph</t>
  </si>
  <si>
    <t>charti</t>
  </si>
  <si>
    <t>bridge-mail-s</t>
  </si>
  <si>
    <t>x-sp-atk</t>
  </si>
  <si>
    <t>stable</t>
  </si>
  <si>
    <t>drake</t>
  </si>
  <si>
    <t>power-weight</t>
  </si>
  <si>
    <t>rose</t>
  </si>
  <si>
    <t>insect</t>
  </si>
  <si>
    <t>marble</t>
  </si>
  <si>
    <t>fancy-apple</t>
  </si>
  <si>
    <t>Flying</t>
  </si>
  <si>
    <t>flying</t>
  </si>
  <si>
    <t>audinite</t>
  </si>
  <si>
    <t>fairium-z--held</t>
  </si>
  <si>
    <t>Super Nerd 3</t>
  </si>
  <si>
    <t>friend</t>
  </si>
  <si>
    <t>carbos</t>
  </si>
  <si>
    <t>escape-rope</t>
  </si>
  <si>
    <t>pearl-string</t>
  </si>
  <si>
    <t>dragon-scale</t>
  </si>
  <si>
    <t>binding-band</t>
  </si>
  <si>
    <t>azure-flute</t>
  </si>
  <si>
    <t>cheri</t>
  </si>
  <si>
    <t>bridge-mail-t</t>
  </si>
  <si>
    <t>x-sp-def</t>
  </si>
  <si>
    <t>surprise</t>
  </si>
  <si>
    <t>fish</t>
  </si>
  <si>
    <t>sea</t>
  </si>
  <si>
    <t>iron</t>
  </si>
  <si>
    <t>polished-mud-ball</t>
  </si>
  <si>
    <t>fresh-cream</t>
  </si>
  <si>
    <t>Ghost</t>
  </si>
  <si>
    <t>ghost</t>
  </si>
  <si>
    <t>banettite</t>
  </si>
  <si>
    <t>fightinium-z--held</t>
  </si>
  <si>
    <t>Ace Trainer 2</t>
  </si>
  <si>
    <t>gigaton</t>
  </si>
  <si>
    <t>casteliacone</t>
  </si>
  <si>
    <t>fluffy-tail</t>
  </si>
  <si>
    <t>pretty-wing</t>
  </si>
  <si>
    <t>dubious-disc</t>
  </si>
  <si>
    <t>black-belt</t>
  </si>
  <si>
    <t>band-autograph</t>
  </si>
  <si>
    <t>chesto</t>
  </si>
  <si>
    <t>bridge-mail-v</t>
  </si>
  <si>
    <t>x-speed</t>
  </si>
  <si>
    <t>helix</t>
  </si>
  <si>
    <t>wave</t>
  </si>
  <si>
    <t>meadow</t>
  </si>
  <si>
    <t>silver-leaf</t>
  </si>
  <si>
    <t>fried-food</t>
  </si>
  <si>
    <t>Grass</t>
  </si>
  <si>
    <t>grass</t>
  </si>
  <si>
    <t>beedrillite</t>
  </si>
  <si>
    <t>firium-z--held</t>
  </si>
  <si>
    <t>great</t>
  </si>
  <si>
    <t>clever-wing</t>
  </si>
  <si>
    <t>galarica-twig</t>
  </si>
  <si>
    <t>rare-bone</t>
  </si>
  <si>
    <t>dusk-stone</t>
  </si>
  <si>
    <t>black-glasses</t>
  </si>
  <si>
    <t>basement-key</t>
  </si>
  <si>
    <t>chilan</t>
  </si>
  <si>
    <t>bubble-mail</t>
  </si>
  <si>
    <t>jaw</t>
  </si>
  <si>
    <t>mind</t>
  </si>
  <si>
    <t>small-bouquet</t>
  </si>
  <si>
    <t>fruit-bunch</t>
  </si>
  <si>
    <t>Ground</t>
  </si>
  <si>
    <t>ground</t>
  </si>
  <si>
    <t>blastoisinite</t>
  </si>
  <si>
    <t>flyinium-z--held</t>
  </si>
  <si>
    <t>heal</t>
  </si>
  <si>
    <t>elixir</t>
  </si>
  <si>
    <t>gold-bottle-cap</t>
  </si>
  <si>
    <t>relic-band</t>
  </si>
  <si>
    <t>electirizer</t>
  </si>
  <si>
    <t>black-sludge</t>
  </si>
  <si>
    <t>basement-key--goldenrod</t>
  </si>
  <si>
    <t>chople</t>
  </si>
  <si>
    <t>dream-mail</t>
  </si>
  <si>
    <t>old-amber</t>
  </si>
  <si>
    <t>pixie</t>
  </si>
  <si>
    <t>stretchy-spring</t>
  </si>
  <si>
    <t>gigantamix</t>
  </si>
  <si>
    <t>Ice</t>
  </si>
  <si>
    <t>ice</t>
  </si>
  <si>
    <t>blazikenite</t>
  </si>
  <si>
    <t>ghostium-z--held</t>
  </si>
  <si>
    <t>Ace Trainer 3</t>
  </si>
  <si>
    <t>heavy</t>
  </si>
  <si>
    <t>energy-powder</t>
  </si>
  <si>
    <t>heart-scale</t>
  </si>
  <si>
    <t>relic-copper</t>
  </si>
  <si>
    <t>fire-stone</t>
  </si>
  <si>
    <t>blue-orb</t>
  </si>
  <si>
    <t>basement-key--new-mauville</t>
  </si>
  <si>
    <t>coba</t>
  </si>
  <si>
    <t>fab-mail</t>
  </si>
  <si>
    <t>plume</t>
  </si>
  <si>
    <t>sky</t>
  </si>
  <si>
    <t>tropical-shell</t>
  </si>
  <si>
    <t>instant-noodles</t>
  </si>
  <si>
    <t>Normal</t>
  </si>
  <si>
    <t>poison</t>
  </si>
  <si>
    <t>normal</t>
  </si>
  <si>
    <t>cameruptite</t>
  </si>
  <si>
    <t>grassium-z--held</t>
  </si>
  <si>
    <t>hisuian-great</t>
  </si>
  <si>
    <t>energy-root</t>
  </si>
  <si>
    <t>honey</t>
  </si>
  <si>
    <t>relic-crown</t>
  </si>
  <si>
    <t>flower-sweet</t>
  </si>
  <si>
    <t>blunder-policy</t>
  </si>
  <si>
    <t>berry-pots</t>
  </si>
  <si>
    <t>colbur</t>
  </si>
  <si>
    <t>favored-mail</t>
  </si>
  <si>
    <t>root</t>
  </si>
  <si>
    <t>splash</t>
  </si>
  <si>
    <t>large-leek</t>
  </si>
  <si>
    <t>Poison</t>
  </si>
  <si>
    <t>psychic</t>
  </si>
  <si>
    <t>charizardite-x</t>
  </si>
  <si>
    <t>groundium-z--held</t>
  </si>
  <si>
    <t>Old Man 2</t>
  </si>
  <si>
    <t>hisuian-heavy</t>
  </si>
  <si>
    <t>ether</t>
  </si>
  <si>
    <t>lure</t>
  </si>
  <si>
    <t>relic-gold</t>
  </si>
  <si>
    <t>galarica-cuff</t>
  </si>
  <si>
    <t>bright-powder</t>
  </si>
  <si>
    <t>berry-pouch</t>
  </si>
  <si>
    <t>cornn</t>
  </si>
  <si>
    <t>flame-mail</t>
  </si>
  <si>
    <t>sail</t>
  </si>
  <si>
    <t>spooky</t>
  </si>
  <si>
    <t>mixed-mushrooms</t>
  </si>
  <si>
    <t>charizardite-y</t>
  </si>
  <si>
    <t>icium-z--held</t>
  </si>
  <si>
    <t>Tamer 2</t>
  </si>
  <si>
    <t>hisuian-poke</t>
  </si>
  <si>
    <t>fresh-water</t>
  </si>
  <si>
    <t>max-lure</t>
  </si>
  <si>
    <t>relic-silver</t>
  </si>
  <si>
    <t>galarica-wreath</t>
  </si>
  <si>
    <t>burn-drive</t>
  </si>
  <si>
    <t>bicycle</t>
  </si>
  <si>
    <t>custap</t>
  </si>
  <si>
    <t>glitter-mail</t>
  </si>
  <si>
    <t>skull</t>
  </si>
  <si>
    <t>stone</t>
  </si>
  <si>
    <t>moomoo-cheese</t>
  </si>
  <si>
    <t>Rock</t>
  </si>
  <si>
    <t>steel</t>
  </si>
  <si>
    <t>diancite</t>
  </si>
  <si>
    <t>incinium-z--held</t>
  </si>
  <si>
    <t>hisuian-ultra</t>
  </si>
  <si>
    <t>full-heal</t>
  </si>
  <si>
    <t>max-repel</t>
  </si>
  <si>
    <t>relic-statue</t>
  </si>
  <si>
    <t>ice-stone</t>
  </si>
  <si>
    <t>cell-battery</t>
  </si>
  <si>
    <t>bike--green</t>
  </si>
  <si>
    <t>durin</t>
  </si>
  <si>
    <t>grass-mail</t>
  </si>
  <si>
    <t>toxic</t>
  </si>
  <si>
    <t>pack-of-potatoes</t>
  </si>
  <si>
    <t>Steel</t>
  </si>
  <si>
    <t>water</t>
  </si>
  <si>
    <t>galladite</t>
  </si>
  <si>
    <t>kommonium-z--held</t>
  </si>
  <si>
    <t>jet</t>
  </si>
  <si>
    <t>full-restore</t>
  </si>
  <si>
    <t>odd-keystone</t>
  </si>
  <si>
    <t>relic-vase</t>
  </si>
  <si>
    <t>kings-rock</t>
  </si>
  <si>
    <t>charcoal</t>
  </si>
  <si>
    <t>enigma</t>
  </si>
  <si>
    <t>greet-mail</t>
  </si>
  <si>
    <t>zap</t>
  </si>
  <si>
    <t>packaged-curry</t>
  </si>
  <si>
    <t>Water</t>
  </si>
  <si>
    <t>garchompite</t>
  </si>
  <si>
    <t>lunalium-z--held</t>
  </si>
  <si>
    <t>leaden</t>
  </si>
  <si>
    <t>genius-wing</t>
  </si>
  <si>
    <t>pass-orb</t>
  </si>
  <si>
    <t>shoal-salt</t>
  </si>
  <si>
    <t>leaf-stone</t>
  </si>
  <si>
    <t>chill-drive</t>
  </si>
  <si>
    <t>bike--yellow</t>
  </si>
  <si>
    <t>figy</t>
  </si>
  <si>
    <t>harbor-mail</t>
  </si>
  <si>
    <t>pasta</t>
  </si>
  <si>
    <t>gardevoirite</t>
  </si>
  <si>
    <t>lycanium-z--held</t>
  </si>
  <si>
    <t>level</t>
  </si>
  <si>
    <t>heal-powder</t>
  </si>
  <si>
    <t>pink-nectar</t>
  </si>
  <si>
    <t>shoal-shell</t>
  </si>
  <si>
    <t>love-sweet</t>
  </si>
  <si>
    <t>choice-band</t>
  </si>
  <si>
    <t>bike-voucher</t>
  </si>
  <si>
    <t>ganlon</t>
  </si>
  <si>
    <t>heart-mail</t>
  </si>
  <si>
    <t>precooked-burger</t>
  </si>
  <si>
    <t>gengarite</t>
  </si>
  <si>
    <t>marshadium-z--held</t>
  </si>
  <si>
    <t>love</t>
  </si>
  <si>
    <t>health-wing</t>
  </si>
  <si>
    <t>poke-doll</t>
  </si>
  <si>
    <t>slowpoke-tail</t>
  </si>
  <si>
    <t>magmarizer</t>
  </si>
  <si>
    <t>choice-scarf</t>
  </si>
  <si>
    <t>black-mane-hair</t>
  </si>
  <si>
    <t>golden-nanab</t>
  </si>
  <si>
    <t>inquiry-mail</t>
  </si>
  <si>
    <t>pungent-root</t>
  </si>
  <si>
    <t>glalitite</t>
  </si>
  <si>
    <t>mewnium-z--held</t>
  </si>
  <si>
    <t>hp-up</t>
  </si>
  <si>
    <t>poke-toy</t>
  </si>
  <si>
    <t>star-piece</t>
  </si>
  <si>
    <t>metal-coat</t>
  </si>
  <si>
    <t>choice-specs</t>
  </si>
  <si>
    <t>blue-card</t>
  </si>
  <si>
    <t>golden-pinap</t>
  </si>
  <si>
    <t>like-mail</t>
  </si>
  <si>
    <t>salad-mix</t>
  </si>
  <si>
    <t>gyaradosite</t>
  </si>
  <si>
    <t>mimikium-z--held</t>
  </si>
  <si>
    <t>luxury</t>
  </si>
  <si>
    <t>hyper-potion</t>
  </si>
  <si>
    <t>purple-nectar</t>
  </si>
  <si>
    <t>stardust</t>
  </si>
  <si>
    <t>moon-stone</t>
  </si>
  <si>
    <t>cleanse-tag</t>
  </si>
  <si>
    <t>camping-gear</t>
  </si>
  <si>
    <t>golden-razz</t>
  </si>
  <si>
    <t>mech-mail</t>
  </si>
  <si>
    <t>sausages</t>
  </si>
  <si>
    <t>heracronite</t>
  </si>
  <si>
    <t>normalium-z--held</t>
  </si>
  <si>
    <t>master</t>
  </si>
  <si>
    <t>ice-heal</t>
  </si>
  <si>
    <t>red-nectar</t>
  </si>
  <si>
    <t>tiny-mushroom</t>
  </si>
  <si>
    <t>oval-stone</t>
  </si>
  <si>
    <t>damp-rock</t>
  </si>
  <si>
    <t>card-key</t>
  </si>
  <si>
    <t>grepa</t>
  </si>
  <si>
    <t>mosaic-mail</t>
  </si>
  <si>
    <t>smoke-poke-tail</t>
  </si>
  <si>
    <t>houndoominite</t>
  </si>
  <si>
    <t>pikanium-z--held</t>
  </si>
  <si>
    <t>moon</t>
  </si>
  <si>
    <t>repel</t>
  </si>
  <si>
    <t>prism-scale</t>
  </si>
  <si>
    <t>destiny-knot</t>
  </si>
  <si>
    <t>carrot-seeds</t>
  </si>
  <si>
    <t>haban</t>
  </si>
  <si>
    <t>orange-mail</t>
  </si>
  <si>
    <t>spice-mix</t>
  </si>
  <si>
    <t>kangaskhanite</t>
  </si>
  <si>
    <t>pikashunium-z--held</t>
  </si>
  <si>
    <t>nest</t>
  </si>
  <si>
    <t>lava-cookie</t>
  </si>
  <si>
    <t>soothe-bell</t>
  </si>
  <si>
    <t>protector</t>
  </si>
  <si>
    <t>douse-drive</t>
  </si>
  <si>
    <t>catching-charm</t>
  </si>
  <si>
    <t>hondew</t>
  </si>
  <si>
    <t>reply-mail</t>
  </si>
  <si>
    <t>tin-of-beans</t>
  </si>
  <si>
    <t>latiasite</t>
  </si>
  <si>
    <t>poisonium-z--held</t>
  </si>
  <si>
    <t>net</t>
  </si>
  <si>
    <t>lemonade</t>
  </si>
  <si>
    <t>strange-souvenir</t>
  </si>
  <si>
    <t>razor-claw</t>
  </si>
  <si>
    <t>dragon-fang</t>
  </si>
  <si>
    <t>clear-bell</t>
  </si>
  <si>
    <t>iapapa</t>
  </si>
  <si>
    <t>retro-mail</t>
  </si>
  <si>
    <t>latiosite</t>
  </si>
  <si>
    <t>primarium-z--held</t>
  </si>
  <si>
    <t>origin</t>
  </si>
  <si>
    <t>lumiose-galette</t>
  </si>
  <si>
    <t>super-lure</t>
  </si>
  <si>
    <t>razor-fang</t>
  </si>
  <si>
    <t>eject-button</t>
  </si>
  <si>
    <t>coin-case</t>
  </si>
  <si>
    <t>jaboca</t>
  </si>
  <si>
    <t>rsvp-mail</t>
  </si>
  <si>
    <t>lopunnite</t>
  </si>
  <si>
    <t>psychium-z--held</t>
  </si>
  <si>
    <t>park</t>
  </si>
  <si>
    <t>max-elixir</t>
  </si>
  <si>
    <t>super-repel</t>
  </si>
  <si>
    <t>reaper-cloth</t>
  </si>
  <si>
    <t>eject-pack</t>
  </si>
  <si>
    <t>colress-machine</t>
  </si>
  <si>
    <t>kasib</t>
  </si>
  <si>
    <t>shadow-mail</t>
  </si>
  <si>
    <t>lucarionite</t>
  </si>
  <si>
    <t>rockium-z--held</t>
  </si>
  <si>
    <t>poke</t>
  </si>
  <si>
    <t>max-ether</t>
  </si>
  <si>
    <t>wishing-piece</t>
  </si>
  <si>
    <t>ribbon-sweet</t>
  </si>
  <si>
    <t>electric-seed</t>
  </si>
  <si>
    <t>common-stone</t>
  </si>
  <si>
    <t>kebia</t>
  </si>
  <si>
    <t>snow-mail</t>
  </si>
  <si>
    <t>manectite</t>
  </si>
  <si>
    <t>snorlium-z--held</t>
  </si>
  <si>
    <t>premier</t>
  </si>
  <si>
    <t>max-honey</t>
  </si>
  <si>
    <t>yellow-nectar</t>
  </si>
  <si>
    <t>sachet</t>
  </si>
  <si>
    <t>everstone</t>
  </si>
  <si>
    <t>contest-costume--dress</t>
  </si>
  <si>
    <t>kee</t>
  </si>
  <si>
    <t>space-mail</t>
  </si>
  <si>
    <t>mawilite</t>
  </si>
  <si>
    <t>solganium-z--held</t>
  </si>
  <si>
    <t>quick</t>
  </si>
  <si>
    <t>max-potion</t>
  </si>
  <si>
    <t>shiny-stone</t>
  </si>
  <si>
    <t>eviolite</t>
  </si>
  <si>
    <t>contest-costume--jacket</t>
  </si>
  <si>
    <t>kelpsy</t>
  </si>
  <si>
    <t>steel-mail</t>
  </si>
  <si>
    <t>medichamite</t>
  </si>
  <si>
    <t>steelium-z--held</t>
  </si>
  <si>
    <t>repeat</t>
  </si>
  <si>
    <t>max-revive</t>
  </si>
  <si>
    <t>star-sweet</t>
  </si>
  <si>
    <t>expert-belt</t>
  </si>
  <si>
    <t>contest-pass</t>
  </si>
  <si>
    <t>lansat</t>
  </si>
  <si>
    <t>thanks-mail</t>
  </si>
  <si>
    <t>metagrossite</t>
  </si>
  <si>
    <t>tapunium-z--held</t>
  </si>
  <si>
    <t>safari</t>
  </si>
  <si>
    <t>moomoo-milk</t>
  </si>
  <si>
    <t>strawberry-sweet</t>
  </si>
  <si>
    <t>flame-orb</t>
  </si>
  <si>
    <t>coupon-1</t>
  </si>
  <si>
    <t>leppa</t>
  </si>
  <si>
    <t>tropic-mail</t>
  </si>
  <si>
    <t>mewtwonite-x</t>
  </si>
  <si>
    <t>ultranecrozium-z--held</t>
  </si>
  <si>
    <t>sport</t>
  </si>
  <si>
    <t>muscle-wing</t>
  </si>
  <si>
    <t>sun-stone</t>
  </si>
  <si>
    <t>float-stone</t>
  </si>
  <si>
    <t>coupon-2</t>
  </si>
  <si>
    <t>liechi</t>
  </si>
  <si>
    <t>tunnel-mail</t>
  </si>
  <si>
    <t>mewtwonite-y</t>
  </si>
  <si>
    <t>waterium-z--held</t>
  </si>
  <si>
    <t>strange</t>
  </si>
  <si>
    <t>old-gateau</t>
  </si>
  <si>
    <t>sweet-apple</t>
  </si>
  <si>
    <t>focus-band</t>
  </si>
  <si>
    <t>coupon-3</t>
  </si>
  <si>
    <t>lum</t>
  </si>
  <si>
    <t>wave-mail</t>
  </si>
  <si>
    <t>pidgeotite</t>
  </si>
  <si>
    <t>timer</t>
  </si>
  <si>
    <t>paralyze-heal</t>
  </si>
  <si>
    <t>tart-apple</t>
  </si>
  <si>
    <t>focus-sash</t>
  </si>
  <si>
    <t>crown-pass</t>
  </si>
  <si>
    <t>mago</t>
  </si>
  <si>
    <t>wood-mail</t>
  </si>
  <si>
    <t>pinsirite</t>
  </si>
  <si>
    <t>ultra</t>
  </si>
  <si>
    <t>pewter-crunchies</t>
  </si>
  <si>
    <t>thunder-stone</t>
  </si>
  <si>
    <t>grassy-seed</t>
  </si>
  <si>
    <t>dark-stone</t>
  </si>
  <si>
    <t>magost</t>
  </si>
  <si>
    <t>sablenite</t>
  </si>
  <si>
    <t>wing</t>
  </si>
  <si>
    <t>potion</t>
  </si>
  <si>
    <t>up-grade</t>
  </si>
  <si>
    <t>grip-claw</t>
  </si>
  <si>
    <t>data-card</t>
  </si>
  <si>
    <t>maranga</t>
  </si>
  <si>
    <t>salamencite</t>
  </si>
  <si>
    <t>pp-max</t>
  </si>
  <si>
    <t>water-stone</t>
  </si>
  <si>
    <t>griseous-orb</t>
  </si>
  <si>
    <t>devon-goods</t>
  </si>
  <si>
    <t>micle</t>
  </si>
  <si>
    <t>sceptilite</t>
  </si>
  <si>
    <t>pp-up</t>
  </si>
  <si>
    <t>whipped-dream</t>
  </si>
  <si>
    <t>hard-stone</t>
  </si>
  <si>
    <t>devon-parts</t>
  </si>
  <si>
    <t>nanab</t>
  </si>
  <si>
    <t>scizorite</t>
  </si>
  <si>
    <t>protein</t>
  </si>
  <si>
    <t>heat-rock</t>
  </si>
  <si>
    <t>devon-scope</t>
  </si>
  <si>
    <t>nomel</t>
  </si>
  <si>
    <t>sharpedonite</t>
  </si>
  <si>
    <t>rage-candy-bar</t>
  </si>
  <si>
    <t>heavy-duty-boots</t>
  </si>
  <si>
    <t>devon-scuba-gear</t>
  </si>
  <si>
    <t>occa</t>
  </si>
  <si>
    <t>slowbronite</t>
  </si>
  <si>
    <t>rare-candy</t>
  </si>
  <si>
    <t>icy-rock</t>
  </si>
  <si>
    <t>dna-splicers</t>
  </si>
  <si>
    <t>oran</t>
  </si>
  <si>
    <t>steelixite</t>
  </si>
  <si>
    <t>resist-wing</t>
  </si>
  <si>
    <t>iron-ball</t>
  </si>
  <si>
    <t>pamtre</t>
  </si>
  <si>
    <t>swampertite</t>
  </si>
  <si>
    <t>revival-herb</t>
  </si>
  <si>
    <t>dowsing-machine</t>
  </si>
  <si>
    <t>passho</t>
  </si>
  <si>
    <t>tyranitarite</t>
  </si>
  <si>
    <t>revive</t>
  </si>
  <si>
    <t>lagging-tail</t>
  </si>
  <si>
    <t>dowsing-machine-xy</t>
  </si>
  <si>
    <t>payapa</t>
  </si>
  <si>
    <t>venusaurite</t>
  </si>
  <si>
    <t>sacred-ash</t>
  </si>
  <si>
    <t>leftovers</t>
  </si>
  <si>
    <t>dragon-skull</t>
  </si>
  <si>
    <t>pecha</t>
  </si>
  <si>
    <t>shalour-sable</t>
  </si>
  <si>
    <t>life-orb</t>
  </si>
  <si>
    <t>dropped-item</t>
  </si>
  <si>
    <t>persim</t>
  </si>
  <si>
    <t>soda-pop</t>
  </si>
  <si>
    <t>light-ball</t>
  </si>
  <si>
    <t>dropped-item--red</t>
  </si>
  <si>
    <t>petaya</t>
  </si>
  <si>
    <t>super-potion</t>
  </si>
  <si>
    <t>light-clay</t>
  </si>
  <si>
    <t>dropped-item--yellow</t>
  </si>
  <si>
    <t>pinap</t>
  </si>
  <si>
    <t>sweet-heart</t>
  </si>
  <si>
    <t>lucky-egg</t>
  </si>
  <si>
    <t>dynamax-band</t>
  </si>
  <si>
    <t>pomeg</t>
  </si>
  <si>
    <t>swift-wing</t>
  </si>
  <si>
    <t>lucky-punch</t>
  </si>
  <si>
    <t>elevator-key</t>
  </si>
  <si>
    <t>qualot</t>
  </si>
  <si>
    <t>zinc</t>
  </si>
  <si>
    <t>luminous-moss</t>
  </si>
  <si>
    <t>endorsement</t>
  </si>
  <si>
    <t>rabuta</t>
  </si>
  <si>
    <t>lustrous-orb</t>
  </si>
  <si>
    <t>enigma-stone</t>
  </si>
  <si>
    <t>rawst</t>
  </si>
  <si>
    <t>magnet</t>
  </si>
  <si>
    <t>enigmatic-card</t>
  </si>
  <si>
    <t>razz</t>
  </si>
  <si>
    <t>mental-herb</t>
  </si>
  <si>
    <t>eon-flute</t>
  </si>
  <si>
    <t>rindo</t>
  </si>
  <si>
    <t>eon-ticket</t>
  </si>
  <si>
    <t>roseli</t>
  </si>
  <si>
    <t>metal-powder</t>
  </si>
  <si>
    <t>exp-charm</t>
  </si>
  <si>
    <t>rowap</t>
  </si>
  <si>
    <t>metronome</t>
  </si>
  <si>
    <t>exp-share</t>
  </si>
  <si>
    <t>salac</t>
  </si>
  <si>
    <t>miracle-seed</t>
  </si>
  <si>
    <t>explorer-kit</t>
  </si>
  <si>
    <t>shuca</t>
  </si>
  <si>
    <t>misty-seed</t>
  </si>
  <si>
    <t>fame-checker</t>
  </si>
  <si>
    <t>silver-nanab</t>
  </si>
  <si>
    <t>muscle-band</t>
  </si>
  <si>
    <t>fashion-case</t>
  </si>
  <si>
    <t>silver-pinap</t>
  </si>
  <si>
    <t>mystic-water</t>
  </si>
  <si>
    <t>festival-ticket</t>
  </si>
  <si>
    <t>silver-razz</t>
  </si>
  <si>
    <t>never-melt-ice</t>
  </si>
  <si>
    <t>fishing-rod</t>
  </si>
  <si>
    <t>sitrus</t>
  </si>
  <si>
    <t>poison-barb</t>
  </si>
  <si>
    <t>forage-bag</t>
  </si>
  <si>
    <t>spelon</t>
  </si>
  <si>
    <t>power-herb</t>
  </si>
  <si>
    <t>galactic-key</t>
  </si>
  <si>
    <t>starf</t>
  </si>
  <si>
    <t>protective-pads</t>
  </si>
  <si>
    <t>gb-sounds</t>
  </si>
  <si>
    <t>tamato</t>
  </si>
  <si>
    <t>psychic-seed</t>
  </si>
  <si>
    <t>go-goggles</t>
  </si>
  <si>
    <t>tanga</t>
  </si>
  <si>
    <t>quick-claw</t>
  </si>
  <si>
    <t>god-stone</t>
  </si>
  <si>
    <t>wacan</t>
  </si>
  <si>
    <t>quick-powder</t>
  </si>
  <si>
    <t>gold-teeth</t>
  </si>
  <si>
    <t>watmel</t>
  </si>
  <si>
    <t>red-card</t>
  </si>
  <si>
    <t>good-rod</t>
  </si>
  <si>
    <t>wepear</t>
  </si>
  <si>
    <t>red-orb</t>
  </si>
  <si>
    <t>gracidea</t>
  </si>
  <si>
    <t>wiki</t>
  </si>
  <si>
    <t>ring-target</t>
  </si>
  <si>
    <t>gram-1</t>
  </si>
  <si>
    <t>yache</t>
  </si>
  <si>
    <t>rocky-helmet</t>
  </si>
  <si>
    <t>gram-2</t>
  </si>
  <si>
    <t>room-service</t>
  </si>
  <si>
    <t>gram-3</t>
  </si>
  <si>
    <t>rusted-shield</t>
  </si>
  <si>
    <t>grubby-hanky</t>
  </si>
  <si>
    <t>rusted-sword</t>
  </si>
  <si>
    <t>hi-tech-earbuds</t>
  </si>
  <si>
    <t>safety-goggles</t>
  </si>
  <si>
    <t>holo-caster</t>
  </si>
  <si>
    <t>scope-lens</t>
  </si>
  <si>
    <t>holo-caster--green</t>
  </si>
  <si>
    <t>sharp-beak</t>
  </si>
  <si>
    <t>holo-caster--red</t>
  </si>
  <si>
    <t>shed-shell</t>
  </si>
  <si>
    <t>honor-of-kalos</t>
  </si>
  <si>
    <t>shell-bell</t>
  </si>
  <si>
    <t>iceroot-carrot</t>
  </si>
  <si>
    <t>shock-drive</t>
  </si>
  <si>
    <t>intriguing-stone</t>
  </si>
  <si>
    <t>silk-scarf</t>
  </si>
  <si>
    <t>jade-orb</t>
  </si>
  <si>
    <t>silver-powder</t>
  </si>
  <si>
    <t>journal</t>
  </si>
  <si>
    <t>smoke-ball</t>
  </si>
  <si>
    <t>key-stone</t>
  </si>
  <si>
    <t>smooth-rock</t>
  </si>
  <si>
    <t>key-to-room-1</t>
  </si>
  <si>
    <t>snowball</t>
  </si>
  <si>
    <t>key-to-room-2</t>
  </si>
  <si>
    <t>soft-sand</t>
  </si>
  <si>
    <t>key-to-room-4</t>
  </si>
  <si>
    <t>soul-dew</t>
  </si>
  <si>
    <t>key-to-room-6</t>
  </si>
  <si>
    <t>spell-tag</t>
  </si>
  <si>
    <t>legendary-clue</t>
  </si>
  <si>
    <t>stick</t>
  </si>
  <si>
    <t>lens-case</t>
  </si>
  <si>
    <t>sticky-barb</t>
  </si>
  <si>
    <t>letter</t>
  </si>
  <si>
    <t>terrain-extender</t>
  </si>
  <si>
    <t>liberty-pass</t>
  </si>
  <si>
    <t>thick-club</t>
  </si>
  <si>
    <t>lift-key</t>
  </si>
  <si>
    <t>throat-spray</t>
  </si>
  <si>
    <t>light-stone</t>
  </si>
  <si>
    <t>toxic-orb</t>
  </si>
  <si>
    <t>lock-capsule</t>
  </si>
  <si>
    <t>twisted-spoon</t>
  </si>
  <si>
    <t>looker-ticket</t>
  </si>
  <si>
    <t>utility-umbrella</t>
  </si>
  <si>
    <t>loot-sack</t>
  </si>
  <si>
    <t>weakness-policy</t>
  </si>
  <si>
    <t>lost-item</t>
  </si>
  <si>
    <t>white-herb</t>
  </si>
  <si>
    <t>lost-item-mimejr</t>
  </si>
  <si>
    <t>wide-lens</t>
  </si>
  <si>
    <t>lunar-wing</t>
  </si>
  <si>
    <t>wise-glasses</t>
  </si>
  <si>
    <t>mach-bike</t>
  </si>
  <si>
    <t>zoom-lens</t>
  </si>
  <si>
    <t>machine-part</t>
  </si>
  <si>
    <t>magma-emblem</t>
  </si>
  <si>
    <t>magma-stone</t>
  </si>
  <si>
    <t>magma-suit</t>
  </si>
  <si>
    <t>makeup-bag</t>
  </si>
  <si>
    <t>mark-charm</t>
  </si>
  <si>
    <t>medal-box</t>
  </si>
  <si>
    <t>mega-bracelet</t>
  </si>
  <si>
    <t>mega-charm</t>
  </si>
  <si>
    <t>mega-cuff</t>
  </si>
  <si>
    <t>mega-ring</t>
  </si>
  <si>
    <t>member-card</t>
  </si>
  <si>
    <t>meteorite</t>
  </si>
  <si>
    <t>meteorite--2</t>
  </si>
  <si>
    <t>meteorite--3</t>
  </si>
  <si>
    <t>meteorite--4</t>
  </si>
  <si>
    <t>meteorite-shard</t>
  </si>
  <si>
    <t>moon-flute</t>
  </si>
  <si>
    <t>mystery-egg</t>
  </si>
  <si>
    <t>mysticticket</t>
  </si>
  <si>
    <t>n-lunarizer</t>
  </si>
  <si>
    <t>n-solarizer</t>
  </si>
  <si>
    <t>oaks-letter</t>
  </si>
  <si>
    <t>old-charm</t>
  </si>
  <si>
    <t>old-letter</t>
  </si>
  <si>
    <t>old-rod</t>
  </si>
  <si>
    <t>old-sea-map</t>
  </si>
  <si>
    <t>oval-charm</t>
  </si>
  <si>
    <t>pair-of-tickets</t>
  </si>
  <si>
    <t>pal-pad</t>
  </si>
  <si>
    <t>parcel</t>
  </si>
  <si>
    <t>pass</t>
  </si>
  <si>
    <t>permit</t>
  </si>
  <si>
    <t>photo-album</t>
  </si>
  <si>
    <t>plasma-card</t>
  </si>
  <si>
    <t>poffin-case</t>
  </si>
  <si>
    <t>point-card</t>
  </si>
  <si>
    <t>poke-flute</t>
  </si>
  <si>
    <t>poke-radar</t>
  </si>
  <si>
    <t>pokeblock-case</t>
  </si>
  <si>
    <t>pokeblock-kit</t>
  </si>
  <si>
    <t>pokemon-box-link</t>
  </si>
  <si>
    <t>powder-jar</t>
  </si>
  <si>
    <t>power-plant-pass</t>
  </si>
  <si>
    <t>prison-bottle</t>
  </si>
  <si>
    <t>professors-mask</t>
  </si>
  <si>
    <t>profs-letter</t>
  </si>
  <si>
    <t>prop-case</t>
  </si>
  <si>
    <t>radiant-petal</t>
  </si>
  <si>
    <t>rainbow-flower</t>
  </si>
  <si>
    <t>rainbow-pass</t>
  </si>
  <si>
    <t>rainbow-wing</t>
  </si>
  <si>
    <t>red-chain</t>
  </si>
  <si>
    <t>red-scale</t>
  </si>
  <si>
    <t>reins-of-unity</t>
  </si>
  <si>
    <t>reveal-glass</t>
  </si>
  <si>
    <t>ride-pager</t>
  </si>
  <si>
    <t>rm-1-key</t>
  </si>
  <si>
    <t>rm-2-key</t>
  </si>
  <si>
    <t>rm-4-key</t>
  </si>
  <si>
    <t>rm-6-key</t>
  </si>
  <si>
    <t>roller-skates</t>
  </si>
  <si>
    <t>rotom-bike-1</t>
  </si>
  <si>
    <t>rotom-bike-2</t>
  </si>
  <si>
    <t>rotom-bike-3</t>
  </si>
  <si>
    <t>rotom-bike-4</t>
  </si>
  <si>
    <t>rotom-catalog</t>
  </si>
  <si>
    <t>ruby</t>
  </si>
  <si>
    <t>rule-book</t>
  </si>
  <si>
    <t>sapphire</t>
  </si>
  <si>
    <t>scanner</t>
  </si>
  <si>
    <t>seal-bag</t>
  </si>
  <si>
    <t>seal-case</t>
  </si>
  <si>
    <t>secret-key-sinnoh</t>
  </si>
  <si>
    <t>secret-potion</t>
  </si>
  <si>
    <t>shaderoot-carrot</t>
  </si>
  <si>
    <t>shiny-charm</t>
  </si>
  <si>
    <t>silph-scope</t>
  </si>
  <si>
    <t>silver-wing</t>
  </si>
  <si>
    <t>sonias-book</t>
  </si>
  <si>
    <t>soot-sack</t>
  </si>
  <si>
    <t>sparkling-stone</t>
  </si>
  <si>
    <t>sparkling-stone-sm</t>
  </si>
  <si>
    <t>sprayduck</t>
  </si>
  <si>
    <t>sprinklotad</t>
  </si>
  <si>
    <t>squirt-bottle</t>
  </si>
  <si>
    <t>ss-ticket</t>
  </si>
  <si>
    <t>storage-key</t>
  </si>
  <si>
    <t>storage-key--galactic-warehouse</t>
  </si>
  <si>
    <t>storage-key--sea-mauville</t>
  </si>
  <si>
    <t>style-card</t>
  </si>
  <si>
    <t>suite-key</t>
  </si>
  <si>
    <t>sun-flute</t>
  </si>
  <si>
    <t>super-rod</t>
  </si>
  <si>
    <t>surge-badge</t>
  </si>
  <si>
    <t>tea</t>
  </si>
  <si>
    <t>teachy-tv</t>
  </si>
  <si>
    <t>tidal-bell</t>
  </si>
  <si>
    <t>tmv-pass</t>
  </si>
  <si>
    <t>town-map</t>
  </si>
  <si>
    <t>travel-trunk</t>
  </si>
  <si>
    <t>travel-trunk--gold</t>
  </si>
  <si>
    <t>travel-trunk--silver</t>
  </si>
  <si>
    <t>tri-pass</t>
  </si>
  <si>
    <t>unown-report</t>
  </si>
  <si>
    <t>vs-recorder</t>
  </si>
  <si>
    <t>vs-seeker</t>
  </si>
  <si>
    <t>wailmer-pail</t>
  </si>
  <si>
    <t>white-mane-hair</t>
  </si>
  <si>
    <t>wishing-chip</t>
  </si>
  <si>
    <t>wishing-star</t>
  </si>
  <si>
    <t>wooden-crown</t>
  </si>
  <si>
    <t>works-key</t>
  </si>
  <si>
    <t>xtransceiver</t>
  </si>
  <si>
    <t>xtransceiver--blue</t>
  </si>
  <si>
    <t>xtransceiver--red</t>
  </si>
  <si>
    <t>xtransceiver--yellow</t>
  </si>
  <si>
    <t>z-power-ring</t>
  </si>
  <si>
    <t>z-ring</t>
  </si>
  <si>
    <t>zygarde-cube</t>
  </si>
</sst>
</file>

<file path=xl/styles.xml><?xml version="1.0" encoding="utf-8"?>
<styleSheet xmlns="http://schemas.openxmlformats.org/spreadsheetml/2006/main" xmlns:x14ac="http://schemas.microsoft.com/office/spreadsheetml/2009/9/ac" xmlns:mc="http://schemas.openxmlformats.org/markup-compatibility/2006">
  <fonts count="186">
    <font>
      <sz val="11.0"/>
      <color theme="1"/>
      <name val="Calibri"/>
      <scheme val="minor"/>
    </font>
    <font>
      <b/>
      <i/>
      <sz val="14.0"/>
      <color theme="1"/>
      <name val="Exo 2"/>
    </font>
    <font>
      <b/>
      <sz val="12.0"/>
      <color rgb="FF0000FF"/>
      <name val="Exo 2"/>
    </font>
    <font>
      <b/>
      <sz val="12.0"/>
      <color theme="1"/>
      <name val="Exo 2"/>
    </font>
    <font>
      <b/>
      <sz val="10.0"/>
      <color theme="1"/>
      <name val="Exo 2"/>
    </font>
    <font/>
    <font>
      <b/>
      <sz val="14.0"/>
      <color rgb="FFFFFFFF"/>
      <name val="Sofia Sans Semi Condensed"/>
    </font>
    <font>
      <sz val="11.0"/>
      <color rgb="FF232222"/>
      <name val="Sofia Sans Semi Condensed"/>
    </font>
    <font>
      <b/>
      <sz val="12.0"/>
      <color rgb="FF232222"/>
      <name val="Sofia Sans Semi Condensed"/>
    </font>
    <font>
      <sz val="12.0"/>
      <color rgb="FF232222"/>
      <name val="Sofia Sans Semi Condensed"/>
    </font>
    <font>
      <b/>
      <sz val="12.0"/>
      <color rgb="FFCC0000"/>
      <name val="Sofia Sans Semi Condensed"/>
    </font>
    <font>
      <sz val="11.0"/>
      <color rgb="FFEFEFEF"/>
      <name val="Sofia Sans Semi Condensed"/>
    </font>
    <font>
      <sz val="11.0"/>
      <color theme="1"/>
      <name val="Calibri"/>
    </font>
    <font>
      <b/>
      <sz val="12.0"/>
      <color rgb="FF1155CC"/>
      <name val="Sofia Sans Semi Condensed"/>
    </font>
    <font>
      <b/>
      <sz val="14.0"/>
      <color rgb="FF232222"/>
      <name val="Sofia Sans Semi Condensed"/>
    </font>
    <font>
      <sz val="11.0"/>
      <color theme="1"/>
      <name val="Sofia Sans Semi Condensed"/>
    </font>
    <font>
      <b/>
      <i/>
      <sz val="13.0"/>
      <color theme="1"/>
      <name val="Sofia Sans Semi Condensed"/>
    </font>
    <font>
      <b/>
      <sz val="15.0"/>
      <color rgb="FF232222"/>
      <name val="Sofia Sans Semi Condensed"/>
    </font>
    <font>
      <b/>
      <sz val="13.0"/>
      <color rgb="FF232222"/>
      <name val="Sofia Sans Semi Condensed"/>
    </font>
    <font>
      <b/>
      <sz val="15.0"/>
      <color rgb="FFCC0000"/>
      <name val="Sofia Sans Semi Condensed"/>
    </font>
    <font>
      <b/>
      <sz val="13.0"/>
      <color rgb="FFCC0000"/>
      <name val="Sofia Sans Semi Condensed"/>
    </font>
    <font>
      <b/>
      <sz val="14.0"/>
      <color theme="1"/>
      <name val="Sofia Sans Semi Condensed"/>
    </font>
    <font>
      <b/>
      <sz val="12.0"/>
      <color theme="1"/>
      <name val="Sofia Sans Semi Condensed"/>
    </font>
    <font>
      <b/>
      <u/>
      <sz val="16.0"/>
      <color theme="1"/>
      <name val="Sofia Sans Semi Condensed"/>
    </font>
    <font>
      <b/>
      <sz val="18.0"/>
      <color theme="1"/>
      <name val="Sofia Sans Semi Condensed"/>
    </font>
    <font>
      <b/>
      <u/>
      <sz val="16.0"/>
      <color theme="1"/>
      <name val="Sofia Sans Semi Condensed"/>
    </font>
    <font>
      <b/>
      <u/>
      <sz val="16.0"/>
      <color rgb="FF232222"/>
      <name val="Sofia Sans Semi Condensed"/>
    </font>
    <font>
      <b/>
      <u/>
      <sz val="16.0"/>
      <color theme="1"/>
      <name val="Sofia Sans Semi Condensed"/>
    </font>
    <font>
      <b/>
      <sz val="11.0"/>
      <color theme="1"/>
      <name val="Sofia Sans Semi Condensed"/>
    </font>
    <font>
      <b/>
      <u/>
      <sz val="15.0"/>
      <color theme="1"/>
      <name val="Sofia Sans Semi Condensed"/>
    </font>
    <font>
      <sz val="12.0"/>
      <color theme="1"/>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sz val="11.0"/>
      <color rgb="FF232222"/>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u/>
      <sz val="12.0"/>
      <color rgb="FF000000"/>
      <name val="Sofia Sans Semi Condensed"/>
    </font>
    <font>
      <b/>
      <sz val="13.0"/>
      <color rgb="FF4A4242"/>
      <name val="Sofia Sans Semi Condensed"/>
    </font>
    <font>
      <b/>
      <u/>
      <sz val="20.0"/>
      <color rgb="FF4A4242"/>
      <name val="Sofia Sans Semi Condensed"/>
    </font>
    <font>
      <b/>
      <u/>
      <sz val="18.0"/>
      <color rgb="FF4A4242"/>
      <name val="Sofia Sans Semi Condensed"/>
    </font>
    <font>
      <b/>
      <sz val="12.0"/>
      <color rgb="FF4A4242"/>
      <name val="Sofia Sans Semi Condensed"/>
    </font>
    <font>
      <b/>
      <u/>
      <sz val="20.0"/>
      <color rgb="FFB07442"/>
      <name val="Sofia Sans Semi Condensed"/>
    </font>
    <font>
      <b/>
      <sz val="12.0"/>
      <color rgb="FFB07442"/>
      <name val="Sofia Sans Semi Condensed"/>
    </font>
    <font>
      <b/>
      <sz val="12.0"/>
      <color rgb="FF3C78D8"/>
      <name val="Sofia Sans Semi Condensed"/>
    </font>
    <font>
      <b/>
      <u/>
      <sz val="25.0"/>
      <color rgb="FF232222"/>
      <name val="Sofia Sans Semi Condensed"/>
    </font>
    <font>
      <b/>
      <i/>
      <sz val="11.0"/>
      <color rgb="FFB7B7B7"/>
      <name val="Sofia Sans Semi Condensed"/>
    </font>
    <font>
      <b/>
      <sz val="12.0"/>
      <color theme="1"/>
      <name val="Barlow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i/>
      <sz val="11.0"/>
      <color rgb="FF000000"/>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s>
  <fills count="239">
    <fill>
      <patternFill patternType="none"/>
    </fill>
    <fill>
      <patternFill patternType="lightGray"/>
    </fill>
    <fill>
      <patternFill patternType="solid">
        <fgColor rgb="FFD9D9D9"/>
        <bgColor rgb="FFD9D9D9"/>
      </patternFill>
    </fill>
    <fill>
      <patternFill patternType="solid">
        <fgColor rgb="FF232222"/>
        <bgColor rgb="FF232222"/>
      </patternFill>
    </fill>
    <fill>
      <patternFill patternType="solid">
        <fgColor rgb="FFEFEFEF"/>
        <bgColor rgb="FFEFEFEF"/>
      </patternFill>
    </fill>
    <fill>
      <patternFill patternType="solid">
        <fgColor rgb="FFE67B0C"/>
        <bgColor rgb="FFE67B0C"/>
      </patternFill>
    </fill>
    <fill>
      <patternFill patternType="solid">
        <fgColor rgb="FF529CA4"/>
        <bgColor rgb="FF529CA4"/>
      </patternFill>
    </fill>
    <fill>
      <patternFill patternType="solid">
        <fgColor rgb="FFB4D5FF"/>
        <bgColor rgb="FFB4D5FF"/>
      </patternFill>
    </fill>
    <fill>
      <patternFill patternType="solid">
        <fgColor rgb="FFB7B7B7"/>
        <bgColor rgb="FFB7B7B7"/>
      </patternFill>
    </fill>
    <fill>
      <patternFill patternType="solid">
        <fgColor rgb="FFA4EEFF"/>
        <bgColor rgb="FFA4EEFF"/>
      </patternFill>
    </fill>
    <fill>
      <patternFill patternType="solid">
        <fgColor rgb="FF5AACEE"/>
        <bgColor rgb="FF5AACEE"/>
      </patternFill>
    </fill>
    <fill>
      <patternFill patternType="solid">
        <fgColor rgb="FF6AEEA4"/>
        <bgColor rgb="FF6AEEA4"/>
      </patternFill>
    </fill>
    <fill>
      <patternFill patternType="solid">
        <fgColor rgb="FFE2E2E6"/>
        <bgColor rgb="FFE2E2E6"/>
      </patternFill>
    </fill>
    <fill>
      <patternFill patternType="solid">
        <fgColor rgb="FFFFC500"/>
        <bgColor rgb="FFFFC500"/>
      </patternFill>
    </fill>
    <fill>
      <patternFill patternType="solid">
        <fgColor rgb="FFCD7BBD"/>
        <bgColor rgb="FFCD7BBD"/>
      </patternFill>
    </fill>
    <fill>
      <patternFill patternType="solid">
        <fgColor rgb="FFFFB429"/>
        <bgColor rgb="FFFFB429"/>
      </patternFill>
    </fill>
    <fill>
      <patternFill patternType="solid">
        <fgColor rgb="FFFFACA4"/>
        <bgColor rgb="FFFFACA4"/>
      </patternFill>
    </fill>
    <fill>
      <patternFill patternType="solid">
        <fgColor rgb="FF76B0B8"/>
        <bgColor rgb="FF76B0B8"/>
      </patternFill>
    </fill>
    <fill>
      <patternFill patternType="solid">
        <fgColor rgb="FF8CE6F7"/>
        <bgColor rgb="FF8CE6F7"/>
      </patternFill>
    </fill>
    <fill>
      <patternFill patternType="solid">
        <fgColor rgb="FFE6D552"/>
        <bgColor rgb="FFE6D552"/>
      </patternFill>
    </fill>
    <fill>
      <patternFill patternType="solid">
        <fgColor rgb="FFA07BC1"/>
        <bgColor rgb="FFA07BC1"/>
      </patternFill>
    </fill>
    <fill>
      <patternFill patternType="solid">
        <fgColor rgb="FFD5B441"/>
        <bgColor rgb="FFD5B441"/>
      </patternFill>
    </fill>
    <fill>
      <patternFill patternType="solid">
        <fgColor rgb="FFDE8BEE"/>
        <bgColor rgb="FFDE8BEE"/>
      </patternFill>
    </fill>
    <fill>
      <patternFill patternType="solid">
        <fgColor rgb="FFACEE7B"/>
        <bgColor rgb="FFACEE7B"/>
      </patternFill>
    </fill>
    <fill>
      <patternFill patternType="solid">
        <fgColor rgb="FFF7FFF3"/>
        <bgColor rgb="FFF7FFF3"/>
      </patternFill>
    </fill>
    <fill>
      <patternFill patternType="solid">
        <fgColor rgb="FF8C8CCE"/>
        <bgColor rgb="FF8C8CCE"/>
      </patternFill>
    </fill>
    <fill>
      <patternFill patternType="solid">
        <fgColor rgb="FF736B84"/>
        <bgColor rgb="FF736B84"/>
      </patternFill>
    </fill>
    <fill>
      <patternFill patternType="solid">
        <fgColor rgb="FF63737B"/>
        <bgColor rgb="FF63737B"/>
      </patternFill>
    </fill>
    <fill>
      <patternFill patternType="solid">
        <fgColor rgb="FFFFFFFF"/>
        <bgColor rgb="FFFFFFFF"/>
      </patternFill>
    </fill>
    <fill>
      <patternFill patternType="solid">
        <fgColor rgb="FFFFFBFA"/>
        <bgColor rgb="FFFFFBFA"/>
      </patternFill>
    </fill>
    <fill>
      <patternFill patternType="solid">
        <fgColor rgb="FFFFF9F1"/>
        <bgColor rgb="FFFFF9F1"/>
      </patternFill>
    </fill>
    <fill>
      <patternFill patternType="solid">
        <fgColor rgb="FFFAF6FF"/>
        <bgColor rgb="FFFAF6FF"/>
      </patternFill>
    </fill>
    <fill>
      <patternFill patternType="solid">
        <fgColor rgb="FFDADADA"/>
        <bgColor rgb="FFDADADA"/>
      </patternFill>
    </fill>
    <fill>
      <patternFill patternType="solid">
        <fgColor rgb="FFD8DEE3"/>
        <bgColor rgb="FFD8DEE3"/>
      </patternFill>
    </fill>
    <fill>
      <patternFill patternType="solid">
        <fgColor rgb="FFF3F4FF"/>
        <bgColor rgb="FFF3F4FF"/>
      </patternFill>
    </fill>
    <fill>
      <patternFill patternType="solid">
        <fgColor rgb="FFFFF3F7"/>
        <bgColor rgb="FFFFF3F7"/>
      </patternFill>
    </fill>
    <fill>
      <patternFill patternType="solid">
        <fgColor rgb="FF404040"/>
        <bgColor rgb="FF404040"/>
      </patternFill>
    </fill>
    <fill>
      <patternFill patternType="solid">
        <fgColor rgb="FFA8D8E0"/>
        <bgColor rgb="FFA8D8E0"/>
      </patternFill>
    </fill>
    <fill>
      <patternFill patternType="solid">
        <fgColor rgb="FFE86878"/>
        <bgColor rgb="FFE86878"/>
      </patternFill>
    </fill>
    <fill>
      <patternFill patternType="solid">
        <fgColor rgb="FF90C8E8"/>
        <bgColor rgb="FF90C8E8"/>
      </patternFill>
    </fill>
    <fill>
      <patternFill patternType="solid">
        <fgColor rgb="FF686060"/>
        <bgColor rgb="FF686060"/>
      </patternFill>
    </fill>
    <fill>
      <patternFill patternType="solid">
        <fgColor rgb="FF5888C8"/>
        <bgColor rgb="FF5888C8"/>
      </patternFill>
    </fill>
    <fill>
      <patternFill patternType="solid">
        <fgColor rgb="FFF0D098"/>
        <bgColor rgb="FFF0D098"/>
      </patternFill>
    </fill>
    <fill>
      <patternFill patternType="solid">
        <fgColor rgb="FF83CD6A"/>
        <bgColor rgb="FF83CD6A"/>
      </patternFill>
    </fill>
    <fill>
      <patternFill patternType="solid">
        <fgColor rgb="FFE64A39"/>
        <bgColor rgb="FFE64A39"/>
      </patternFill>
    </fill>
    <fill>
      <patternFill patternType="solid">
        <fgColor rgb="FFE86060"/>
        <bgColor rgb="FFE86060"/>
      </patternFill>
    </fill>
    <fill>
      <patternFill patternType="solid">
        <fgColor rgb="FFD8D8B0"/>
        <bgColor rgb="FFD8D8B0"/>
      </patternFill>
    </fill>
    <fill>
      <patternFill patternType="solid">
        <fgColor rgb="FF80A0D8"/>
        <bgColor rgb="FF80A0D8"/>
      </patternFill>
    </fill>
    <fill>
      <patternFill patternType="solid">
        <fgColor rgb="FFE88040"/>
        <bgColor rgb="FFE88040"/>
      </patternFill>
    </fill>
    <fill>
      <patternFill patternType="solid">
        <fgColor rgb="FF4898E8"/>
        <bgColor rgb="FF4898E8"/>
      </patternFill>
    </fill>
    <fill>
      <patternFill patternType="solid">
        <fgColor rgb="FFC85068"/>
        <bgColor rgb="FFC85068"/>
      </patternFill>
    </fill>
    <fill>
      <patternFill patternType="solid">
        <fgColor rgb="FFE8D870"/>
        <bgColor rgb="FFE8D870"/>
      </patternFill>
    </fill>
    <fill>
      <patternFill patternType="solid">
        <fgColor rgb="FFA87060"/>
        <bgColor rgb="FFA87060"/>
      </patternFill>
    </fill>
    <fill>
      <patternFill patternType="solid">
        <fgColor rgb="FF7E6EBC"/>
        <bgColor rgb="FF7E6EBC"/>
      </patternFill>
    </fill>
    <fill>
      <patternFill patternType="solid">
        <fgColor rgb="FFF84858"/>
        <bgColor rgb="FFF84858"/>
      </patternFill>
    </fill>
    <fill>
      <patternFill patternType="solid">
        <fgColor rgb="FFB89070"/>
        <bgColor rgb="FFB89070"/>
      </patternFill>
    </fill>
    <fill>
      <patternFill patternType="solid">
        <fgColor rgb="FFF8F890"/>
        <bgColor rgb="FFF8F890"/>
      </patternFill>
    </fill>
    <fill>
      <patternFill patternType="solid">
        <fgColor rgb="FFF0E0A8"/>
        <bgColor rgb="FFF0E0A8"/>
      </patternFill>
    </fill>
    <fill>
      <patternFill patternType="solid">
        <fgColor rgb="FFF8F8F8"/>
        <bgColor rgb="FFF8F8F8"/>
      </patternFill>
    </fill>
    <fill>
      <patternFill patternType="solid">
        <fgColor rgb="FF58A17D"/>
        <bgColor rgb="FF58A17D"/>
      </patternFill>
    </fill>
    <fill>
      <patternFill patternType="solid">
        <fgColor rgb="FFA48B73"/>
        <bgColor rgb="FFA48B73"/>
      </patternFill>
    </fill>
    <fill>
      <patternFill patternType="solid">
        <fgColor rgb="FFB0F090"/>
        <bgColor rgb="FFB0F090"/>
      </patternFill>
    </fill>
    <fill>
      <patternFill patternType="solid">
        <fgColor rgb="FF7078A8"/>
        <bgColor rgb="FF7078A8"/>
      </patternFill>
    </fill>
    <fill>
      <patternFill patternType="solid">
        <fgColor rgb="FFFF8B52"/>
        <bgColor rgb="FFFF8B52"/>
      </patternFill>
    </fill>
    <fill>
      <patternFill patternType="solid">
        <fgColor rgb="FF58C0F8"/>
        <bgColor rgb="FF58C0F8"/>
      </patternFill>
    </fill>
    <fill>
      <patternFill patternType="solid">
        <fgColor rgb="FF65D0BC"/>
        <bgColor rgb="FF65D0BC"/>
      </patternFill>
    </fill>
    <fill>
      <patternFill patternType="solid">
        <fgColor rgb="FFF6BE13"/>
        <bgColor rgb="FFF6BE13"/>
      </patternFill>
    </fill>
    <fill>
      <patternFill patternType="solid">
        <fgColor rgb="FF5070B8"/>
        <bgColor rgb="FF5070B8"/>
      </patternFill>
    </fill>
    <fill>
      <patternFill patternType="solid">
        <fgColor rgb="FFF8D860"/>
        <bgColor rgb="FFF8D860"/>
      </patternFill>
    </fill>
    <fill>
      <patternFill patternType="solid">
        <fgColor rgb="FFE061B4"/>
        <bgColor rgb="FFE061B4"/>
      </patternFill>
    </fill>
    <fill>
      <patternFill patternType="solid">
        <fgColor rgb="FFF0C810"/>
        <bgColor rgb="FFF0C810"/>
      </patternFill>
    </fill>
    <fill>
      <patternFill patternType="solid">
        <fgColor rgb="FF6890C0"/>
        <bgColor rgb="FF6890C0"/>
      </patternFill>
    </fill>
    <fill>
      <patternFill patternType="solid">
        <fgColor rgb="FFD84820"/>
        <bgColor rgb="FFD84820"/>
      </patternFill>
    </fill>
    <fill>
      <patternFill patternType="solid">
        <fgColor rgb="FFA86840"/>
        <bgColor rgb="FFA86840"/>
      </patternFill>
    </fill>
    <fill>
      <patternFill patternType="solid">
        <fgColor rgb="FFE8D8A0"/>
        <bgColor rgb="FFE8D8A0"/>
      </patternFill>
    </fill>
    <fill>
      <patternFill patternType="solid">
        <fgColor rgb="FFF8F8B0"/>
        <bgColor rgb="FFF8F8B0"/>
      </patternFill>
    </fill>
    <fill>
      <patternFill patternType="solid">
        <fgColor rgb="FFC83860"/>
        <bgColor rgb="FFC83860"/>
      </patternFill>
    </fill>
    <fill>
      <patternFill patternType="solid">
        <fgColor rgb="FFF8C848"/>
        <bgColor rgb="FFF8C848"/>
      </patternFill>
    </fill>
    <fill>
      <patternFill patternType="solid">
        <fgColor rgb="FFC0D0D0"/>
        <bgColor rgb="FFC0D0D0"/>
      </patternFill>
    </fill>
    <fill>
      <patternFill patternType="solid">
        <fgColor rgb="FFE0E0F0"/>
        <bgColor rgb="FFE0E0F0"/>
      </patternFill>
    </fill>
    <fill>
      <patternFill patternType="solid">
        <fgColor rgb="FF60D8E8"/>
        <bgColor rgb="FF60D8E8"/>
      </patternFill>
    </fill>
    <fill>
      <patternFill patternType="solid">
        <fgColor rgb="FF288070"/>
        <bgColor rgb="FF288070"/>
      </patternFill>
    </fill>
    <fill>
      <patternFill patternType="solid">
        <fgColor rgb="FF41A4E6"/>
        <bgColor rgb="FF41A4E6"/>
      </patternFill>
    </fill>
    <fill>
      <patternFill patternType="solid">
        <fgColor rgb="FFF6DEAC"/>
        <bgColor rgb="FFF6DEAC"/>
      </patternFill>
    </fill>
    <fill>
      <patternFill patternType="solid">
        <fgColor rgb="FFD8D8D8"/>
        <bgColor rgb="FFD8D8D8"/>
      </patternFill>
    </fill>
    <fill>
      <patternFill patternType="solid">
        <fgColor rgb="FFE07088"/>
        <bgColor rgb="FFE07088"/>
      </patternFill>
    </fill>
    <fill>
      <patternFill patternType="solid">
        <fgColor rgb="FF888888"/>
        <bgColor rgb="FF888888"/>
      </patternFill>
    </fill>
    <fill>
      <patternFill patternType="solid">
        <fgColor rgb="FF9870C0"/>
        <bgColor rgb="FF9870C0"/>
      </patternFill>
    </fill>
    <fill>
      <patternFill patternType="solid">
        <fgColor rgb="FFDC4C52"/>
        <bgColor rgb="FFDC4C52"/>
      </patternFill>
    </fill>
    <fill>
      <patternFill patternType="solid">
        <fgColor rgb="FFD8D8E8"/>
        <bgColor rgb="FFD8D8E8"/>
      </patternFill>
    </fill>
    <fill>
      <patternFill patternType="solid">
        <fgColor rgb="FF7080A8"/>
        <bgColor rgb="FF7080A8"/>
      </patternFill>
    </fill>
    <fill>
      <patternFill patternType="solid">
        <fgColor rgb="FFE86848"/>
        <bgColor rgb="FFE86848"/>
      </patternFill>
    </fill>
    <fill>
      <patternFill patternType="solid">
        <fgColor rgb="FF585058"/>
        <bgColor rgb="FF585058"/>
      </patternFill>
    </fill>
    <fill>
      <patternFill patternType="solid">
        <fgColor rgb="FFE88028"/>
        <bgColor rgb="FFE88028"/>
      </patternFill>
    </fill>
    <fill>
      <patternFill patternType="solid">
        <fgColor rgb="FFE8D878"/>
        <bgColor rgb="FFE8D878"/>
      </patternFill>
    </fill>
    <fill>
      <patternFill patternType="solid">
        <fgColor rgb="FFA8C898"/>
        <bgColor rgb="FFA8C898"/>
      </patternFill>
    </fill>
    <fill>
      <patternFill patternType="solid">
        <fgColor rgb="FFE04040"/>
        <bgColor rgb="FFE04040"/>
      </patternFill>
    </fill>
    <fill>
      <patternFill patternType="solid">
        <fgColor rgb="FF707070"/>
        <bgColor rgb="FF707070"/>
      </patternFill>
    </fill>
    <fill>
      <patternFill patternType="solid">
        <fgColor rgb="FFF0D088"/>
        <bgColor rgb="FFF0D088"/>
      </patternFill>
    </fill>
    <fill>
      <patternFill patternType="solid">
        <fgColor rgb="FF64646A"/>
        <bgColor rgb="FF64646A"/>
      </patternFill>
    </fill>
    <fill>
      <patternFill patternType="solid">
        <fgColor rgb="FFF09880"/>
        <bgColor rgb="FFF09880"/>
      </patternFill>
    </fill>
    <fill>
      <patternFill patternType="solid">
        <fgColor rgb="FFD8D0E0"/>
        <bgColor rgb="FFD8D0E0"/>
      </patternFill>
    </fill>
    <fill>
      <patternFill patternType="solid">
        <fgColor rgb="FFA850C0"/>
        <bgColor rgb="FFA850C0"/>
      </patternFill>
    </fill>
    <fill>
      <patternFill patternType="solid">
        <fgColor rgb="FFA89888"/>
        <bgColor rgb="FFA89888"/>
      </patternFill>
    </fill>
    <fill>
      <patternFill patternType="solid">
        <fgColor rgb="FFF8E000"/>
        <bgColor rgb="FFF8E000"/>
      </patternFill>
    </fill>
    <fill>
      <patternFill patternType="solid">
        <fgColor rgb="FFF8E848"/>
        <bgColor rgb="FFF8E848"/>
      </patternFill>
    </fill>
    <fill>
      <patternFill patternType="solid">
        <fgColor rgb="FF93B3C6"/>
        <bgColor rgb="FF93B3C6"/>
      </patternFill>
    </fill>
    <fill>
      <patternFill patternType="solid">
        <fgColor rgb="FFF1BB00"/>
        <bgColor rgb="FFF1BB00"/>
      </patternFill>
    </fill>
    <fill>
      <patternFill patternType="solid">
        <fgColor rgb="FF62605E"/>
        <bgColor rgb="FF62605E"/>
      </patternFill>
    </fill>
    <fill>
      <patternFill patternType="solid">
        <fgColor rgb="FF78373B"/>
        <bgColor rgb="FF78373B"/>
      </patternFill>
    </fill>
    <fill>
      <patternFill patternType="solid">
        <fgColor rgb="FFF89090"/>
        <bgColor rgb="FFF89090"/>
      </patternFill>
    </fill>
    <fill>
      <patternFill patternType="solid">
        <fgColor rgb="FF889090"/>
        <bgColor rgb="FF889090"/>
      </patternFill>
    </fill>
    <fill>
      <patternFill patternType="solid">
        <fgColor rgb="FF20A0D0"/>
        <bgColor rgb="FF20A0D0"/>
      </patternFill>
    </fill>
    <fill>
      <patternFill patternType="solid">
        <fgColor rgb="FFE85050"/>
        <bgColor rgb="FFE85050"/>
      </patternFill>
    </fill>
    <fill>
      <patternFill patternType="solid">
        <fgColor rgb="FF867A96"/>
        <bgColor rgb="FF867A96"/>
      </patternFill>
    </fill>
    <fill>
      <patternFill patternType="solid">
        <fgColor rgb="FF92E996"/>
        <bgColor rgb="FF92E996"/>
      </patternFill>
    </fill>
    <fill>
      <patternFill patternType="solid">
        <fgColor rgb="FFFD2636"/>
        <bgColor rgb="FFFD2636"/>
      </patternFill>
    </fill>
    <fill>
      <patternFill patternType="solid">
        <fgColor rgb="FF57FBE7"/>
        <bgColor rgb="FF57FBE7"/>
      </patternFill>
    </fill>
    <fill>
      <patternFill patternType="solid">
        <fgColor rgb="FFD03838"/>
        <bgColor rgb="FFD03838"/>
      </patternFill>
    </fill>
    <fill>
      <patternFill patternType="solid">
        <fgColor rgb="FF707088"/>
        <bgColor rgb="FF707088"/>
      </patternFill>
    </fill>
    <fill>
      <patternFill patternType="solid">
        <fgColor rgb="FF487191"/>
        <bgColor rgb="FF487191"/>
      </patternFill>
    </fill>
    <fill>
      <patternFill patternType="solid">
        <fgColor rgb="FF069F5F"/>
        <bgColor rgb="FF069F5F"/>
      </patternFill>
    </fill>
    <fill>
      <patternFill patternType="solid">
        <fgColor rgb="FF5860A8"/>
        <bgColor rgb="FF5860A8"/>
      </patternFill>
    </fill>
    <fill>
      <patternFill patternType="solid">
        <fgColor rgb="FFB83840"/>
        <bgColor rgb="FFB83840"/>
      </patternFill>
    </fill>
    <fill>
      <patternFill patternType="solid">
        <fgColor rgb="FF78A0F0"/>
        <bgColor rgb="FF78A0F0"/>
      </patternFill>
    </fill>
    <fill>
      <patternFill patternType="solid">
        <fgColor rgb="FFF8D000"/>
        <bgColor rgb="FFF8D000"/>
      </patternFill>
    </fill>
    <fill>
      <patternFill patternType="solid">
        <fgColor rgb="FFB8B8D8"/>
        <bgColor rgb="FFB8B8D8"/>
      </patternFill>
    </fill>
    <fill>
      <patternFill patternType="solid">
        <fgColor rgb="FF9060C8"/>
        <bgColor rgb="FF9060C8"/>
      </patternFill>
    </fill>
    <fill>
      <patternFill patternType="solid">
        <fgColor rgb="FF0090D0"/>
        <bgColor rgb="FF0090D0"/>
      </patternFill>
    </fill>
    <fill>
      <patternFill patternType="solid">
        <fgColor rgb="FFF8E860"/>
        <bgColor rgb="FFF8E860"/>
      </patternFill>
    </fill>
    <fill>
      <patternFill patternType="solid">
        <fgColor rgb="FF70B0D0"/>
        <bgColor rgb="FF70B0D0"/>
      </patternFill>
    </fill>
    <fill>
      <patternFill patternType="solid">
        <fgColor rgb="FF58B068"/>
        <bgColor rgb="FF58B068"/>
      </patternFill>
    </fill>
    <fill>
      <patternFill patternType="solid">
        <fgColor rgb="FF7060A0"/>
        <bgColor rgb="FF7060A0"/>
      </patternFill>
    </fill>
    <fill>
      <patternFill patternType="solid">
        <fgColor rgb="FFC81858"/>
        <bgColor rgb="FFC81858"/>
      </patternFill>
    </fill>
    <fill>
      <patternFill patternType="solid">
        <fgColor rgb="FF30C0A0"/>
        <bgColor rgb="FF30C0A0"/>
      </patternFill>
    </fill>
    <fill>
      <patternFill patternType="solid">
        <fgColor rgb="FFF08838"/>
        <bgColor rgb="FFF08838"/>
      </patternFill>
    </fill>
    <fill>
      <patternFill patternType="solid">
        <fgColor rgb="FFD02800"/>
        <bgColor rgb="FFD02800"/>
      </patternFill>
    </fill>
    <fill>
      <patternFill patternType="solid">
        <fgColor rgb="FFF89818"/>
        <bgColor rgb="FFF89818"/>
      </patternFill>
    </fill>
    <fill>
      <patternFill patternType="solid">
        <fgColor rgb="FFD8C8B0"/>
        <bgColor rgb="FFD8C8B0"/>
      </patternFill>
    </fill>
    <fill>
      <patternFill patternType="solid">
        <fgColor rgb="FFF0F0D0"/>
        <bgColor rgb="FFF0F0D0"/>
      </patternFill>
    </fill>
    <fill>
      <patternFill patternType="solid">
        <fgColor rgb="FFE9C558"/>
        <bgColor rgb="FFE9C558"/>
      </patternFill>
    </fill>
    <fill>
      <patternFill patternType="solid">
        <fgColor rgb="FFD2394D"/>
        <bgColor rgb="FFD2394D"/>
      </patternFill>
    </fill>
    <fill>
      <patternFill patternType="solid">
        <fgColor rgb="FFF8F0D0"/>
        <bgColor rgb="FFF8F0D0"/>
      </patternFill>
    </fill>
    <fill>
      <patternFill patternType="solid">
        <fgColor rgb="FFF0B8C0"/>
        <bgColor rgb="FFF0B8C0"/>
      </patternFill>
    </fill>
    <fill>
      <patternFill patternType="solid">
        <fgColor rgb="FF808088"/>
        <bgColor rgb="FF808088"/>
      </patternFill>
    </fill>
    <fill>
      <patternFill patternType="solid">
        <fgColor rgb="FFE06070"/>
        <bgColor rgb="FFE06070"/>
      </patternFill>
    </fill>
    <fill>
      <patternFill patternType="solid">
        <fgColor rgb="FFEFA2B3"/>
        <bgColor rgb="FFEFA2B3"/>
      </patternFill>
    </fill>
    <fill>
      <patternFill patternType="solid">
        <fgColor rgb="FFACA1D1"/>
        <bgColor rgb="FFACA1D1"/>
      </patternFill>
    </fill>
    <fill>
      <patternFill patternType="solid">
        <fgColor rgb="FFC98B3D"/>
        <bgColor rgb="FFC98B3D"/>
      </patternFill>
    </fill>
    <fill>
      <patternFill patternType="solid">
        <fgColor rgb="FF52E6B4"/>
        <bgColor rgb="FF52E6B4"/>
      </patternFill>
    </fill>
    <fill>
      <patternFill patternType="solid">
        <fgColor rgb="FFFFCDD5"/>
        <bgColor rgb="FFFFCDD5"/>
      </patternFill>
    </fill>
    <fill>
      <patternFill patternType="solid">
        <fgColor rgb="FFF6EEBD"/>
        <bgColor rgb="FFF6EEBD"/>
      </patternFill>
    </fill>
    <fill>
      <patternFill patternType="solid">
        <fgColor rgb="FFDECD39"/>
        <bgColor rgb="FFDECD39"/>
      </patternFill>
    </fill>
    <fill>
      <patternFill patternType="solid">
        <fgColor rgb="FF62A4CD"/>
        <bgColor rgb="FF62A4CD"/>
      </patternFill>
    </fill>
    <fill>
      <patternFill patternType="solid">
        <fgColor rgb="FFF6AC00"/>
        <bgColor rgb="FFF6AC00"/>
      </patternFill>
    </fill>
    <fill>
      <patternFill patternType="solid">
        <fgColor rgb="FFEED518"/>
        <bgColor rgb="FFEED518"/>
      </patternFill>
    </fill>
    <fill>
      <patternFill patternType="solid">
        <fgColor rgb="FFFF4141"/>
        <bgColor rgb="FFFF4141"/>
      </patternFill>
    </fill>
    <fill>
      <patternFill patternType="solid">
        <fgColor rgb="FF39A418"/>
        <bgColor rgb="FF39A418"/>
      </patternFill>
    </fill>
    <fill>
      <patternFill patternType="solid">
        <fgColor rgb="FF188BDE"/>
        <bgColor rgb="FF188BDE"/>
      </patternFill>
    </fill>
    <fill>
      <patternFill patternType="solid">
        <fgColor rgb="FFBD9C8B"/>
        <bgColor rgb="FFBD9C8B"/>
      </patternFill>
    </fill>
    <fill>
      <patternFill patternType="solid">
        <fgColor rgb="FFCDC58B"/>
        <bgColor rgb="FFCDC58B"/>
      </patternFill>
    </fill>
    <fill>
      <patternFill patternType="solid">
        <fgColor rgb="FFFFF6CD"/>
        <bgColor rgb="FFFFF6CD"/>
      </patternFill>
    </fill>
    <fill>
      <patternFill patternType="solid">
        <fgColor rgb="FF6B6B6B"/>
        <bgColor rgb="FF6B6B6B"/>
      </patternFill>
    </fill>
    <fill>
      <patternFill patternType="solid">
        <fgColor rgb="FFFFDEA5"/>
        <bgColor rgb="FFFFDEA5"/>
      </patternFill>
    </fill>
    <fill>
      <patternFill patternType="solid">
        <fgColor rgb="FFFFBD84"/>
        <bgColor rgb="FFFFBD84"/>
      </patternFill>
    </fill>
    <fill>
      <patternFill patternType="solid">
        <fgColor rgb="FFDE9C6B"/>
        <bgColor rgb="FFDE9C6B"/>
      </patternFill>
    </fill>
    <fill>
      <patternFill patternType="solid">
        <fgColor rgb="FFFFFFD6"/>
        <bgColor rgb="FFFFFFD6"/>
      </patternFill>
    </fill>
    <fill>
      <patternFill patternType="solid">
        <fgColor rgb="FFEFE7AD"/>
        <bgColor rgb="FFEFE7AD"/>
      </patternFill>
    </fill>
    <fill>
      <patternFill patternType="solid">
        <fgColor rgb="FF3D2B29"/>
        <bgColor rgb="FF3D2B29"/>
      </patternFill>
    </fill>
    <fill>
      <patternFill patternType="solid">
        <fgColor rgb="FFB07442"/>
        <bgColor rgb="FFB07442"/>
      </patternFill>
    </fill>
    <fill>
      <patternFill patternType="solid">
        <fgColor rgb="FFFFFAF4"/>
        <bgColor rgb="FFFFFAF4"/>
      </patternFill>
    </fill>
    <fill>
      <patternFill patternType="solid">
        <fgColor rgb="FFEAE4DD"/>
        <bgColor rgb="FFEAE4DD"/>
      </patternFill>
    </fill>
    <fill>
      <patternFill patternType="solid">
        <fgColor rgb="FFFFC2C2"/>
        <bgColor rgb="FFFFC2C2"/>
      </patternFill>
    </fill>
    <fill>
      <patternFill patternType="solid">
        <fgColor rgb="FFD2EFFF"/>
        <bgColor rgb="FFD2EFFF"/>
      </patternFill>
    </fill>
    <fill>
      <patternFill patternType="solid">
        <fgColor rgb="FF434343"/>
        <bgColor rgb="FF434343"/>
      </patternFill>
    </fill>
    <fill>
      <patternFill patternType="solid">
        <fgColor rgb="FF3FBD67"/>
        <bgColor rgb="FF3FBD67"/>
      </patternFill>
    </fill>
    <fill>
      <patternFill patternType="solid">
        <fgColor rgb="FFCBF6BB"/>
        <bgColor rgb="FFCBF6BB"/>
      </patternFill>
    </fill>
    <fill>
      <patternFill patternType="solid">
        <fgColor rgb="FF5A5BC5"/>
        <bgColor rgb="FF5A5BC5"/>
      </patternFill>
    </fill>
    <fill>
      <patternFill patternType="solid">
        <fgColor rgb="FFACB4FF"/>
        <bgColor rgb="FFACB4FF"/>
      </patternFill>
    </fill>
    <fill>
      <patternFill patternType="solid">
        <fgColor rgb="FFAB4D63"/>
        <bgColor rgb="FFAB4D63"/>
      </patternFill>
    </fill>
    <fill>
      <patternFill patternType="solid">
        <fgColor rgb="FFFFB3B3"/>
        <bgColor rgb="FFFFB3B3"/>
      </patternFill>
    </fill>
    <fill>
      <patternFill patternType="solid">
        <fgColor rgb="FFFFE65A"/>
        <bgColor rgb="FFFFE65A"/>
      </patternFill>
    </fill>
    <fill>
      <patternFill patternType="solid">
        <fgColor rgb="FFFAF1B7"/>
        <bgColor rgb="FFFAF1B7"/>
      </patternFill>
    </fill>
    <fill>
      <patternFill patternType="solid">
        <fgColor rgb="FFA4ACB4"/>
        <bgColor rgb="FFA4ACB4"/>
      </patternFill>
    </fill>
    <fill>
      <patternFill patternType="solid">
        <fgColor rgb="FFDEEEF6"/>
        <bgColor rgb="FFDEEEF6"/>
      </patternFill>
    </fill>
    <fill>
      <patternFill patternType="solid">
        <fgColor rgb="FFFFCD4A"/>
        <bgColor rgb="FFFFCD4A"/>
      </patternFill>
    </fill>
    <fill>
      <patternFill patternType="solid">
        <fgColor rgb="FFFFF5C3"/>
        <bgColor rgb="FFFFF5C3"/>
      </patternFill>
    </fill>
    <fill>
      <patternFill patternType="solid">
        <fgColor rgb="FF4F569F"/>
        <bgColor rgb="FF4F569F"/>
      </patternFill>
    </fill>
    <fill>
      <patternFill patternType="solid">
        <fgColor rgb="FFC6C8E6"/>
        <bgColor rgb="FFC6C8E6"/>
      </patternFill>
    </fill>
    <fill>
      <patternFill patternType="solid">
        <fgColor rgb="FFEE4A4A"/>
        <bgColor rgb="FFEE4A4A"/>
      </patternFill>
    </fill>
    <fill>
      <patternFill patternType="solid">
        <fgColor rgb="FF739C9C"/>
        <bgColor rgb="FF739C9C"/>
      </patternFill>
    </fill>
    <fill>
      <patternFill patternType="solid">
        <fgColor rgb="FFACE6D5"/>
        <bgColor rgb="FFACE6D5"/>
      </patternFill>
    </fill>
    <fill>
      <patternFill patternType="solid">
        <fgColor rgb="FF59AEBE"/>
        <bgColor rgb="FF59AEBE"/>
      </patternFill>
    </fill>
    <fill>
      <patternFill patternType="solid">
        <fgColor rgb="FFC5FFFF"/>
        <bgColor rgb="FFC5FFFF"/>
      </patternFill>
    </fill>
    <fill>
      <patternFill patternType="solid">
        <fgColor rgb="FF93705B"/>
        <bgColor rgb="FF93705B"/>
      </patternFill>
    </fill>
    <fill>
      <patternFill patternType="solid">
        <fgColor rgb="FFEEB49C"/>
        <bgColor rgb="FFEEB49C"/>
      </patternFill>
    </fill>
    <fill>
      <patternFill patternType="solid">
        <fgColor rgb="FF7B9170"/>
        <bgColor rgb="FF7B9170"/>
      </patternFill>
    </fill>
    <fill>
      <patternFill patternType="solid">
        <fgColor rgb="FFD5F6C5"/>
        <bgColor rgb="FFD5F6C5"/>
      </patternFill>
    </fill>
    <fill>
      <patternFill patternType="solid">
        <fgColor rgb="FFB77C9C"/>
        <bgColor rgb="FFB77C9C"/>
      </patternFill>
    </fill>
    <fill>
      <patternFill patternType="solid">
        <fgColor rgb="FFAC62BD"/>
        <bgColor rgb="FFAC62BD"/>
      </patternFill>
    </fill>
    <fill>
      <patternFill patternType="solid">
        <fgColor rgb="FFE5CDFE"/>
        <bgColor rgb="FFE5CDFE"/>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E6B8AF"/>
        <bgColor rgb="FFE6B8AF"/>
      </patternFill>
    </fill>
    <fill>
      <patternFill patternType="solid">
        <fgColor rgb="FFD5737B"/>
        <bgColor rgb="FFD5737B"/>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9FC5E8"/>
        <bgColor rgb="FF9FC5E8"/>
      </patternFill>
    </fill>
    <fill>
      <patternFill patternType="solid">
        <fgColor rgb="FFB4A7D6"/>
        <bgColor rgb="FFB4A7D6"/>
      </patternFill>
    </fill>
    <fill>
      <patternFill patternType="solid">
        <fgColor rgb="FFD5A6BD"/>
        <bgColor rgb="FFD5A6BD"/>
      </patternFill>
    </fill>
    <fill>
      <patternFill patternType="solid">
        <fgColor rgb="FFDD7E6B"/>
        <bgColor rgb="FFDD7E6B"/>
      </patternFill>
    </fill>
    <fill>
      <patternFill patternType="solid">
        <fgColor rgb="FF7394B4"/>
        <bgColor rgb="FF7394B4"/>
      </patternFill>
    </fill>
    <fill>
      <patternFill patternType="solid">
        <fgColor rgb="FFC59462"/>
        <bgColor rgb="FFC59462"/>
      </patternFill>
    </fill>
    <fill>
      <patternFill patternType="solid">
        <fgColor rgb="FFBDBDBD"/>
        <bgColor rgb="FFBDBDBD"/>
      </patternFill>
    </fill>
    <fill>
      <patternFill patternType="solid">
        <fgColor rgb="FFEE836A"/>
        <bgColor rgb="FFEE836A"/>
      </patternFill>
    </fill>
    <fill>
      <patternFill patternType="solid">
        <fgColor rgb="FFFF5A5A"/>
        <bgColor rgb="FFFF5A5A"/>
      </patternFill>
    </fill>
    <fill>
      <patternFill patternType="solid">
        <fgColor rgb="FFBDEEEE"/>
        <bgColor rgb="FFBDEEEE"/>
      </patternFill>
    </fill>
    <fill>
      <patternFill patternType="solid">
        <fgColor rgb="FFCDF68B"/>
        <bgColor rgb="FFCDF68B"/>
      </patternFill>
    </fill>
    <fill>
      <patternFill patternType="solid">
        <fgColor rgb="FFBDBDAC"/>
        <bgColor rgb="FFBDBDAC"/>
      </patternFill>
    </fill>
    <fill>
      <patternFill patternType="solid">
        <fgColor rgb="FF7BE662"/>
        <bgColor rgb="FF7BE662"/>
      </patternFill>
    </fill>
    <fill>
      <patternFill patternType="solid">
        <fgColor rgb="FFFF9CDE"/>
        <bgColor rgb="FFFF9CDE"/>
      </patternFill>
    </fill>
    <fill>
      <patternFill patternType="solid">
        <fgColor rgb="FFFFC5E6"/>
        <bgColor rgb="FFFFC5E6"/>
      </patternFill>
    </fill>
    <fill>
      <patternFill patternType="solid">
        <fgColor rgb="FF4AD5FF"/>
        <bgColor rgb="FF4AD5FF"/>
      </patternFill>
    </fill>
    <fill>
      <patternFill patternType="solid">
        <fgColor rgb="FF6A94FF"/>
        <bgColor rgb="FF6A94FF"/>
      </patternFill>
    </fill>
    <fill>
      <patternFill patternType="solid">
        <fgColor rgb="FFAC94B4"/>
        <bgColor rgb="FFAC94B4"/>
      </patternFill>
    </fill>
    <fill>
      <patternFill patternType="solid">
        <fgColor rgb="FFD5BD7B"/>
        <bgColor rgb="FFD5BD7B"/>
      </patternFill>
    </fill>
    <fill>
      <patternFill patternType="solid">
        <fgColor rgb="FFC583FF"/>
        <bgColor rgb="FFC583FF"/>
      </patternFill>
    </fill>
    <fill>
      <patternFill patternType="solid">
        <fgColor rgb="FFFFD562"/>
        <bgColor rgb="FFFFD562"/>
      </patternFill>
    </fill>
  </fills>
  <borders count="711">
    <border/>
    <border>
      <top style="thin">
        <color rgb="FFD9D9D9"/>
      </top>
    </border>
    <border>
      <left style="double">
        <color rgb="FF000000"/>
      </left>
      <top style="double">
        <color rgb="FF000000"/>
      </top>
      <bottom style="thin">
        <color rgb="FFB7B7B7"/>
      </bottom>
    </border>
    <border>
      <top style="double">
        <color rgb="FF000000"/>
      </top>
      <bottom style="thin">
        <color rgb="FFB7B7B7"/>
      </bottom>
    </border>
    <border>
      <right style="double">
        <color rgb="FF000000"/>
      </right>
      <top style="double">
        <color rgb="FF000000"/>
      </top>
      <bottom style="thin">
        <color rgb="FFB7B7B7"/>
      </bottom>
    </border>
    <border>
      <left style="double">
        <color rgb="FF000000"/>
      </left>
    </border>
    <border>
      <right style="double">
        <color rgb="FF000000"/>
      </right>
    </border>
    <border>
      <bottom style="thin">
        <color rgb="FFD9D9D9"/>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ck">
        <color rgb="FFEFEFEF"/>
      </left>
      <right style="thin">
        <color rgb="FF232222"/>
      </right>
      <top style="thick">
        <color rgb="FFEFEFEF"/>
      </top>
      <bottom style="thick">
        <color rgb="FFEFEFEF"/>
      </bottom>
    </border>
    <border>
      <left style="thin">
        <color rgb="FF232222"/>
      </left>
      <top style="thick">
        <color rgb="FFEFEFEF"/>
      </top>
      <bottom style="thick">
        <color rgb="FFEFEFEF"/>
      </bottom>
    </border>
    <border>
      <right style="thin">
        <color rgb="FF232222"/>
      </right>
      <top style="thick">
        <color rgb="FFEFEFEF"/>
      </top>
      <bottom style="thick">
        <color rgb="FFEFEFEF"/>
      </bottom>
    </border>
    <border>
      <left style="thin">
        <color rgb="FF232222"/>
      </left>
      <right style="thin">
        <color rgb="FF232222"/>
      </right>
      <top style="thick">
        <color rgb="FFEFEFEF"/>
      </top>
      <bottom style="thick">
        <color rgb="FFEFEFEF"/>
      </bottom>
    </border>
    <border>
      <top style="thick">
        <color rgb="FFEFEFEF"/>
      </top>
      <bottom style="thick">
        <color rgb="FFEFEFEF"/>
      </bottom>
    </border>
    <border>
      <left style="thin">
        <color rgb="FFEFEFEF"/>
      </left>
      <right style="thin">
        <color rgb="FFEFEFEF"/>
      </right>
      <top style="thick">
        <color rgb="FFEFEFEF"/>
      </top>
      <bottom style="thin">
        <color rgb="FFEFEFEF"/>
      </bottom>
    </border>
    <border>
      <right style="thick">
        <color rgb="FFEFEFEF"/>
      </right>
      <top style="thick">
        <color rgb="FFEFEFEF"/>
      </top>
      <bottom style="thick">
        <color rgb="FFEFEFEF"/>
      </bottom>
    </border>
    <border>
      <left style="thick">
        <color rgb="FFEFEFEF"/>
      </left>
      <right style="thin">
        <color rgb="FFE67B0C"/>
      </right>
      <top style="thick">
        <color rgb="FFEFEFEF"/>
      </top>
      <bottom style="thick">
        <color rgb="FFEFEFEF"/>
      </bottom>
    </border>
    <border>
      <left style="thin">
        <color rgb="FFE67B0C"/>
      </left>
      <right style="thin">
        <color rgb="FFE67B0C"/>
      </right>
      <top style="thick">
        <color rgb="FFEFEFEF"/>
      </top>
      <bottom style="thick">
        <color rgb="FFEFEFEF"/>
      </bottom>
    </border>
    <border>
      <left style="thin">
        <color rgb="FFE67B0C"/>
      </left>
      <top style="thick">
        <color rgb="FFEFEFEF"/>
      </top>
      <bottom style="thick">
        <color rgb="FFEFEFEF"/>
      </bottom>
    </border>
    <border>
      <left style="thin">
        <color rgb="FFD9D9D9"/>
      </left>
      <top style="thick">
        <color rgb="FFEFEFEF"/>
      </top>
      <bottom style="thick">
        <color rgb="FFEFEFEF"/>
      </bottom>
    </border>
    <border>
      <right style="thin">
        <color rgb="FF232222"/>
      </right>
      <bottom style="thin">
        <color rgb="FF232222"/>
      </bottom>
    </border>
    <border>
      <left style="thin">
        <color rgb="FF232222"/>
      </left>
      <right style="thick">
        <color rgb="FFEFEFEF"/>
      </right>
      <bottom style="thin">
        <color rgb="FF232222"/>
      </bottom>
    </border>
    <border>
      <left style="thin">
        <color rgb="FFEFEFEF"/>
      </left>
      <right style="thin">
        <color rgb="FFEFEFEF"/>
      </right>
      <top style="thin">
        <color rgb="FFEFEFEF"/>
      </top>
      <bottom style="thin">
        <color rgb="FFEFEFEF"/>
      </bottom>
    </border>
    <border>
      <left style="thick">
        <color rgb="FFEFEFEF"/>
      </left>
      <right style="thin">
        <color rgb="FF529CA4"/>
      </right>
      <top style="thick">
        <color rgb="FFEFEFEF"/>
      </top>
      <bottom style="thick">
        <color rgb="FFEFEFEF"/>
      </bottom>
    </border>
    <border>
      <left style="thin">
        <color rgb="FF529CA4"/>
      </left>
      <right style="thin">
        <color rgb="FF529CA4"/>
      </right>
      <top style="thick">
        <color rgb="FFEFEFEF"/>
      </top>
      <bottom style="thick">
        <color rgb="FFEFEFEF"/>
      </bottom>
    </border>
    <border>
      <left style="thin">
        <color rgb="FF529CA4"/>
      </left>
      <top style="thick">
        <color rgb="FFEFEFEF"/>
      </top>
      <bottom style="thick">
        <color rgb="FFEFEFEF"/>
      </bottom>
    </border>
    <border>
      <left style="thick">
        <color rgb="FFEFEFEF"/>
      </left>
      <right style="thin">
        <color rgb="FF232222"/>
      </right>
      <bottom style="thin">
        <color rgb="FF232222"/>
      </bottom>
    </border>
    <border>
      <left style="thin">
        <color rgb="FF232222"/>
      </left>
      <bottom style="thin">
        <color rgb="FF232222"/>
      </bottom>
    </border>
    <border>
      <right style="thick">
        <color rgb="FFEFEFEF"/>
      </right>
      <bottom style="thin">
        <color rgb="FF232222"/>
      </bottom>
    </border>
    <border>
      <left style="thick">
        <color rgb="FFEFEFEF"/>
      </left>
      <right style="thin">
        <color rgb="FFB4D5FF"/>
      </right>
      <top style="thick">
        <color rgb="FFEFEFEF"/>
      </top>
      <bottom style="thick">
        <color rgb="FFEFEFEF"/>
      </bottom>
    </border>
    <border>
      <left style="thin">
        <color rgb="FFB4D5FF"/>
      </left>
      <right style="thin">
        <color rgb="FFB4D5FF"/>
      </right>
      <top style="thick">
        <color rgb="FFEFEFEF"/>
      </top>
      <bottom style="thick">
        <color rgb="FFEFEFEF"/>
      </bottom>
    </border>
    <border>
      <left style="thin">
        <color rgb="FFB4D5FF"/>
      </left>
      <top style="thick">
        <color rgb="FFEFEFEF"/>
      </top>
      <bottom style="thick">
        <color rgb="FFEFEFEF"/>
      </bottom>
    </border>
    <border>
      <left style="thin">
        <color rgb="FFB7B7B7"/>
      </left>
      <top style="thick">
        <color rgb="FFEFEFEF"/>
      </top>
      <bottom style="thick">
        <color rgb="FFEFEFEF"/>
      </bottom>
    </border>
    <border>
      <right style="thin">
        <color rgb="FF232222"/>
      </right>
      <top style="thin">
        <color rgb="FF232222"/>
      </top>
      <bottom style="thin">
        <color rgb="FF232222"/>
      </bottom>
    </border>
    <border>
      <left style="thin">
        <color rgb="FF232222"/>
      </left>
      <right style="thick">
        <color rgb="FFEFEFEF"/>
      </right>
      <top style="thin">
        <color rgb="FF232222"/>
      </top>
      <bottom style="thin">
        <color rgb="FF232222"/>
      </bottom>
    </border>
    <border>
      <left style="thick">
        <color rgb="FFEFEFEF"/>
      </left>
      <right style="thin">
        <color rgb="FFA4EEFF"/>
      </right>
      <top style="thick">
        <color rgb="FFEFEFEF"/>
      </top>
      <bottom style="thick">
        <color rgb="FFEFEFEF"/>
      </bottom>
    </border>
    <border>
      <left style="thin">
        <color rgb="FFA4EEFF"/>
      </left>
      <right style="thin">
        <color rgb="FFA4EEFF"/>
      </right>
      <top style="thick">
        <color rgb="FFEFEFEF"/>
      </top>
      <bottom style="thick">
        <color rgb="FFEFEFEF"/>
      </bottom>
    </border>
    <border>
      <left style="thin">
        <color rgb="FFA4EEFF"/>
      </left>
      <top style="thick">
        <color rgb="FFEFEFEF"/>
      </top>
      <bottom style="thick">
        <color rgb="FFEFEFEF"/>
      </bottom>
    </border>
    <border>
      <right style="thin">
        <color rgb="FFEFEFEF"/>
      </right>
      <top style="thick">
        <color rgb="FFEFEFEF"/>
      </top>
      <bottom style="thick">
        <color rgb="FFEFEFEF"/>
      </bottom>
    </border>
    <border>
      <left style="thick">
        <color rgb="FFEFEFEF"/>
      </left>
      <right style="thick">
        <color rgb="FFEFEFEF"/>
      </right>
      <bottom style="thin">
        <color rgb="FF232222"/>
      </bottom>
    </border>
    <border>
      <left style="thick">
        <color rgb="FFEFEFEF"/>
      </left>
      <right style="thin">
        <color rgb="FF5AACEE"/>
      </right>
      <top style="thick">
        <color rgb="FFEFEFEF"/>
      </top>
      <bottom style="thick">
        <color rgb="FFEFEFEF"/>
      </bottom>
    </border>
    <border>
      <left style="thin">
        <color rgb="FF5AACEE"/>
      </left>
      <right style="thin">
        <color rgb="FF5AACEE"/>
      </right>
      <top style="thick">
        <color rgb="FFEFEFEF"/>
      </top>
      <bottom style="thick">
        <color rgb="FFEFEFEF"/>
      </bottom>
    </border>
    <border>
      <left style="thin">
        <color rgb="FF5AACEE"/>
      </left>
      <top style="thick">
        <color rgb="FFEFEFEF"/>
      </top>
      <bottom style="thick">
        <color rgb="FFEFEFEF"/>
      </bottom>
    </border>
    <border>
      <left style="thick">
        <color rgb="FFEFEFEF"/>
      </left>
      <right style="thin">
        <color rgb="FF6AEEA4"/>
      </right>
      <top style="thick">
        <color rgb="FFEFEFEF"/>
      </top>
      <bottom style="thick">
        <color rgb="FFEFEFEF"/>
      </bottom>
    </border>
    <border>
      <left style="thin">
        <color rgb="FF6AEEA4"/>
      </left>
      <right style="thin">
        <color rgb="FF6AEEA4"/>
      </right>
      <top style="thick">
        <color rgb="FFEFEFEF"/>
      </top>
      <bottom style="thick">
        <color rgb="FFEFEFEF"/>
      </bottom>
    </border>
    <border>
      <right style="thin">
        <color rgb="FF232222"/>
      </right>
      <top style="thin">
        <color rgb="FF232222"/>
      </top>
      <bottom style="thick">
        <color rgb="FFEFEFEF"/>
      </bottom>
    </border>
    <border>
      <left style="thin">
        <color rgb="FF232222"/>
      </left>
      <right style="thick">
        <color rgb="FFEFEFEF"/>
      </right>
      <top style="thin">
        <color rgb="FF232222"/>
      </top>
      <bottom style="thick">
        <color rgb="FFEFEFEF"/>
      </bottom>
    </border>
    <border>
      <left style="thick">
        <color rgb="FFEFEFEF"/>
      </left>
      <right style="thin">
        <color rgb="FFE2E2E6"/>
      </right>
      <top style="thick">
        <color rgb="FFEFEFEF"/>
      </top>
      <bottom style="thick">
        <color rgb="FFEFEFEF"/>
      </bottom>
    </border>
    <border>
      <left style="thin">
        <color rgb="FFE2E2E6"/>
      </left>
      <right style="thin">
        <color rgb="FFE2E2E6"/>
      </right>
      <top style="thick">
        <color rgb="FFEFEFEF"/>
      </top>
      <bottom style="thick">
        <color rgb="FFEFEFEF"/>
      </bottom>
    </border>
    <border>
      <left style="thin">
        <color rgb="FFE2E2E6"/>
      </left>
      <top style="thick">
        <color rgb="FFEFEFEF"/>
      </top>
      <bottom style="thick">
        <color rgb="FFEFEFEF"/>
      </bottom>
    </border>
    <border>
      <left style="thick">
        <color rgb="FFEFEFEF"/>
      </left>
      <right style="thin">
        <color rgb="FFFFC500"/>
      </right>
      <top style="thick">
        <color rgb="FFEFEFEF"/>
      </top>
      <bottom style="thick">
        <color rgb="FFEFEFEF"/>
      </bottom>
    </border>
    <border>
      <left style="thin">
        <color rgb="FFFFC500"/>
      </left>
      <right style="thin">
        <color rgb="FFFFC500"/>
      </right>
      <top style="thick">
        <color rgb="FFEFEFEF"/>
      </top>
      <bottom style="thick">
        <color rgb="FFEFEFEF"/>
      </bottom>
    </border>
    <border>
      <left style="thin">
        <color rgb="FFFFC500"/>
      </left>
      <top style="thick">
        <color rgb="FFEFEFEF"/>
      </top>
      <bottom style="thick">
        <color rgb="FFEFEFEF"/>
      </bottom>
    </border>
    <border>
      <left style="thick">
        <color rgb="FFEFEFEF"/>
      </left>
      <right style="thin">
        <color rgb="FFCD7BBD"/>
      </right>
      <top style="thick">
        <color rgb="FFEFEFEF"/>
      </top>
      <bottom style="thick">
        <color rgb="FFEFEFEF"/>
      </bottom>
    </border>
    <border>
      <left style="thin">
        <color rgb="FFCD7BBD"/>
      </left>
      <right style="thin">
        <color rgb="FFCD7BBD"/>
      </right>
      <top style="thick">
        <color rgb="FFEFEFEF"/>
      </top>
      <bottom style="thick">
        <color rgb="FFEFEFEF"/>
      </bottom>
    </border>
    <border>
      <left style="thin">
        <color rgb="FFCD7BBD"/>
      </left>
      <top style="thick">
        <color rgb="FFEFEFEF"/>
      </top>
      <bottom style="thick">
        <color rgb="FFEFEFEF"/>
      </bottom>
    </border>
    <border>
      <left style="thick">
        <color rgb="FFEFEFEF"/>
      </left>
      <right style="thin">
        <color rgb="FFFFB429"/>
      </right>
      <top style="thick">
        <color rgb="FFEFEFEF"/>
      </top>
      <bottom style="thick">
        <color rgb="FFEFEFEF"/>
      </bottom>
    </border>
    <border>
      <left style="thin">
        <color rgb="FFFFB429"/>
      </left>
      <right style="thin">
        <color rgb="FFFFB429"/>
      </right>
      <top style="thick">
        <color rgb="FFEFEFEF"/>
      </top>
      <bottom style="thick">
        <color rgb="FFEFEFEF"/>
      </bottom>
    </border>
    <border>
      <left style="thin">
        <color rgb="FFFFB429"/>
      </left>
      <top style="thick">
        <color rgb="FFEFEFEF"/>
      </top>
      <bottom style="thick">
        <color rgb="FFEFEFEF"/>
      </bottom>
    </border>
    <border>
      <left style="thin">
        <color rgb="FFD9D9D9"/>
      </left>
      <top style="thick">
        <color rgb="FFEFEFEF"/>
      </top>
      <bottom style="thin">
        <color rgb="FF232222"/>
      </bottom>
    </border>
    <border>
      <top style="thick">
        <color rgb="FFEFEFEF"/>
      </top>
      <bottom style="thin">
        <color rgb="FF232222"/>
      </bottom>
    </border>
    <border>
      <right style="thick">
        <color rgb="FFFFFFFF"/>
      </right>
      <top style="thick">
        <color rgb="FFEFEFEF"/>
      </top>
      <bottom style="thin">
        <color rgb="FF232222"/>
      </bottom>
    </border>
    <border>
      <left style="thick">
        <color rgb="FFEFEFEF"/>
      </left>
      <right style="thin">
        <color rgb="FFFFACA4"/>
      </right>
      <top style="thick">
        <color rgb="FFEFEFEF"/>
      </top>
      <bottom style="thick">
        <color rgb="FFEFEFEF"/>
      </bottom>
    </border>
    <border>
      <left style="thin">
        <color rgb="FFFFACA4"/>
      </left>
      <right style="thin">
        <color rgb="FFFFACA4"/>
      </right>
      <top style="thick">
        <color rgb="FFEFEFEF"/>
      </top>
      <bottom style="thick">
        <color rgb="FFEFEFEF"/>
      </bottom>
    </border>
    <border>
      <left style="thin">
        <color rgb="FFFFACA4"/>
      </left>
      <top style="thick">
        <color rgb="FFEFEFEF"/>
      </top>
      <bottom style="thick">
        <color rgb="FFEFEFEF"/>
      </bottom>
    </border>
    <border>
      <left style="thin">
        <color rgb="FFEFEFEF"/>
      </left>
      <right style="thin">
        <color rgb="FFEFEFEF"/>
      </right>
      <top style="thin">
        <color rgb="FFEFEFEF"/>
      </top>
    </border>
    <border>
      <left style="thick">
        <color rgb="FFEFEFEF"/>
      </left>
      <right style="thick">
        <color rgb="FFEFEFEF"/>
      </right>
    </border>
    <border>
      <left style="thin">
        <color rgb="FFEFEFEF"/>
      </left>
      <right style="thick">
        <color rgb="FFEFEFEF"/>
      </right>
      <top style="thick">
        <color rgb="FFEFEFEF"/>
      </top>
      <bottom style="thin">
        <color rgb="FFEFEFEF"/>
      </bottom>
    </border>
    <border>
      <left style="thin">
        <color rgb="FFEFEFEF"/>
      </left>
      <right style="thick">
        <color rgb="FFEFEFEF"/>
      </right>
      <top style="thin">
        <color rgb="FFEFEFEF"/>
      </top>
      <bottom style="thin">
        <color rgb="FFEFEFEF"/>
      </bottom>
    </border>
    <border>
      <left style="thick">
        <color rgb="FFEFEFEF"/>
      </left>
      <right style="thin">
        <color rgb="FF76B0B8"/>
      </right>
      <top style="thick">
        <color rgb="FFEFEFEF"/>
      </top>
      <bottom style="thick">
        <color rgb="FFEFEFEF"/>
      </bottom>
    </border>
    <border>
      <left style="thin">
        <color rgb="FF76B0B8"/>
      </left>
      <right style="thin">
        <color rgb="FF76B0B8"/>
      </right>
      <top style="thick">
        <color rgb="FFEFEFEF"/>
      </top>
      <bottom style="thick">
        <color rgb="FFEFEFEF"/>
      </bottom>
    </border>
    <border>
      <left style="thin">
        <color rgb="FF76B0B8"/>
      </left>
      <top style="thick">
        <color rgb="FFEFEFEF"/>
      </top>
      <bottom style="thick">
        <color rgb="FFEFEFEF"/>
      </bottom>
    </border>
    <border>
      <left style="thick">
        <color rgb="FFEFEFEF"/>
      </left>
      <right style="thin">
        <color rgb="FFEFEFEF"/>
      </right>
      <top style="thick">
        <color rgb="FFEFEFEF"/>
      </top>
      <bottom style="thick">
        <color rgb="FFEFEFEF"/>
      </bottom>
    </border>
    <border>
      <right style="medium">
        <color rgb="FFB7B7B7"/>
      </right>
      <top style="thick">
        <color rgb="FFEFEFEF"/>
      </top>
      <bottom style="thick">
        <color rgb="FFEFEFEF"/>
      </bottom>
    </border>
    <border>
      <right style="thick">
        <color rgb="FFEFEFEF"/>
      </right>
      <top style="thin">
        <color rgb="FF232222"/>
      </top>
      <bottom style="thin">
        <color rgb="FF232222"/>
      </bottom>
    </border>
    <border>
      <right style="thin">
        <color rgb="FFEFEFEF"/>
      </right>
      <top style="thin">
        <color rgb="FFEFEFEF"/>
      </top>
      <bottom style="thin">
        <color rgb="FFEFEFEF"/>
      </bottom>
    </border>
    <border>
      <right style="thick">
        <color rgb="FFEFEFEF"/>
      </right>
      <top style="thin">
        <color rgb="FFEFEFEF"/>
      </top>
      <bottom style="thin">
        <color rgb="FFEFEFEF"/>
      </bottom>
    </border>
    <border>
      <left style="thick">
        <color rgb="FFEFEFEF"/>
      </left>
      <right style="thin">
        <color rgb="FF8CE6F7"/>
      </right>
      <top style="thick">
        <color rgb="FFEFEFEF"/>
      </top>
      <bottom style="thick">
        <color rgb="FFEFEFEF"/>
      </bottom>
    </border>
    <border>
      <left style="thin">
        <color rgb="FF8CE6F7"/>
      </left>
      <right style="thin">
        <color rgb="FF8CE6F7"/>
      </right>
      <top style="thick">
        <color rgb="FFEFEFEF"/>
      </top>
      <bottom style="thick">
        <color rgb="FFEFEFEF"/>
      </bottom>
    </border>
    <border>
      <left style="thin">
        <color rgb="FF8CE6F7"/>
      </left>
      <top style="thick">
        <color rgb="FFEFEFEF"/>
      </top>
      <bottom style="thick">
        <color rgb="FFEFEFEF"/>
      </bottom>
    </border>
    <border>
      <left style="thick">
        <color rgb="FFEFEFEF"/>
      </left>
      <right style="thin">
        <color rgb="FFE6D552"/>
      </right>
      <top style="thick">
        <color rgb="FFEFEFEF"/>
      </top>
      <bottom style="thick">
        <color rgb="FFEFEFEF"/>
      </bottom>
    </border>
    <border>
      <left style="thin">
        <color rgb="FFE6D552"/>
      </left>
      <right style="thin">
        <color rgb="FFE6D552"/>
      </right>
      <top style="thick">
        <color rgb="FFEFEFEF"/>
      </top>
      <bottom style="thick">
        <color rgb="FFEFEFEF"/>
      </bottom>
    </border>
    <border>
      <left style="thin">
        <color rgb="FFE6D552"/>
      </left>
      <top style="thick">
        <color rgb="FFEFEFEF"/>
      </top>
      <bottom style="thick">
        <color rgb="FFEFEFEF"/>
      </bottom>
    </border>
    <border>
      <left style="thick">
        <color rgb="FFEFEFEF"/>
      </left>
      <right style="thin">
        <color rgb="FFA07BC1"/>
      </right>
      <top style="thick">
        <color rgb="FFEFEFEF"/>
      </top>
      <bottom style="thick">
        <color rgb="FFEFEFEF"/>
      </bottom>
    </border>
    <border>
      <left style="thin">
        <color rgb="FFA07BC1"/>
      </left>
      <right style="thin">
        <color rgb="FFA07BC1"/>
      </right>
      <top style="thick">
        <color rgb="FFEFEFEF"/>
      </top>
      <bottom style="thick">
        <color rgb="FFEFEFEF"/>
      </bottom>
    </border>
    <border>
      <left style="thin">
        <color rgb="FFA07BC1"/>
      </left>
      <top style="thick">
        <color rgb="FFEFEFEF"/>
      </top>
      <bottom style="thick">
        <color rgb="FFEFEFEF"/>
      </bottom>
    </border>
    <border>
      <left style="thick">
        <color rgb="FFEFEFEF"/>
      </left>
      <right style="thin">
        <color rgb="FFD5B441"/>
      </right>
      <top style="thick">
        <color rgb="FFEFEFEF"/>
      </top>
      <bottom style="thick">
        <color rgb="FFEFEFEF"/>
      </bottom>
    </border>
    <border>
      <left style="thin">
        <color rgb="FFD5B441"/>
      </left>
      <right style="thin">
        <color rgb="FFD5B441"/>
      </right>
      <top style="thick">
        <color rgb="FFEFEFEF"/>
      </top>
      <bottom style="thick">
        <color rgb="FFEFEFEF"/>
      </bottom>
    </border>
    <border>
      <left style="thin">
        <color rgb="FFD5B441"/>
      </left>
      <top style="thick">
        <color rgb="FFEFEFEF"/>
      </top>
      <bottom style="thick">
        <color rgb="FFEFEFEF"/>
      </bottom>
    </border>
    <border>
      <left style="thick">
        <color rgb="FFEFEFEF"/>
      </left>
      <right style="thin">
        <color rgb="FFDE8BEE"/>
      </right>
      <top style="thick">
        <color rgb="FFEFEFEF"/>
      </top>
      <bottom style="thick">
        <color rgb="FFEFEFEF"/>
      </bottom>
    </border>
    <border>
      <left style="thin">
        <color rgb="FFDE8BEE"/>
      </left>
      <right style="thin">
        <color rgb="FFDE8BEE"/>
      </right>
      <top style="thick">
        <color rgb="FFEFEFEF"/>
      </top>
      <bottom style="thick">
        <color rgb="FFEFEFEF"/>
      </bottom>
    </border>
    <border>
      <left style="thin">
        <color rgb="FFDE8BEE"/>
      </left>
      <top style="thick">
        <color rgb="FFEFEFEF"/>
      </top>
      <bottom style="thick">
        <color rgb="FFEFEFEF"/>
      </bottom>
    </border>
    <border>
      <left style="thick">
        <color rgb="FFEFEFEF"/>
      </left>
      <right style="thin">
        <color rgb="FFACEE7B"/>
      </right>
      <top style="thick">
        <color rgb="FFEFEFEF"/>
      </top>
      <bottom style="thick">
        <color rgb="FFEFEFEF"/>
      </bottom>
    </border>
    <border>
      <left style="thin">
        <color rgb="FFACEE7B"/>
      </left>
      <right style="thin">
        <color rgb="FFACEE7B"/>
      </right>
      <top style="thick">
        <color rgb="FFEFEFEF"/>
      </top>
      <bottom style="thick">
        <color rgb="FFEFEFEF"/>
      </bottom>
    </border>
    <border>
      <left style="thin">
        <color rgb="FFACEE7B"/>
      </left>
      <top style="thick">
        <color rgb="FFEFEFEF"/>
      </top>
      <bottom style="thick">
        <color rgb="FFEFEFEF"/>
      </bottom>
    </border>
    <border>
      <left style="thin">
        <color rgb="FFD9D9D9"/>
      </left>
      <top style="thick">
        <color rgb="FFEFEFEF"/>
      </top>
    </border>
    <border>
      <top style="thick">
        <color rgb="FFEFEFEF"/>
      </top>
    </border>
    <border>
      <right style="thin">
        <color rgb="FFEFEFEF"/>
      </right>
      <top style="thick">
        <color rgb="FFEFEFEF"/>
      </top>
    </border>
    <border>
      <left style="thin">
        <color rgb="FFD9D9D9"/>
      </left>
      <top style="thick">
        <color rgb="FFEFEFEF"/>
      </top>
      <bottom style="thin">
        <color rgb="FFEFEFEF"/>
      </bottom>
    </border>
    <border>
      <top style="thick">
        <color rgb="FFEFEFEF"/>
      </top>
      <bottom style="thin">
        <color rgb="FFEFEFEF"/>
      </bottom>
    </border>
    <border>
      <right style="thick">
        <color rgb="FFEFEFEF"/>
      </right>
      <top style="thick">
        <color rgb="FFEFEFEF"/>
      </top>
      <bottom style="thin">
        <color rgb="FFEFEFEF"/>
      </bottom>
    </border>
    <border>
      <left style="thin">
        <color rgb="FFB7B7B7"/>
      </left>
      <top style="thick">
        <color rgb="FFEFEFEF"/>
      </top>
    </border>
    <border>
      <right style="thin">
        <color rgb="FF232222"/>
      </right>
      <bottom style="thick">
        <color rgb="FFEFEFEF"/>
      </bottom>
    </border>
    <border>
      <right style="thick">
        <color rgb="FFEFEFEF"/>
      </right>
      <bottom style="thick">
        <color rgb="FFEFEFEF"/>
      </bottom>
    </border>
    <border>
      <left style="thin">
        <color rgb="FFEFEFEF"/>
      </left>
      <right style="thin">
        <color rgb="FFEFEFEF"/>
      </right>
      <top style="thick">
        <color rgb="FFEFEFEF"/>
      </top>
      <bottom style="thick">
        <color rgb="FFEFEFEF"/>
      </bottom>
    </border>
    <border>
      <left style="thin">
        <color rgb="FFEFEFEF"/>
      </left>
      <top style="thick">
        <color rgb="FFEFEFEF"/>
      </top>
      <bottom style="thick">
        <color rgb="FFEFEFEF"/>
      </bottom>
    </border>
    <border>
      <left style="medium">
        <color rgb="FFB7B7B7"/>
      </left>
      <top style="thick">
        <color rgb="FFEFEFEF"/>
      </top>
      <bottom style="thick">
        <color rgb="FFEFEFEF"/>
      </bottom>
    </border>
    <border>
      <left style="thin">
        <color rgb="FFB7B7B7"/>
      </left>
      <top style="thick">
        <color rgb="FFEFEFEF"/>
      </top>
      <bottom style="thin">
        <color rgb="FFEFEFEF"/>
      </bottom>
    </border>
    <border>
      <right style="thin">
        <color rgb="FFEFEFEF"/>
      </right>
      <top style="thick">
        <color rgb="FFEFEFEF"/>
      </top>
      <bottom style="thin">
        <color rgb="FFEFEFEF"/>
      </bottom>
    </border>
    <border>
      <left style="thin">
        <color rgb="FFEFEFEF"/>
      </left>
      <top style="thin">
        <color rgb="FFEFEFEF"/>
      </top>
      <bottom style="thin">
        <color rgb="FFEFEFEF"/>
      </bottom>
    </border>
    <border>
      <left style="medium">
        <color rgb="FFD9D9D9"/>
      </left>
      <top style="thick">
        <color rgb="FFEFEFEF"/>
      </top>
      <bottom style="thin">
        <color rgb="FFEFEFEF"/>
      </bottom>
    </border>
    <border>
      <left style="thick">
        <color rgb="FFEFEFEF"/>
      </left>
      <right style="thick">
        <color rgb="FFEFEFEF"/>
      </right>
      <bottom style="thick">
        <color rgb="FFEFEFEF"/>
      </bottom>
    </border>
    <border>
      <left style="thin">
        <color rgb="FFEFEFEF"/>
      </left>
      <right style="thin">
        <color rgb="FFEFEFEF"/>
      </right>
      <top style="thin">
        <color rgb="FFEFEFEF"/>
      </top>
      <bottom style="thick">
        <color rgb="FFEFEFEF"/>
      </bottom>
    </border>
    <border>
      <left style="thin">
        <color rgb="FFEFEFEF"/>
      </left>
      <right style="thick">
        <color rgb="FFEFEFEF"/>
      </right>
      <top style="thin">
        <color rgb="FFEFEFEF"/>
      </top>
      <bottom style="thick">
        <color rgb="FFEFEFEF"/>
      </bottom>
    </border>
    <border>
      <left style="thick">
        <color rgb="FFEFEFEF"/>
      </left>
      <top style="thick">
        <color rgb="FFEFEFEF"/>
      </top>
      <bottom style="thick">
        <color rgb="FFEFEFEF"/>
      </bottom>
    </border>
    <border>
      <left style="thick">
        <color rgb="FFEFEFEF"/>
      </left>
      <right style="thin">
        <color rgb="FFEFEFEF"/>
      </right>
      <top style="thin">
        <color rgb="FFEFEFEF"/>
      </top>
      <bottom style="thin">
        <color rgb="FFEFEFEF"/>
      </bottom>
    </border>
    <border>
      <left style="thick">
        <color rgb="FFEFEFEF"/>
      </left>
      <top style="thin">
        <color rgb="FFEFEFEF"/>
      </top>
      <bottom style="thin">
        <color rgb="FFEFEFEF"/>
      </bottom>
    </border>
    <border>
      <top style="thin">
        <color rgb="FFEFEFEF"/>
      </top>
      <bottom style="thin">
        <color rgb="FFEFEFEF"/>
      </bottom>
    </border>
    <border>
      <left style="thick">
        <color rgb="FFEFEFEF"/>
      </left>
      <right style="thin">
        <color rgb="FFEFEFEF"/>
      </right>
      <top style="thin">
        <color rgb="FFEFEFEF"/>
      </top>
      <bottom style="thick">
        <color rgb="FF232222"/>
      </bottom>
    </border>
    <border>
      <left style="thin">
        <color rgb="FFEFEFEF"/>
      </left>
      <top style="thin">
        <color rgb="FFEFEFEF"/>
      </top>
      <bottom style="thick">
        <color rgb="FF232222"/>
      </bottom>
    </border>
    <border>
      <left style="thin">
        <color rgb="FFEFEFEF"/>
      </left>
      <right style="thin">
        <color rgb="FFEFEFEF"/>
      </right>
      <top style="thin">
        <color rgb="FFEFEFEF"/>
      </top>
      <bottom style="thick">
        <color rgb="FF232222"/>
      </bottom>
    </border>
    <border>
      <left style="thin">
        <color rgb="FFEFEFEF"/>
      </left>
      <right style="thin">
        <color rgb="FFEFEFEF"/>
      </right>
      <bottom style="thick">
        <color rgb="FF232222"/>
      </bottom>
    </border>
    <border>
      <left style="thick">
        <color rgb="FFEFEFEF"/>
      </left>
      <right style="thin">
        <color rgb="FFF7FFF3"/>
      </right>
      <top style="thick">
        <color rgb="FF232222"/>
      </top>
      <bottom style="thin">
        <color rgb="FFF7FFF3"/>
      </bottom>
    </border>
    <border>
      <left style="thin">
        <color rgb="FFF7FFF3"/>
      </left>
      <right style="thin">
        <color rgb="FFF7FFF3"/>
      </right>
      <top style="thick">
        <color rgb="FF232222"/>
      </top>
      <bottom style="thin">
        <color rgb="FFF7FFF3"/>
      </bottom>
    </border>
    <border>
      <left style="thin">
        <color rgb="FFF7FFF3"/>
      </left>
      <right style="thin">
        <color rgb="FFF7FFF3"/>
      </right>
      <top style="thick">
        <color rgb="FF232222"/>
      </top>
      <bottom style="thin">
        <color rgb="FFEFEFEF"/>
      </bottom>
    </border>
    <border>
      <left style="thick">
        <color rgb="FFEFEFEF"/>
      </left>
      <top style="thin">
        <color rgb="FFF7FFF3"/>
      </top>
    </border>
    <border>
      <right style="thin">
        <color rgb="FFF7FFF3"/>
      </right>
      <top style="thin">
        <color rgb="FFF7FFF3"/>
      </top>
    </border>
    <border>
      <left style="thin">
        <color rgb="FFF7FFF3"/>
      </left>
      <right style="thin">
        <color rgb="FFF7FFF3"/>
      </right>
      <top style="thin">
        <color rgb="FFF7FFF3"/>
      </top>
    </border>
    <border>
      <left style="thin">
        <color rgb="FFF7FFF3"/>
      </left>
      <top style="thin">
        <color rgb="FFF7FFF3"/>
      </top>
      <bottom style="thin">
        <color rgb="FFF7FFF3"/>
      </bottom>
    </border>
    <border>
      <left style="medium">
        <color rgb="FF293131"/>
      </left>
      <right style="thin">
        <color rgb="FF8C8CCE"/>
      </right>
      <top style="medium">
        <color rgb="FF293131"/>
      </top>
      <bottom style="thin">
        <color rgb="FF8C8CCE"/>
      </bottom>
    </border>
    <border>
      <left style="thin">
        <color rgb="FF8C8CCE"/>
      </left>
      <right style="thin">
        <color rgb="FF8C8CCE"/>
      </right>
      <top style="medium">
        <color rgb="FF293131"/>
      </top>
      <bottom style="thin">
        <color rgb="FF8C8CCE"/>
      </bottom>
    </border>
    <border>
      <left style="thin">
        <color rgb="FF8C8CCE"/>
      </left>
      <right style="medium">
        <color rgb="FF293131"/>
      </right>
      <top style="medium">
        <color rgb="FF293131"/>
      </top>
      <bottom style="thin">
        <color rgb="FF8C8CCE"/>
      </bottom>
    </border>
    <border>
      <right style="thin">
        <color rgb="FFF7FFF3"/>
      </right>
      <top style="thin">
        <color rgb="FFF7FFF3"/>
      </top>
      <bottom style="thin">
        <color rgb="FFF7FFF3"/>
      </bottom>
    </border>
    <border>
      <left style="thin">
        <color rgb="FFF7FFF3"/>
      </left>
      <right style="thin">
        <color rgb="FFF7FFF3"/>
      </right>
      <top style="thin">
        <color rgb="FFF7FFF3"/>
      </top>
      <bottom style="thin">
        <color rgb="FFF7FFF3"/>
      </bottom>
    </border>
    <border>
      <left style="thick">
        <color rgb="FFEFEFEF"/>
      </left>
    </border>
    <border>
      <right style="thin">
        <color rgb="FFF7FFF3"/>
      </right>
    </border>
    <border>
      <left style="thin">
        <color rgb="FFF7FFF3"/>
      </left>
      <right style="thin">
        <color rgb="FFF7FFF3"/>
      </right>
    </border>
    <border>
      <left style="medium">
        <color rgb="FF293131"/>
      </left>
      <right style="thin">
        <color rgb="FF8C8CCE"/>
      </right>
      <top style="thin">
        <color rgb="FF8C8CCE"/>
      </top>
      <bottom style="thin">
        <color rgb="FF8C8CCE"/>
      </bottom>
    </border>
    <border>
      <left style="thin">
        <color rgb="FF736B84"/>
      </left>
      <top style="thin">
        <color rgb="FF8C8CCE"/>
      </top>
      <bottom style="thin">
        <color rgb="FF736B84"/>
      </bottom>
    </border>
    <border>
      <top style="thin">
        <color rgb="FF8C8CCE"/>
      </top>
      <bottom style="thin">
        <color rgb="FF736B84"/>
      </bottom>
    </border>
    <border>
      <right style="thin">
        <color rgb="FF736B84"/>
      </right>
      <top style="thin">
        <color rgb="FF8C8CCE"/>
      </top>
      <bottom style="thin">
        <color rgb="FF736B84"/>
      </bottom>
    </border>
    <border>
      <left style="thin">
        <color rgb="FF8C8CCE"/>
      </left>
      <right style="medium">
        <color rgb="FF293131"/>
      </right>
      <top style="thin">
        <color rgb="FF8C8CCE"/>
      </top>
      <bottom style="thin">
        <color rgb="FF8C8CCE"/>
      </bottom>
    </border>
    <border>
      <top style="thin">
        <color rgb="FFF7FFF3"/>
      </top>
      <bottom style="thin">
        <color rgb="FFF7FFF3"/>
      </bottom>
    </border>
    <border>
      <left style="thick">
        <color rgb="FF63737B"/>
      </left>
      <right style="thin">
        <color rgb="FF736B84"/>
      </right>
      <top style="thick">
        <color rgb="FF63737B"/>
      </top>
      <bottom style="thin">
        <color rgb="FF736B84"/>
      </bottom>
    </border>
    <border>
      <left style="thin">
        <color rgb="FF736B84"/>
      </left>
      <right style="thin">
        <color rgb="FF736B84"/>
      </right>
      <top style="thick">
        <color rgb="FF63737B"/>
      </top>
      <bottom style="thin">
        <color rgb="FF736B84"/>
      </bottom>
    </border>
    <border>
      <left style="thin">
        <color rgb="FF736B84"/>
      </left>
      <right style="thick">
        <color rgb="FF63737B"/>
      </right>
      <top style="thick">
        <color rgb="FF63737B"/>
      </top>
      <bottom style="thin">
        <color rgb="FF736B84"/>
      </bottom>
    </border>
    <border>
      <left style="thin">
        <color rgb="FF736B84"/>
      </left>
      <top style="thin">
        <color rgb="FF736B84"/>
      </top>
      <bottom style="thin">
        <color rgb="FF736B84"/>
      </bottom>
    </border>
    <border>
      <left style="thin">
        <color rgb="FF736B84"/>
      </left>
      <right style="thin">
        <color rgb="FF736B84"/>
      </right>
      <top style="thin">
        <color rgb="FF736B84"/>
      </top>
      <bottom style="thin">
        <color rgb="FF736B84"/>
      </bottom>
    </border>
    <border>
      <right style="thin">
        <color rgb="FF736B84"/>
      </right>
      <top style="thin">
        <color rgb="FF736B84"/>
      </top>
    </border>
    <border>
      <left style="thick">
        <color rgb="FF63737B"/>
      </left>
      <right style="thin">
        <color rgb="FF736B84"/>
      </right>
      <top style="thin">
        <color rgb="FF736B84"/>
      </top>
      <bottom style="thin">
        <color rgb="FF736B84"/>
      </bottom>
    </border>
    <border>
      <right style="thin">
        <color rgb="FFFFFFFF"/>
      </right>
    </border>
    <border>
      <left style="thin">
        <color rgb="FFFFFFFF"/>
      </left>
      <right style="thin">
        <color rgb="FFEFEFEF"/>
      </right>
      <bottom style="thin">
        <color rgb="FFEFEFEF"/>
      </bottom>
    </border>
    <border>
      <left style="thin">
        <color rgb="FF736B84"/>
      </left>
      <right style="thick">
        <color rgb="FF63737B"/>
      </right>
      <top style="thin">
        <color rgb="FF736B84"/>
      </top>
      <bottom style="thin">
        <color rgb="FF736B84"/>
      </bottom>
    </border>
    <border>
      <left style="thin">
        <color rgb="FF736B84"/>
      </left>
      <right style="thin">
        <color rgb="FF736B84"/>
      </right>
      <bottom style="thin">
        <color rgb="FF736B84"/>
      </bottom>
    </border>
    <border>
      <right style="thin">
        <color rgb="FF736B84"/>
      </right>
      <bottom style="thin">
        <color rgb="FF736B84"/>
      </bottom>
    </border>
    <border>
      <left style="thick">
        <color rgb="FF63737B"/>
      </left>
      <right style="thin">
        <color rgb="FF736B84"/>
      </right>
      <top style="thin">
        <color rgb="FF736B84"/>
      </top>
      <bottom style="thick">
        <color rgb="FF63737B"/>
      </bottom>
    </border>
    <border>
      <left style="thin">
        <color rgb="FF736B84"/>
      </left>
      <right style="thin">
        <color rgb="FF736B84"/>
      </right>
      <top style="thin">
        <color rgb="FF736B84"/>
      </top>
      <bottom style="thick">
        <color rgb="FF63737B"/>
      </bottom>
    </border>
    <border>
      <left style="thin">
        <color rgb="FF736B84"/>
      </left>
      <right style="thick">
        <color rgb="FF63737B"/>
      </right>
      <top style="thin">
        <color rgb="FF736B84"/>
      </top>
      <bottom style="thick">
        <color rgb="FF63737B"/>
      </bottom>
    </border>
    <border>
      <left style="thick">
        <color rgb="FFEFEFEF"/>
      </left>
      <bottom style="thin">
        <color rgb="FFF7FFF3"/>
      </bottom>
    </border>
    <border>
      <right style="thin">
        <color rgb="FFF7FFF3"/>
      </right>
      <bottom style="thin">
        <color rgb="FFF7FFF3"/>
      </bottom>
    </border>
    <border>
      <left style="thin">
        <color rgb="FFF7FFF3"/>
      </left>
      <right style="thin">
        <color rgb="FFF7FFF3"/>
      </right>
      <bottom style="thin">
        <color rgb="FFF7FFF3"/>
      </bottom>
    </border>
    <border>
      <left style="medium">
        <color rgb="FF293131"/>
      </left>
      <right style="thin">
        <color rgb="FF8C8CCE"/>
      </right>
      <top style="thin">
        <color rgb="FF8C8CCE"/>
      </top>
      <bottom style="medium">
        <color rgb="FF293131"/>
      </bottom>
    </border>
    <border>
      <left style="thin">
        <color rgb="FF8C8CCE"/>
      </left>
      <right style="thin">
        <color rgb="FF8C8CCE"/>
      </right>
      <top style="thin">
        <color rgb="FF8C8CCE"/>
      </top>
      <bottom style="medium">
        <color rgb="FF293131"/>
      </bottom>
    </border>
    <border>
      <left style="thin">
        <color rgb="FF8C8CCE"/>
      </left>
      <right style="medium">
        <color rgb="FF293131"/>
      </right>
      <top style="thin">
        <color rgb="FF8C8CCE"/>
      </top>
      <bottom style="medium">
        <color rgb="FF293131"/>
      </bottom>
    </border>
    <border>
      <left style="thick">
        <color rgb="FFEFEFEF"/>
      </left>
      <right style="thin">
        <color rgb="FFF7FFF3"/>
      </right>
      <top style="thin">
        <color rgb="FFF7FFF3"/>
      </top>
      <bottom style="thick">
        <color rgb="FF232222"/>
      </bottom>
    </border>
    <border>
      <left style="thin">
        <color rgb="FFF7FFF3"/>
      </left>
      <right style="thin">
        <color rgb="FFF7FFF3"/>
      </right>
      <top style="thin">
        <color rgb="FFF7FFF3"/>
      </top>
      <bottom style="thick">
        <color rgb="FF232222"/>
      </bottom>
    </border>
    <border>
      <left style="thin">
        <color rgb="FFF7FFF3"/>
      </left>
      <right style="thin">
        <color rgb="FFF7FFF3"/>
      </right>
      <bottom style="thick">
        <color rgb="FF232222"/>
      </bottom>
    </border>
    <border>
      <left style="thick">
        <color rgb="FFEFEFEF"/>
      </left>
      <right style="thin">
        <color rgb="FFFFFBFA"/>
      </right>
      <top style="thick">
        <color rgb="FF232222"/>
      </top>
      <bottom style="thin">
        <color rgb="FFFFFBFA"/>
      </bottom>
    </border>
    <border>
      <left style="thin">
        <color rgb="FFFFFBFA"/>
      </left>
      <right style="thin">
        <color rgb="FFFFFBFA"/>
      </right>
      <top style="thick">
        <color rgb="FF232222"/>
      </top>
      <bottom style="thin">
        <color rgb="FFFFFBFA"/>
      </bottom>
    </border>
    <border>
      <left style="thin">
        <color rgb="FFFFFBFA"/>
      </left>
      <right style="thin">
        <color rgb="FFFFFBFA"/>
      </right>
      <top style="thick">
        <color rgb="FF232222"/>
      </top>
      <bottom style="thin">
        <color rgb="FFEFEFEF"/>
      </bottom>
    </border>
    <border>
      <left style="thin">
        <color rgb="FFFFFBFA"/>
      </left>
      <right style="thin">
        <color rgb="FFFFFBFA"/>
      </right>
      <top style="thick">
        <color rgb="FF232222"/>
      </top>
    </border>
    <border>
      <left style="thick">
        <color rgb="FFEFEFEF"/>
      </left>
      <top style="thin">
        <color rgb="FFFFFBFA"/>
      </top>
    </border>
    <border>
      <right style="thin">
        <color rgb="FFFFFBFA"/>
      </right>
      <top style="thin">
        <color rgb="FFFFFBFA"/>
      </top>
    </border>
    <border>
      <left style="thin">
        <color rgb="FFFFFBFA"/>
      </left>
      <right style="thin">
        <color rgb="FFFFFBFA"/>
      </right>
      <top style="thin">
        <color rgb="FFFFFBFA"/>
      </top>
    </border>
    <border>
      <left style="thin">
        <color rgb="FFFFFBFA"/>
      </left>
      <top style="thin">
        <color rgb="FFFFFBFA"/>
      </top>
      <bottom style="thin">
        <color rgb="FFFFFBFA"/>
      </bottom>
    </border>
    <border>
      <right style="thin">
        <color rgb="FFFFFBFA"/>
      </right>
      <top style="thin">
        <color rgb="FFFFFBFA"/>
      </top>
      <bottom style="thin">
        <color rgb="FFFFFBFA"/>
      </bottom>
    </border>
    <border>
      <left style="thin">
        <color rgb="FFFFFBFA"/>
      </left>
      <right style="thin">
        <color rgb="FFFFFBFA"/>
      </right>
      <top style="thin">
        <color rgb="FFEFEFEF"/>
      </top>
    </border>
    <border>
      <left style="thin">
        <color rgb="FFFFFBFA"/>
      </left>
      <right style="thin">
        <color rgb="FFFFFBFA"/>
      </right>
      <top style="thin">
        <color rgb="FFFFFBFA"/>
      </top>
      <bottom style="thin">
        <color rgb="FFFFFBFA"/>
      </bottom>
    </border>
    <border>
      <right style="thin">
        <color rgb="FFFFFBFA"/>
      </right>
    </border>
    <border>
      <left style="thin">
        <color rgb="FFFFFBFA"/>
      </left>
      <right style="thin">
        <color rgb="FFFFFBFA"/>
      </right>
    </border>
    <border>
      <left style="thin">
        <color rgb="FF736B84"/>
      </left>
      <right style="thin">
        <color rgb="FF736B84"/>
      </right>
      <top style="thin">
        <color rgb="FF736B84"/>
      </top>
      <bottom style="thin">
        <color rgb="FFFFFFFF"/>
      </bottom>
    </border>
    <border>
      <left style="thin">
        <color rgb="FFFFFFFF"/>
      </left>
      <right style="thin">
        <color rgb="FFEFEFEF"/>
      </right>
    </border>
    <border>
      <right style="thick">
        <color rgb="FF63737B"/>
      </right>
      <top style="thin">
        <color rgb="FF736B84"/>
      </top>
      <bottom style="thin">
        <color rgb="FF736B84"/>
      </bottom>
    </border>
    <border>
      <left style="thin">
        <color rgb="FF736B84"/>
      </left>
      <right style="thin">
        <color rgb="FF736B84"/>
      </right>
      <top style="thin">
        <color rgb="FFFFFFFF"/>
      </top>
    </border>
    <border>
      <right style="thin">
        <color rgb="FF736B84"/>
      </right>
    </border>
    <border>
      <left style="thick">
        <color rgb="FF63737B"/>
      </left>
      <right style="thick">
        <color rgb="FF63737B"/>
      </right>
      <top style="thin">
        <color rgb="FF736B84"/>
      </top>
      <bottom style="thick">
        <color rgb="FF63737B"/>
      </bottom>
    </border>
    <border>
      <left style="thin">
        <color rgb="FF736B84"/>
      </left>
      <right style="thin">
        <color rgb="FF736B84"/>
      </right>
      <bottom style="thin">
        <color rgb="FFFFFFFF"/>
      </bottom>
    </border>
    <border>
      <left style="thin">
        <color rgb="FFFFFBFA"/>
      </left>
      <right style="thin">
        <color rgb="FFFFFBFA"/>
      </right>
      <bottom style="thin">
        <color rgb="FFFFFBFA"/>
      </bottom>
    </border>
    <border>
      <left style="thin">
        <color rgb="FF736B84"/>
      </left>
      <right style="thin">
        <color rgb="FF736B84"/>
      </right>
      <top style="thin">
        <color rgb="FFFFFFFF"/>
      </top>
      <bottom style="thin">
        <color rgb="FF736B84"/>
      </bottom>
    </border>
    <border>
      <left style="thick">
        <color rgb="FFEFEFEF"/>
      </left>
      <bottom style="thin">
        <color rgb="FFFFFBFA"/>
      </bottom>
    </border>
    <border>
      <right style="thin">
        <color rgb="FFFFFBFA"/>
      </right>
      <bottom style="thin">
        <color rgb="FFFFFBFA"/>
      </bottom>
    </border>
    <border>
      <left style="thick">
        <color rgb="FFEFEFEF"/>
      </left>
      <right style="thin">
        <color rgb="FFFFFBFA"/>
      </right>
      <top style="thin">
        <color rgb="FFFFFBFA"/>
      </top>
      <bottom style="thin">
        <color rgb="FFFFFBFA"/>
      </bottom>
    </border>
    <border>
      <left style="thick">
        <color rgb="FFEFEFEF"/>
      </left>
      <right style="thin">
        <color rgb="FFFFFBFA"/>
      </right>
      <top style="thin">
        <color rgb="FFFFFBFA"/>
      </top>
      <bottom style="thick">
        <color rgb="FF232222"/>
      </bottom>
    </border>
    <border>
      <left style="thin">
        <color rgb="FFFFFBFA"/>
      </left>
      <right style="thin">
        <color rgb="FFFFFBFA"/>
      </right>
      <top style="thin">
        <color rgb="FFFFFBFA"/>
      </top>
      <bottom style="thick">
        <color rgb="FF232222"/>
      </bottom>
    </border>
    <border>
      <left style="thin">
        <color rgb="FFFFFBFA"/>
      </left>
      <right style="thin">
        <color rgb="FFFFFBFA"/>
      </right>
      <bottom style="thick">
        <color rgb="FF232222"/>
      </bottom>
    </border>
    <border>
      <left style="thick">
        <color rgb="FFEFEFEF"/>
      </left>
      <right style="thin">
        <color rgb="FFFFF9F1"/>
      </right>
      <top style="thick">
        <color rgb="FF232222"/>
      </top>
      <bottom style="thin">
        <color rgb="FFFFF9F1"/>
      </bottom>
    </border>
    <border>
      <left style="thin">
        <color rgb="FFFFF9F1"/>
      </left>
      <right style="thin">
        <color rgb="FFFFF9F1"/>
      </right>
      <top style="thick">
        <color rgb="FF232222"/>
      </top>
      <bottom style="thin">
        <color rgb="FFFFF9F1"/>
      </bottom>
    </border>
    <border>
      <left style="thin">
        <color rgb="FFFFF9F1"/>
      </left>
      <right style="thin">
        <color rgb="FFFFF9F1"/>
      </right>
      <top style="thick">
        <color rgb="FF232222"/>
      </top>
      <bottom style="thin">
        <color rgb="FFEFEFEF"/>
      </bottom>
    </border>
    <border>
      <left style="thin">
        <color rgb="FFFFF9F1"/>
      </left>
      <right style="thin">
        <color rgb="FFFFF9F1"/>
      </right>
      <top style="thick">
        <color rgb="FF232222"/>
      </top>
    </border>
    <border>
      <left style="thick">
        <color rgb="FFEFEFEF"/>
      </left>
      <top style="thin">
        <color rgb="FFFFF9F1"/>
      </top>
    </border>
    <border>
      <right style="thin">
        <color rgb="FFFFF9F1"/>
      </right>
      <top style="thin">
        <color rgb="FFFFF9F1"/>
      </top>
    </border>
    <border>
      <left style="thin">
        <color rgb="FFFFF9F1"/>
      </left>
      <right style="thin">
        <color rgb="FFFFF9F1"/>
      </right>
      <top style="thin">
        <color rgb="FFFFF9F1"/>
      </top>
    </border>
    <border>
      <left style="thin">
        <color rgb="FFFFF9F1"/>
      </left>
      <top style="thin">
        <color rgb="FFFFF9F1"/>
      </top>
      <bottom style="thin">
        <color rgb="FFFFF9F1"/>
      </bottom>
    </border>
    <border>
      <right style="thin">
        <color rgb="FFFFF9F1"/>
      </right>
      <top style="thin">
        <color rgb="FFEFEFEF"/>
      </top>
      <bottom style="thin">
        <color rgb="FFFFF9F1"/>
      </bottom>
    </border>
    <border>
      <left style="thin">
        <color rgb="FFFFF9F1"/>
      </left>
      <right style="thin">
        <color rgb="FFFFF9F1"/>
      </right>
      <top style="thin">
        <color rgb="FFEFEFEF"/>
      </top>
    </border>
    <border>
      <left style="thin">
        <color rgb="FFFFF9F1"/>
      </left>
      <right style="thin">
        <color rgb="FFFFF9F1"/>
      </right>
      <top style="thin">
        <color rgb="FFFFF9F1"/>
      </top>
      <bottom style="thin">
        <color rgb="FFFFF9F1"/>
      </bottom>
    </border>
    <border>
      <right style="thin">
        <color rgb="FFFFF9F1"/>
      </right>
    </border>
    <border>
      <left style="thin">
        <color rgb="FFFFF9F1"/>
      </left>
      <right style="thin">
        <color rgb="FFFFF9F1"/>
      </right>
    </border>
    <border>
      <top style="thin">
        <color rgb="FFFFF9F1"/>
      </top>
      <bottom style="thin">
        <color rgb="FFFFF9F1"/>
      </bottom>
    </border>
    <border>
      <left style="thin">
        <color rgb="FFEFEFEF"/>
      </left>
      <right style="thin">
        <color rgb="FFFFF9F1"/>
      </right>
      <top style="thin">
        <color rgb="FFFFF9F1"/>
      </top>
      <bottom style="thin">
        <color rgb="FFFFF9F1"/>
      </bottom>
    </border>
    <border>
      <left style="thin">
        <color rgb="FF736B84"/>
      </left>
      <right style="thin">
        <color rgb="FF736B84"/>
      </right>
    </border>
    <border>
      <right style="thin">
        <color rgb="FFFFF9F1"/>
      </right>
      <top style="thin">
        <color rgb="FFFFF9F1"/>
      </top>
      <bottom style="thin">
        <color rgb="FFFFF9F1"/>
      </bottom>
    </border>
    <border>
      <left style="thin">
        <color rgb="FFFFF9F1"/>
      </left>
      <right style="thin">
        <color rgb="FFFFF9F1"/>
      </right>
      <bottom style="thin">
        <color rgb="FFFFF9F1"/>
      </bottom>
    </border>
    <border>
      <left style="thin">
        <color rgb="FF736B84"/>
      </left>
      <right style="thin">
        <color rgb="FF736B84"/>
      </right>
      <top style="thin">
        <color rgb="FFFFFFFF"/>
      </top>
      <bottom style="thin">
        <color rgb="FFFFFFFF"/>
      </bottom>
    </border>
    <border>
      <left style="thick">
        <color rgb="FFEFEFEF"/>
      </left>
      <bottom style="thin">
        <color rgb="FFFFF9F1"/>
      </bottom>
    </border>
    <border>
      <right style="thin">
        <color rgb="FFFFF9F1"/>
      </right>
      <bottom style="thin">
        <color rgb="FFFFF9F1"/>
      </bottom>
    </border>
    <border>
      <left style="thick">
        <color rgb="FFEFEFEF"/>
      </left>
      <right style="thin">
        <color rgb="FFFFF9F1"/>
      </right>
      <top style="thin">
        <color rgb="FFFFF9F1"/>
      </top>
      <bottom style="thick">
        <color rgb="FF232222"/>
      </bottom>
    </border>
    <border>
      <left style="thin">
        <color rgb="FFFFF9F1"/>
      </left>
      <right style="thin">
        <color rgb="FFFFF9F1"/>
      </right>
      <top style="thin">
        <color rgb="FFFFF9F1"/>
      </top>
      <bottom style="thick">
        <color rgb="FF232222"/>
      </bottom>
    </border>
    <border>
      <left style="thick">
        <color rgb="FFEFEFEF"/>
      </left>
      <right style="thin">
        <color rgb="FFEFEFEF"/>
      </right>
      <top style="thick">
        <color rgb="FF232222"/>
      </top>
      <bottom style="thin">
        <color rgb="FFEFEFEF"/>
      </bottom>
    </border>
    <border>
      <left style="thin">
        <color rgb="FFEFEFEF"/>
      </left>
      <right style="thin">
        <color rgb="FFEFEFEF"/>
      </right>
      <top style="thick">
        <color rgb="FF232222"/>
      </top>
      <bottom style="thin">
        <color rgb="FFEFEFEF"/>
      </bottom>
    </border>
    <border>
      <left style="thick">
        <color rgb="FFEFEFEF"/>
      </left>
      <top style="thin">
        <color rgb="FFEFEFEF"/>
      </top>
    </border>
    <border>
      <right style="thin">
        <color rgb="FFEFEFEF"/>
      </right>
      <top style="thin">
        <color rgb="FFEFEFEF"/>
      </top>
    </border>
    <border>
      <right style="thin">
        <color rgb="FFEFEFEF"/>
      </right>
    </border>
    <border>
      <left style="thin">
        <color rgb="FFEFEFEF"/>
      </left>
      <right style="thin">
        <color rgb="FFEFEFEF"/>
      </right>
    </border>
    <border>
      <left style="thick">
        <color rgb="FFEFEFEF"/>
      </left>
      <bottom style="thin">
        <color rgb="FFEFEFEF"/>
      </bottom>
    </border>
    <border>
      <right style="thin">
        <color rgb="FFEFEFEF"/>
      </right>
      <bottom style="thin">
        <color rgb="FFEFEFEF"/>
      </bottom>
    </border>
    <border>
      <left style="thin">
        <color rgb="FFEFEFEF"/>
      </left>
      <right style="thin">
        <color rgb="FFEFEFEF"/>
      </right>
      <bottom style="thin">
        <color rgb="FFEFEFEF"/>
      </bottom>
    </border>
    <border>
      <left style="thick">
        <color rgb="FFEFEFEF"/>
      </left>
      <right style="thin">
        <color rgb="FFFAF6FF"/>
      </right>
      <top style="thick">
        <color rgb="FF232222"/>
      </top>
      <bottom style="thin">
        <color rgb="FFFAF6FF"/>
      </bottom>
    </border>
    <border>
      <left style="thin">
        <color rgb="FFFAF6FF"/>
      </left>
      <right style="thin">
        <color rgb="FFFAF6FF"/>
      </right>
      <top style="thick">
        <color rgb="FF232222"/>
      </top>
      <bottom style="thin">
        <color rgb="FFFAF6FF"/>
      </bottom>
    </border>
    <border>
      <left style="thin">
        <color rgb="FFFAF6FF"/>
      </left>
      <right style="thin">
        <color rgb="FFFAF6FF"/>
      </right>
      <top style="thick">
        <color rgb="FF232222"/>
      </top>
      <bottom style="thin">
        <color rgb="FFEFEFEF"/>
      </bottom>
    </border>
    <border>
      <left style="thin">
        <color rgb="FFFAF6FF"/>
      </left>
      <right style="thin">
        <color rgb="FFFAF6FF"/>
      </right>
      <top style="thick">
        <color rgb="FF232222"/>
      </top>
    </border>
    <border>
      <left style="thick">
        <color rgb="FFEFEFEF"/>
      </left>
      <top style="thin">
        <color rgb="FFFAF6FF"/>
      </top>
    </border>
    <border>
      <right style="thin">
        <color rgb="FFFAF6FF"/>
      </right>
      <top style="thin">
        <color rgb="FFFAF6FF"/>
      </top>
    </border>
    <border>
      <left style="thin">
        <color rgb="FFFAF6FF"/>
      </left>
      <right style="thin">
        <color rgb="FFFAF6FF"/>
      </right>
      <top style="thin">
        <color rgb="FFFAF6FF"/>
      </top>
    </border>
    <border>
      <left style="thin">
        <color rgb="FFFAF6FF"/>
      </left>
      <top style="thin">
        <color rgb="FFFAF6FF"/>
      </top>
      <bottom style="thin">
        <color rgb="FFFAF6FF"/>
      </bottom>
    </border>
    <border>
      <right style="thin">
        <color rgb="FFFAF6FF"/>
      </right>
      <top style="thin">
        <color rgb="FFFAF6FF"/>
      </top>
      <bottom style="thin">
        <color rgb="FFFAF6FF"/>
      </bottom>
    </border>
    <border>
      <left style="thin">
        <color rgb="FFFAF6FF"/>
      </left>
      <right style="thin">
        <color rgb="FFFAF6FF"/>
      </right>
      <top style="thin">
        <color rgb="FFEFEFEF"/>
      </top>
    </border>
    <border>
      <left style="thin">
        <color rgb="FFFAF6FF"/>
      </left>
      <right style="thin">
        <color rgb="FFFAF6FF"/>
      </right>
      <top style="thin">
        <color rgb="FFFAF6FF"/>
      </top>
      <bottom style="thin">
        <color rgb="FFFAF6FF"/>
      </bottom>
    </border>
    <border>
      <right style="thin">
        <color rgb="FFFAF6FF"/>
      </right>
    </border>
    <border>
      <left style="thin">
        <color rgb="FFFAF6FF"/>
      </left>
      <right style="thin">
        <color rgb="FFFAF6FF"/>
      </right>
    </border>
    <border>
      <top style="thin">
        <color rgb="FFFAF6FF"/>
      </top>
      <bottom style="thin">
        <color rgb="FFFAF6FF"/>
      </bottom>
    </border>
    <border>
      <left style="thin">
        <color rgb="FFEFEFEF"/>
      </left>
      <right style="thin">
        <color rgb="FFFAF6FF"/>
      </right>
      <top style="thin">
        <color rgb="FFFAF6FF"/>
      </top>
      <bottom style="thin">
        <color rgb="FFFAF6FF"/>
      </bottom>
    </border>
    <border>
      <left style="thin">
        <color rgb="FFFAF6FF"/>
      </left>
      <right style="thin">
        <color rgb="FFFAF6FF"/>
      </right>
      <bottom style="thin">
        <color rgb="FFFAF6FF"/>
      </bottom>
    </border>
    <border>
      <left style="thick">
        <color rgb="FFEFEFEF"/>
      </left>
      <bottom style="thin">
        <color rgb="FFFAF6FF"/>
      </bottom>
    </border>
    <border>
      <right style="thin">
        <color rgb="FFFAF6FF"/>
      </right>
      <bottom style="thin">
        <color rgb="FFFAF6FF"/>
      </bottom>
    </border>
    <border>
      <left style="thick">
        <color rgb="FFEFEFEF"/>
      </left>
      <right style="thin">
        <color rgb="FFFAF6FF"/>
      </right>
      <top style="thin">
        <color rgb="FFFAF6FF"/>
      </top>
      <bottom style="thick">
        <color rgb="FF232222"/>
      </bottom>
    </border>
    <border>
      <left style="thin">
        <color rgb="FFFAF6FF"/>
      </left>
      <right style="thin">
        <color rgb="FFFAF6FF"/>
      </right>
      <top style="thin">
        <color rgb="FFFAF6FF"/>
      </top>
      <bottom style="thick">
        <color rgb="FF232222"/>
      </bottom>
    </border>
    <border>
      <left style="thin">
        <color rgb="FFFAF6FF"/>
      </left>
      <right style="thin">
        <color rgb="FFFAF6FF"/>
      </right>
      <bottom style="thick">
        <color rgb="FF232222"/>
      </bottom>
    </border>
    <border>
      <left style="thick">
        <color rgb="FFEFEFEF"/>
      </left>
      <right style="thin">
        <color rgb="FFDADADA"/>
      </right>
      <top style="thick">
        <color rgb="FF232222"/>
      </top>
      <bottom style="thin">
        <color rgb="FFDADADA"/>
      </bottom>
    </border>
    <border>
      <left style="thin">
        <color rgb="FFDADADA"/>
      </left>
      <right style="thin">
        <color rgb="FFDADADA"/>
      </right>
      <top style="thick">
        <color rgb="FF232222"/>
      </top>
      <bottom style="thin">
        <color rgb="FFDADADA"/>
      </bottom>
    </border>
    <border>
      <left style="thin">
        <color rgb="FFDADADA"/>
      </left>
      <right style="thin">
        <color rgb="FFDADADA"/>
      </right>
      <top style="thick">
        <color rgb="FF232222"/>
      </top>
      <bottom style="thin">
        <color rgb="FFEFEFEF"/>
      </bottom>
    </border>
    <border>
      <left style="thick">
        <color rgb="FFEFEFEF"/>
      </left>
      <top style="thin">
        <color rgb="FFDADADA"/>
      </top>
    </border>
    <border>
      <right style="thin">
        <color rgb="FFDADADA"/>
      </right>
      <top style="thin">
        <color rgb="FFDADADA"/>
      </top>
    </border>
    <border>
      <left style="thin">
        <color rgb="FFDADADA"/>
      </left>
      <right style="thin">
        <color rgb="FFDADADA"/>
      </right>
      <top style="thin">
        <color rgb="FFDADADA"/>
      </top>
    </border>
    <border>
      <left style="thin">
        <color rgb="FFDADADA"/>
      </left>
      <top style="thin">
        <color rgb="FFDADADA"/>
      </top>
      <bottom style="thin">
        <color rgb="FFDADADA"/>
      </bottom>
    </border>
    <border>
      <right style="thin">
        <color rgb="FFDADADA"/>
      </right>
      <top style="thin">
        <color rgb="FFDADADA"/>
      </top>
      <bottom style="thin">
        <color rgb="FFDADADA"/>
      </bottom>
    </border>
    <border>
      <left style="thin">
        <color rgb="FFDADADA"/>
      </left>
      <right style="thin">
        <color rgb="FFDADADA"/>
      </right>
      <top style="thin">
        <color rgb="FFDADADA"/>
      </top>
      <bottom style="thin">
        <color rgb="FFDADADA"/>
      </bottom>
    </border>
    <border>
      <right style="thin">
        <color rgb="FFDADADA"/>
      </right>
    </border>
    <border>
      <left style="thin">
        <color rgb="FFDADADA"/>
      </left>
      <right style="thin">
        <color rgb="FFDADADA"/>
      </right>
    </border>
    <border>
      <top style="thin">
        <color rgb="FFDADADA"/>
      </top>
      <bottom style="thin">
        <color rgb="FFDADADA"/>
      </bottom>
    </border>
    <border>
      <left style="thick">
        <color rgb="FF63737B"/>
      </left>
      <right style="thin">
        <color rgb="FFDADADA"/>
      </right>
      <top style="thin">
        <color rgb="FFDADADA"/>
      </top>
      <bottom style="thin">
        <color rgb="FFDADADA"/>
      </bottom>
    </border>
    <border>
      <left style="thin">
        <color rgb="FFDADADA"/>
      </left>
      <right style="thin">
        <color rgb="FFDADADA"/>
      </right>
      <bottom style="thin">
        <color rgb="FFDADADA"/>
      </bottom>
    </border>
    <border>
      <left style="thick">
        <color rgb="FFEFEFEF"/>
      </left>
      <bottom style="thin">
        <color rgb="FFDADADA"/>
      </bottom>
    </border>
    <border>
      <right style="thin">
        <color rgb="FFDADADA"/>
      </right>
      <bottom style="thin">
        <color rgb="FFDADADA"/>
      </bottom>
    </border>
    <border>
      <left style="thick">
        <color rgb="FFEFEFEF"/>
      </left>
      <right style="thin">
        <color rgb="FFDADADA"/>
      </right>
      <top style="thin">
        <color rgb="FFDADADA"/>
      </top>
      <bottom style="thick">
        <color rgb="FF232222"/>
      </bottom>
    </border>
    <border>
      <left style="thin">
        <color rgb="FFDADADA"/>
      </left>
      <right style="thin">
        <color rgb="FFDADADA"/>
      </right>
      <top style="thin">
        <color rgb="FFDADADA"/>
      </top>
      <bottom style="thick">
        <color rgb="FF232222"/>
      </bottom>
    </border>
    <border>
      <left style="thin">
        <color rgb="FFDADADA"/>
      </left>
      <right style="thin">
        <color rgb="FFDADADA"/>
      </right>
      <bottom style="thick">
        <color rgb="FF232222"/>
      </bottom>
    </border>
    <border>
      <left style="thick">
        <color rgb="FFEFEFEF"/>
      </left>
      <right style="thin">
        <color rgb="FFD8DEE3"/>
      </right>
      <top style="thick">
        <color rgb="FF232222"/>
      </top>
      <bottom style="thin">
        <color rgb="FFD8DEE3"/>
      </bottom>
    </border>
    <border>
      <left style="thin">
        <color rgb="FFD8DEE3"/>
      </left>
      <right style="thin">
        <color rgb="FFD8DEE3"/>
      </right>
      <top style="thick">
        <color rgb="FF232222"/>
      </top>
      <bottom style="thin">
        <color rgb="FFD8DEE3"/>
      </bottom>
    </border>
    <border>
      <left style="thin">
        <color rgb="FFD8DEE3"/>
      </left>
      <right style="thin">
        <color rgb="FFD8DEE3"/>
      </right>
      <top style="thick">
        <color rgb="FF232222"/>
      </top>
      <bottom style="thin">
        <color rgb="FFEFEFEF"/>
      </bottom>
    </border>
    <border>
      <left style="thick">
        <color rgb="FFEFEFEF"/>
      </left>
      <top style="thin">
        <color rgb="FFD8DEE3"/>
      </top>
    </border>
    <border>
      <right style="thin">
        <color rgb="FFD8DEE3"/>
      </right>
      <top style="thin">
        <color rgb="FFD8DEE3"/>
      </top>
    </border>
    <border>
      <left style="thin">
        <color rgb="FFD8DEE3"/>
      </left>
      <right style="thin">
        <color rgb="FFD8DEE3"/>
      </right>
      <top style="thin">
        <color rgb="FFD8DEE3"/>
      </top>
    </border>
    <border>
      <left style="thin">
        <color rgb="FFD8DEE3"/>
      </left>
      <top style="thin">
        <color rgb="FFD8DEE3"/>
      </top>
      <bottom style="thin">
        <color rgb="FFD8DEE3"/>
      </bottom>
    </border>
    <border>
      <right style="thin">
        <color rgb="FFD8DEE3"/>
      </right>
      <top style="thin">
        <color rgb="FFD8DEE3"/>
      </top>
      <bottom style="thin">
        <color rgb="FFD8DEE3"/>
      </bottom>
    </border>
    <border>
      <left style="thin">
        <color rgb="FFD8DEE3"/>
      </left>
      <right style="thin">
        <color rgb="FFD8DEE3"/>
      </right>
      <top style="thin">
        <color rgb="FFD8DEE3"/>
      </top>
      <bottom style="thin">
        <color rgb="FFDADADA"/>
      </bottom>
    </border>
    <border>
      <right style="thin">
        <color rgb="FFD8DEE3"/>
      </right>
    </border>
    <border>
      <left style="thin">
        <color rgb="FFD8DEE3"/>
      </left>
      <right style="thin">
        <color rgb="FFD8DEE3"/>
      </right>
    </border>
    <border>
      <top style="thin">
        <color rgb="FFD8DEE3"/>
      </top>
      <bottom style="thin">
        <color rgb="FFD8DEE3"/>
      </bottom>
    </border>
    <border>
      <left style="thin">
        <color rgb="FFD8DEE3"/>
      </left>
      <right style="thin">
        <color rgb="FFD8DEE3"/>
      </right>
      <bottom style="thin">
        <color rgb="FFD8DEE3"/>
      </bottom>
    </border>
    <border>
      <left style="thin">
        <color rgb="FFD8DEE3"/>
      </left>
      <right style="thin">
        <color rgb="FFD8DEE3"/>
      </right>
      <top style="thin">
        <color rgb="FFDADADA"/>
      </top>
      <bottom style="thin">
        <color rgb="FFD8DEE3"/>
      </bottom>
    </border>
    <border>
      <left style="thin">
        <color rgb="FFD8DEE3"/>
      </left>
      <right style="thin">
        <color rgb="FFD8DEE3"/>
      </right>
      <top style="thin">
        <color rgb="FFD8DEE3"/>
      </top>
      <bottom style="thin">
        <color rgb="FFD8DEE3"/>
      </bottom>
    </border>
    <border>
      <left style="thick">
        <color rgb="FFEFEFEF"/>
      </left>
      <bottom style="thin">
        <color rgb="FFD8DEE3"/>
      </bottom>
    </border>
    <border>
      <right style="thin">
        <color rgb="FFD8DEE3"/>
      </right>
      <bottom style="thin">
        <color rgb="FFD8DEE3"/>
      </bottom>
    </border>
    <border>
      <left style="thick">
        <color rgb="FFEFEFEF"/>
      </left>
      <right style="thin">
        <color rgb="FFD8DEE3"/>
      </right>
      <top style="thin">
        <color rgb="FFD8DEE3"/>
      </top>
      <bottom style="thick">
        <color rgb="FF232222"/>
      </bottom>
    </border>
    <border>
      <left style="thin">
        <color rgb="FFD8DEE3"/>
      </left>
      <right style="thin">
        <color rgb="FFD8DEE3"/>
      </right>
      <top style="thin">
        <color rgb="FFD8DEE3"/>
      </top>
      <bottom style="thick">
        <color rgb="FF232222"/>
      </bottom>
    </border>
    <border>
      <left style="thin">
        <color rgb="FFD8DEE3"/>
      </left>
      <right style="thin">
        <color rgb="FFD8DEE3"/>
      </right>
      <bottom style="thick">
        <color rgb="FF232222"/>
      </bottom>
    </border>
    <border>
      <right style="thin">
        <color rgb="FFF7FFF3"/>
      </right>
      <top style="thin">
        <color rgb="FFFAF6FF"/>
      </top>
      <bottom style="thin">
        <color rgb="FFFAF6FF"/>
      </bottom>
    </border>
    <border>
      <left style="thin">
        <color rgb="FFF7FFF3"/>
      </left>
      <right style="thin">
        <color rgb="FFFAF6FF"/>
      </right>
      <top style="thin">
        <color rgb="FFFAF6FF"/>
      </top>
      <bottom style="thin">
        <color rgb="FFFAF6FF"/>
      </bottom>
    </border>
    <border>
      <left style="thin">
        <color rgb="FFFAF6FF"/>
      </left>
      <right style="thin">
        <color rgb="FFFAF6FF"/>
      </right>
      <top style="thin">
        <color rgb="FFF7FFF3"/>
      </top>
      <bottom style="thick">
        <color rgb="FF232222"/>
      </bottom>
    </border>
    <border>
      <left style="thick">
        <color rgb="FFEFEFEF"/>
      </left>
      <right style="thin">
        <color rgb="FFF3F4FF"/>
      </right>
      <top style="thick">
        <color rgb="FF232222"/>
      </top>
      <bottom style="thin">
        <color rgb="FFF3F4FF"/>
      </bottom>
    </border>
    <border>
      <left style="thin">
        <color rgb="FFF3F4FF"/>
      </left>
      <right style="thin">
        <color rgb="FFF3F4FF"/>
      </right>
      <top style="thick">
        <color rgb="FF232222"/>
      </top>
      <bottom style="thin">
        <color rgb="FFF3F4FF"/>
      </bottom>
    </border>
    <border>
      <left style="thin">
        <color rgb="FFF3F4FF"/>
      </left>
      <right style="thin">
        <color rgb="FFF3F4FF"/>
      </right>
      <top style="thick">
        <color rgb="FF232222"/>
      </top>
      <bottom style="thin">
        <color rgb="FFEFEFEF"/>
      </bottom>
    </border>
    <border>
      <left style="thin">
        <color rgb="FFF3F4FF"/>
      </left>
      <right style="thin">
        <color rgb="FFF3F4FF"/>
      </right>
      <top style="thick">
        <color rgb="FF232222"/>
      </top>
      <bottom style="thin">
        <color rgb="FFFAF6FF"/>
      </bottom>
    </border>
    <border>
      <left style="thick">
        <color rgb="FFEFEFEF"/>
      </left>
      <top style="thin">
        <color rgb="FFF3F4FF"/>
      </top>
    </border>
    <border>
      <right style="thin">
        <color rgb="FFF3F4FF"/>
      </right>
      <top style="thin">
        <color rgb="FFF3F4FF"/>
      </top>
    </border>
    <border>
      <left style="thin">
        <color rgb="FFF3F4FF"/>
      </left>
      <right style="thin">
        <color rgb="FFF3F4FF"/>
      </right>
      <top style="thin">
        <color rgb="FFF3F4FF"/>
      </top>
    </border>
    <border>
      <left style="thin">
        <color rgb="FFF3F4FF"/>
      </left>
      <top style="thin">
        <color rgb="FFF3F4FF"/>
      </top>
      <bottom style="thin">
        <color rgb="FFF3F4FF"/>
      </bottom>
    </border>
    <border>
      <right style="thin">
        <color rgb="FFF3F4FF"/>
      </right>
      <top style="thin">
        <color rgb="FFF3F4FF"/>
      </top>
      <bottom style="thin">
        <color rgb="FFF3F4FF"/>
      </bottom>
    </border>
    <border>
      <left style="thin">
        <color rgb="FFF3F4FF"/>
      </left>
      <right style="thin">
        <color rgb="FFF3F4FF"/>
      </right>
      <top style="thin">
        <color rgb="FFFAF6FF"/>
      </top>
    </border>
    <border>
      <left style="thin">
        <color rgb="FFF3F4FF"/>
      </left>
      <right style="thin">
        <color rgb="FFF3F4FF"/>
      </right>
      <top style="thin">
        <color rgb="FFF3F4FF"/>
      </top>
      <bottom style="thin">
        <color rgb="FFF3F4FF"/>
      </bottom>
    </border>
    <border>
      <right style="thin">
        <color rgb="FFF3F4FF"/>
      </right>
    </border>
    <border>
      <left style="thin">
        <color rgb="FFF3F4FF"/>
      </left>
      <right style="thin">
        <color rgb="FFF3F4FF"/>
      </right>
    </border>
    <border>
      <top style="thin">
        <color rgb="FFF3F4FF"/>
      </top>
      <bottom style="thin">
        <color rgb="FFF3F4FF"/>
      </bottom>
    </border>
    <border>
      <left style="thick">
        <color rgb="FFEFEFEF"/>
      </left>
      <bottom style="thin">
        <color rgb="FFF3F4FF"/>
      </bottom>
    </border>
    <border>
      <right style="thin">
        <color rgb="FFF3F4FF"/>
      </right>
      <bottom style="thin">
        <color rgb="FFF3F4FF"/>
      </bottom>
    </border>
    <border>
      <left style="thin">
        <color rgb="FFF3F4FF"/>
      </left>
      <right style="thin">
        <color rgb="FFF3F4FF"/>
      </right>
      <bottom style="thin">
        <color rgb="FFF3F4FF"/>
      </bottom>
    </border>
    <border>
      <left style="thick">
        <color rgb="FFEFEFEF"/>
      </left>
      <right style="thin">
        <color rgb="FFF3F4FF"/>
      </right>
      <top style="thin">
        <color rgb="FFF3F4FF"/>
      </top>
      <bottom style="thick">
        <color rgb="FF232222"/>
      </bottom>
    </border>
    <border>
      <left style="thin">
        <color rgb="FFF3F4FF"/>
      </left>
      <right style="thin">
        <color rgb="FFF3F4FF"/>
      </right>
      <top style="thin">
        <color rgb="FFF3F4FF"/>
      </top>
      <bottom style="thick">
        <color rgb="FF232222"/>
      </bottom>
    </border>
    <border>
      <left style="thin">
        <color rgb="FFF3F4FF"/>
      </left>
      <right style="thin">
        <color rgb="FFF3F4FF"/>
      </right>
      <bottom style="thick">
        <color rgb="FF232222"/>
      </bottom>
    </border>
    <border>
      <left style="thick">
        <color rgb="FFEFEFEF"/>
      </left>
      <top style="thick">
        <color rgb="FFEFEFEF"/>
      </top>
      <bottom style="thin">
        <color rgb="FFEFEFEF"/>
      </bottom>
    </border>
    <border>
      <left style="thick">
        <color rgb="FFEFEFEF"/>
      </left>
      <right style="thin">
        <color rgb="FFFFF3F7"/>
      </right>
      <top style="thick">
        <color rgb="FF232222"/>
      </top>
      <bottom style="thin">
        <color rgb="FFFFF3F7"/>
      </bottom>
    </border>
    <border>
      <left style="thin">
        <color rgb="FFFFF3F7"/>
      </left>
      <right style="thin">
        <color rgb="FFFFF3F7"/>
      </right>
      <top style="thick">
        <color rgb="FF232222"/>
      </top>
      <bottom style="thin">
        <color rgb="FFFFF3F7"/>
      </bottom>
    </border>
    <border>
      <left style="thin">
        <color rgb="FFFFF3F7"/>
      </left>
      <right style="thin">
        <color rgb="FFFFF3F7"/>
      </right>
      <top style="thick">
        <color rgb="FF232222"/>
      </top>
      <bottom style="thin">
        <color rgb="FFEFEFEF"/>
      </bottom>
    </border>
    <border>
      <left style="thick">
        <color rgb="FFEFEFEF"/>
      </left>
      <top style="thin">
        <color rgb="FFFFF3F7"/>
      </top>
    </border>
    <border>
      <right style="thin">
        <color rgb="FFFFF3F7"/>
      </right>
      <top style="thin">
        <color rgb="FFFFF3F7"/>
      </top>
    </border>
    <border>
      <left style="thin">
        <color rgb="FFFFF3F7"/>
      </left>
      <right style="thin">
        <color rgb="FFFFF3F7"/>
      </right>
      <top style="thin">
        <color rgb="FFFFF3F7"/>
      </top>
    </border>
    <border>
      <left style="thin">
        <color rgb="FFFFF3F7"/>
      </left>
      <top style="thin">
        <color rgb="FFFFF3F7"/>
      </top>
      <bottom style="thin">
        <color rgb="FFFFF3F7"/>
      </bottom>
    </border>
    <border>
      <right style="thin">
        <color rgb="FFFFF3F7"/>
      </right>
      <top style="thin">
        <color rgb="FFFFF3F7"/>
      </top>
      <bottom style="thin">
        <color rgb="FFFFF3F7"/>
      </bottom>
    </border>
    <border>
      <left style="thin">
        <color rgb="FFFFF3F7"/>
      </left>
      <right style="thin">
        <color rgb="FFFFF3F7"/>
      </right>
      <top style="thin">
        <color rgb="FFFFF3F7"/>
      </top>
      <bottom style="thin">
        <color rgb="FFFFF3F7"/>
      </bottom>
    </border>
    <border>
      <right style="thin">
        <color rgb="FFFFF3F7"/>
      </right>
    </border>
    <border>
      <left style="thin">
        <color rgb="FFFFF3F7"/>
      </left>
      <right style="thin">
        <color rgb="FFFFF3F7"/>
      </right>
    </border>
    <border>
      <top style="thin">
        <color rgb="FFFFF3F7"/>
      </top>
      <bottom style="thin">
        <color rgb="FFFFF3F7"/>
      </bottom>
    </border>
    <border>
      <left style="thick">
        <color rgb="FFEFEFEF"/>
      </left>
      <bottom style="thin">
        <color rgb="FFFFF3F7"/>
      </bottom>
    </border>
    <border>
      <right style="thin">
        <color rgb="FFFFF3F7"/>
      </right>
      <bottom style="thin">
        <color rgb="FFFFF3F7"/>
      </bottom>
    </border>
    <border>
      <left style="thin">
        <color rgb="FFFFF3F7"/>
      </left>
      <right style="thin">
        <color rgb="FFFFF3F7"/>
      </right>
      <bottom style="thin">
        <color rgb="FFFFF3F7"/>
      </bottom>
    </border>
    <border>
      <left style="thick">
        <color rgb="FFEFEFEF"/>
      </left>
      <right style="thin">
        <color rgb="FFFFF3F7"/>
      </right>
      <top style="thin">
        <color rgb="FFFFF3F7"/>
      </top>
      <bottom style="thick">
        <color rgb="FF232222"/>
      </bottom>
    </border>
    <border>
      <left style="thin">
        <color rgb="FFFFF3F7"/>
      </left>
      <right style="thin">
        <color rgb="FFFFF3F7"/>
      </right>
      <top style="thin">
        <color rgb="FFFFF3F7"/>
      </top>
      <bottom style="thick">
        <color rgb="FF232222"/>
      </bottom>
    </border>
    <border>
      <left style="thin">
        <color rgb="FFFFF3F7"/>
      </left>
      <right style="thin">
        <color rgb="FFFFF3F7"/>
      </right>
      <bottom style="thick">
        <color rgb="FF232222"/>
      </bottom>
    </border>
    <border>
      <top style="thin">
        <color rgb="FFFFFBFA"/>
      </top>
      <bottom style="thin">
        <color rgb="FFFFFBFA"/>
      </bottom>
    </border>
    <border>
      <left style="thin">
        <color rgb="FFFFF9F1"/>
      </left>
      <right style="thin">
        <color rgb="FFFFF9F1"/>
      </right>
      <bottom style="thick">
        <color rgb="FF232222"/>
      </bottom>
    </border>
    <border>
      <left style="thin">
        <color rgb="FFEFEFEF"/>
      </left>
      <right style="thin">
        <color rgb="FFFFF9F1"/>
      </right>
      <top style="thin">
        <color rgb="FFFFF9F1"/>
      </top>
      <bottom style="thin">
        <color rgb="FFEFEFEF"/>
      </bottom>
    </border>
    <border>
      <left style="thin">
        <color rgb="FF404040"/>
      </left>
      <right style="thin">
        <color rgb="FF404040"/>
      </right>
      <top style="thick">
        <color rgb="FFEFEFEF"/>
      </top>
      <bottom style="thick">
        <color rgb="FFEFEFEF"/>
      </bottom>
    </border>
    <border>
      <right style="thin">
        <color rgb="FFD9D9D9"/>
      </right>
      <top style="thick">
        <color rgb="FFEFEFEF"/>
      </top>
      <bottom style="thick">
        <color rgb="FFEFEFEF"/>
      </bottom>
    </border>
    <border>
      <left style="thin">
        <color rgb="FFD9D9D9"/>
      </left>
      <right style="thin">
        <color rgb="FFD9D9D9"/>
      </right>
      <top style="thick">
        <color rgb="FFEFEFEF"/>
      </top>
      <bottom style="thick">
        <color rgb="FFEFEFEF"/>
      </bottom>
    </border>
    <border>
      <right style="thick">
        <color rgb="FFEFEFEF"/>
      </right>
      <top style="thick">
        <color rgb="FFEFEFEF"/>
      </top>
    </border>
    <border>
      <right style="thin">
        <color rgb="FFB7B7B7"/>
      </right>
      <top style="thick">
        <color rgb="FFEFEFEF"/>
      </top>
      <bottom style="thick">
        <color rgb="FFEFEFEF"/>
      </bottom>
    </border>
    <border>
      <left style="thin">
        <color rgb="FFB7B7B7"/>
      </left>
      <right style="thin">
        <color rgb="FFB7B7B7"/>
      </right>
      <top style="thick">
        <color rgb="FFEFEFEF"/>
      </top>
      <bottom style="thick">
        <color rgb="FFEFEFEF"/>
      </bottom>
    </border>
    <border>
      <left style="thick">
        <color rgb="FFEFEFEF"/>
      </left>
      <right style="thin">
        <color rgb="FFEFEFEF"/>
      </right>
      <bottom style="thin">
        <color rgb="FFEFEFEF"/>
      </bottom>
    </border>
    <border>
      <left style="thick">
        <color rgb="FFEFEFEF"/>
      </left>
      <right style="thin">
        <color rgb="FFEFEFEF"/>
      </right>
    </border>
    <border>
      <left style="thick">
        <color rgb="FF232222"/>
      </left>
      <top style="thick">
        <color rgb="FF232222"/>
      </top>
      <bottom style="thick">
        <color rgb="FF232222"/>
      </bottom>
    </border>
    <border>
      <top style="thick">
        <color rgb="FF232222"/>
      </top>
      <bottom style="thick">
        <color rgb="FF232222"/>
      </bottom>
    </border>
    <border>
      <left style="thick">
        <color rgb="FFEFEFEF"/>
      </left>
      <right style="thin">
        <color rgb="FFEFEFEF"/>
      </right>
      <top style="thick">
        <color rgb="FFEFEFEF"/>
      </top>
      <bottom style="thin">
        <color rgb="FFEFEFEF"/>
      </bottom>
    </border>
    <border>
      <left style="thin">
        <color rgb="FF404040"/>
      </left>
      <top style="thick">
        <color rgb="FFEFEFEF"/>
      </top>
      <bottom style="thin">
        <color rgb="FFEFEFEF"/>
      </bottom>
    </border>
    <border>
      <left style="thin">
        <color rgb="FF404040"/>
      </left>
      <right style="thin">
        <color rgb="FFEFEFEF"/>
      </right>
      <top style="thick">
        <color rgb="FFEFEFEF"/>
      </top>
      <bottom style="thin">
        <color rgb="FFEFEFEF"/>
      </bottom>
    </border>
    <border>
      <left style="thin">
        <color rgb="FFB7B7B7"/>
      </left>
      <right style="thin">
        <color rgb="FFEFEFEF"/>
      </right>
      <top style="thick">
        <color rgb="FFEFEFEF"/>
      </top>
      <bottom style="thin">
        <color rgb="FFEFEFEF"/>
      </bottom>
    </border>
    <border>
      <left style="medium">
        <color rgb="FF232222"/>
      </left>
      <top style="thick">
        <color rgb="FFEFEFEF"/>
      </top>
      <bottom style="thick">
        <color rgb="FFEFEFEF"/>
      </bottom>
    </border>
    <border>
      <left style="thick">
        <color rgb="FFEFEFEF"/>
      </left>
      <top style="thick">
        <color rgb="FFEFEFEF"/>
      </top>
    </border>
    <border>
      <left style="thin">
        <color rgb="FF404040"/>
      </left>
      <right style="thin">
        <color rgb="FF404040"/>
      </right>
      <top style="thick">
        <color rgb="FFEFEFEF"/>
      </top>
    </border>
    <border>
      <right style="thin">
        <color rgb="FFD9D9D9"/>
      </right>
      <top style="thick">
        <color rgb="FFEFEFEF"/>
      </top>
    </border>
    <border>
      <left style="thin">
        <color rgb="FFD9D9D9"/>
      </left>
      <right style="thin">
        <color rgb="FFD9D9D9"/>
      </right>
      <top style="thick">
        <color rgb="FFEFEFEF"/>
      </top>
    </border>
    <border>
      <left style="thick">
        <color rgb="FFEFEFEF"/>
      </left>
      <bottom style="thick">
        <color rgb="FFEFEFEF"/>
      </bottom>
    </border>
    <border>
      <left style="thin">
        <color rgb="FF404040"/>
      </left>
      <right style="thin">
        <color rgb="FF404040"/>
      </right>
      <bottom style="thick">
        <color rgb="FFEFEFEF"/>
      </bottom>
    </border>
    <border>
      <right style="thin">
        <color rgb="FFD9D9D9"/>
      </right>
      <bottom style="thick">
        <color rgb="FFEFEFEF"/>
      </bottom>
    </border>
    <border>
      <left style="thin">
        <color rgb="FFD9D9D9"/>
      </left>
      <right style="thin">
        <color rgb="FFD9D9D9"/>
      </right>
      <bottom style="thick">
        <color rgb="FFEFEFEF"/>
      </bottom>
    </border>
    <border>
      <left style="thin">
        <color rgb="FFD9D9D9"/>
      </left>
      <bottom style="thick">
        <color rgb="FFEFEFEF"/>
      </bottom>
    </border>
    <border>
      <bottom style="thick">
        <color rgb="FFEFEFEF"/>
      </bottom>
    </border>
    <border>
      <right style="thin">
        <color rgb="FFB7B7B7"/>
      </right>
      <top style="thick">
        <color rgb="FFEFEFEF"/>
      </top>
    </border>
    <border>
      <left style="thin">
        <color rgb="FFB7B7B7"/>
      </left>
      <right style="thin">
        <color rgb="FFB7B7B7"/>
      </right>
      <top style="thick">
        <color rgb="FFEFEFEF"/>
      </top>
    </border>
    <border>
      <right style="thin">
        <color rgb="FFB7B7B7"/>
      </right>
      <bottom style="thick">
        <color rgb="FFEFEFEF"/>
      </bottom>
    </border>
    <border>
      <left style="thin">
        <color rgb="FFB7B7B7"/>
      </left>
      <right style="thin">
        <color rgb="FFB7B7B7"/>
      </right>
      <bottom style="thick">
        <color rgb="FFEFEFEF"/>
      </bottom>
    </border>
    <border>
      <left style="thin">
        <color rgb="FFB7B7B7"/>
      </left>
      <bottom style="thick">
        <color rgb="FFEFEFEF"/>
      </bottom>
    </border>
    <border>
      <left style="thin">
        <color rgb="FFEFEFEF"/>
      </left>
      <right style="thin">
        <color rgb="FF232222"/>
      </right>
      <top style="thin">
        <color rgb="FFEFEFEF"/>
      </top>
      <bottom style="thin">
        <color rgb="FF232222"/>
      </bottom>
    </border>
    <border>
      <left style="thin">
        <color rgb="FF232222"/>
      </left>
      <right style="thin">
        <color rgb="FF232222"/>
      </right>
      <top style="thin">
        <color rgb="FFEFEFEF"/>
      </top>
    </border>
    <border>
      <left style="thin">
        <color rgb="FF232222"/>
      </left>
      <right style="thin">
        <color rgb="FF232222"/>
      </right>
      <top style="thin">
        <color rgb="FFEFEFEF"/>
      </top>
      <bottom style="thin">
        <color rgb="FF232222"/>
      </bottom>
    </border>
    <border>
      <left style="thin">
        <color rgb="FF232222"/>
      </left>
      <right style="thin">
        <color rgb="FF232222"/>
      </right>
      <top style="thin">
        <color rgb="FFEFEFEF"/>
      </top>
      <bottom style="thin">
        <color rgb="FFEFEFEF"/>
      </bottom>
    </border>
    <border>
      <left style="thin">
        <color rgb="FF232222"/>
      </left>
      <right style="thin">
        <color rgb="FFEFEFEF"/>
      </right>
      <top style="thin">
        <color rgb="FFEFEFEF"/>
      </top>
      <bottom style="thin">
        <color rgb="FFEFEFEF"/>
      </bottom>
    </border>
    <border>
      <left style="thin">
        <color rgb="FFEFEFEF"/>
      </left>
      <top style="thin">
        <color rgb="FF232222"/>
      </top>
      <bottom style="thin">
        <color rgb="FF232222"/>
      </bottom>
    </border>
    <border>
      <left style="thin">
        <color rgb="FF232222"/>
      </left>
      <top style="thin">
        <color rgb="FF232222"/>
      </top>
    </border>
    <border>
      <top style="thin">
        <color rgb="FF232222"/>
      </top>
    </border>
    <border>
      <right style="thin">
        <color rgb="FFA8D8E0"/>
      </right>
      <top style="thin">
        <color rgb="FF232222"/>
      </top>
    </border>
    <border>
      <left style="thin">
        <color rgb="FFA8D8E0"/>
      </left>
      <right style="thin">
        <color rgb="FFA8D8E0"/>
      </right>
      <top style="thin">
        <color rgb="FF232222"/>
      </top>
      <bottom style="thin">
        <color rgb="FF232222"/>
      </bottom>
    </border>
    <border>
      <left style="thin">
        <color rgb="FFA8D8E0"/>
      </left>
      <top style="thin">
        <color rgb="FF232222"/>
      </top>
      <bottom style="thin">
        <color rgb="FF232222"/>
      </bottom>
    </border>
    <border>
      <top style="thin">
        <color rgb="FF232222"/>
      </top>
      <bottom style="thin">
        <color rgb="FF232222"/>
      </bottom>
    </border>
    <border>
      <right style="thin">
        <color rgb="FF90C8E8"/>
      </right>
      <top style="thin">
        <color rgb="FF232222"/>
      </top>
    </border>
    <border>
      <left style="thin">
        <color rgb="FF90C8E8"/>
      </left>
      <right style="thin">
        <color rgb="FF90C8E8"/>
      </right>
      <top style="thin">
        <color rgb="FF232222"/>
      </top>
      <bottom style="thin">
        <color rgb="FF232222"/>
      </bottom>
    </border>
    <border>
      <left style="thin">
        <color rgb="FF90C8E8"/>
      </left>
      <top style="thin">
        <color rgb="FF232222"/>
      </top>
      <bottom style="thin">
        <color rgb="FF232222"/>
      </bottom>
    </border>
    <border>
      <left style="thin">
        <color rgb="FF232222"/>
      </left>
    </border>
    <border>
      <right style="thin">
        <color rgb="FFA8D8E0"/>
      </right>
    </border>
    <border>
      <right style="thin">
        <color rgb="FF90C8E8"/>
      </right>
    </border>
    <border>
      <bottom style="thin">
        <color rgb="FF232222"/>
      </bottom>
    </border>
    <border>
      <right style="thin">
        <color rgb="FFA8D8E0"/>
      </right>
      <bottom style="thin">
        <color rgb="FF232222"/>
      </bottom>
    </border>
    <border>
      <right style="thin">
        <color rgb="FF90C8E8"/>
      </right>
      <bottom style="thin">
        <color rgb="FF232222"/>
      </bottom>
    </border>
    <border>
      <left style="thin">
        <color rgb="FFEFEFEF"/>
      </left>
      <right style="thin">
        <color rgb="FF232222"/>
      </right>
      <top style="thin">
        <color rgb="FF232222"/>
      </top>
      <bottom style="thin">
        <color rgb="FF232222"/>
      </bottom>
    </border>
    <border>
      <left style="thin">
        <color rgb="FF232222"/>
      </left>
      <right style="thin">
        <color rgb="FF232222"/>
      </right>
    </border>
    <border>
      <left style="thin">
        <color rgb="FF232222"/>
      </left>
      <right style="thin">
        <color rgb="FF232222"/>
      </right>
      <top style="thin">
        <color rgb="FF232222"/>
      </top>
      <bottom style="thin">
        <color rgb="FF232222"/>
      </bottom>
    </border>
    <border>
      <left style="thin">
        <color rgb="FF5888C8"/>
      </left>
      <right style="thin">
        <color rgb="FF5888C8"/>
      </right>
      <top style="thin">
        <color rgb="FF232222"/>
      </top>
      <bottom style="thin">
        <color rgb="FF232222"/>
      </bottom>
    </border>
    <border>
      <left style="thin">
        <color rgb="FF5888C8"/>
      </left>
      <top style="thin">
        <color rgb="FF232222"/>
      </top>
      <bottom style="thin">
        <color rgb="FF232222"/>
      </bottom>
    </border>
    <border>
      <left style="thin">
        <color rgb="FF83CD6A"/>
      </left>
      <right style="thin">
        <color rgb="FF83CD6A"/>
      </right>
      <top style="thin">
        <color rgb="FF232222"/>
      </top>
      <bottom style="thin">
        <color rgb="FF232222"/>
      </bottom>
    </border>
    <border>
      <left style="thin">
        <color rgb="FF83CD6A"/>
      </left>
      <top style="thin">
        <color rgb="FF232222"/>
      </top>
      <bottom style="thin">
        <color rgb="FF232222"/>
      </bottom>
    </border>
    <border>
      <left style="thin">
        <color rgb="FFE86060"/>
      </left>
      <right style="thin">
        <color rgb="FFE86060"/>
      </right>
      <top style="thin">
        <color rgb="FF232222"/>
      </top>
    </border>
    <border>
      <left style="thin">
        <color rgb="FFE86060"/>
      </left>
      <top style="thin">
        <color rgb="FF232222"/>
      </top>
    </border>
    <border>
      <right style="thin">
        <color rgb="FF232222"/>
      </right>
      <top style="thin">
        <color rgb="FF232222"/>
      </top>
    </border>
    <border>
      <left style="thin">
        <color rgb="FF80A0D8"/>
      </left>
      <right style="thin">
        <color rgb="FF80A0D8"/>
      </right>
      <top style="thin">
        <color rgb="FF232222"/>
      </top>
      <bottom style="thin">
        <color rgb="FF232222"/>
      </bottom>
    </border>
    <border>
      <left style="thin">
        <color rgb="FF80A0D8"/>
      </left>
      <top style="thin">
        <color rgb="FF232222"/>
      </top>
      <bottom style="thin">
        <color rgb="FF232222"/>
      </bottom>
    </border>
    <border>
      <left style="thin">
        <color rgb="FF4898E8"/>
      </left>
      <right style="thin">
        <color rgb="FF4898E8"/>
      </right>
      <top style="thin">
        <color rgb="FF232222"/>
      </top>
    </border>
    <border>
      <left style="thin">
        <color rgb="FF4898E8"/>
      </left>
      <top style="thin">
        <color rgb="FF232222"/>
      </top>
    </border>
    <border>
      <right style="thin">
        <color rgb="FFE8D870"/>
      </right>
      <top style="thin">
        <color rgb="FF232222"/>
      </top>
    </border>
    <border>
      <left style="thin">
        <color rgb="FFE8D870"/>
      </left>
      <right style="thin">
        <color rgb="FFE8D870"/>
      </right>
      <top style="thin">
        <color rgb="FF232222"/>
      </top>
    </border>
    <border>
      <left style="thin">
        <color rgb="FFE8D870"/>
      </left>
      <top style="thin">
        <color rgb="FF232222"/>
      </top>
    </border>
    <border>
      <right style="thin">
        <color rgb="FFE8D870"/>
      </right>
    </border>
    <border>
      <left style="thin">
        <color rgb="FF000000"/>
      </left>
      <top style="thin">
        <color rgb="FF000000"/>
      </top>
    </border>
    <border>
      <top style="thin">
        <color rgb="FF000000"/>
      </top>
    </border>
    <border>
      <right style="thin">
        <color rgb="FFE8D870"/>
      </right>
      <bottom style="thin">
        <color rgb="FF232222"/>
      </bottom>
    </border>
    <border>
      <left style="thin">
        <color rgb="FF000000"/>
      </left>
    </border>
    <border>
      <left style="thin">
        <color rgb="FF7E6EBC"/>
      </left>
      <right style="thin">
        <color rgb="FF7E6EBC"/>
      </right>
      <top style="thin">
        <color rgb="FF232222"/>
      </top>
    </border>
    <border>
      <left style="thin">
        <color rgb="FF7E6EBC"/>
      </left>
      <top style="thin">
        <color rgb="FF232222"/>
      </top>
    </border>
    <border>
      <left style="thin">
        <color rgb="FFB89070"/>
      </left>
      <right style="thin">
        <color rgb="FFB89070"/>
      </right>
      <top style="thin">
        <color rgb="FF232222"/>
      </top>
    </border>
    <border>
      <left style="thin">
        <color rgb="FFB89070"/>
      </left>
      <top style="thin">
        <color rgb="FF232222"/>
      </top>
    </border>
    <border>
      <right style="thin">
        <color rgb="FFF0E0A8"/>
      </right>
      <top style="thin">
        <color rgb="FF232222"/>
      </top>
    </border>
    <border>
      <left style="thin">
        <color rgb="FFF0E0A8"/>
      </left>
      <right style="thin">
        <color rgb="FFF0E0A8"/>
      </right>
      <top style="thin">
        <color rgb="FF232222"/>
      </top>
    </border>
    <border>
      <left style="thin">
        <color rgb="FFF0E0A8"/>
      </left>
      <top style="thin">
        <color rgb="FF232222"/>
      </top>
    </border>
    <border>
      <left style="thin">
        <color rgb="FF58A17D"/>
      </left>
      <right style="thin">
        <color rgb="FF58A17D"/>
      </right>
      <top style="thin">
        <color rgb="FF232222"/>
      </top>
    </border>
    <border>
      <left style="thin">
        <color rgb="FF58A17D"/>
      </left>
      <top style="thin">
        <color rgb="FF232222"/>
      </top>
    </border>
    <border>
      <right style="thin">
        <color rgb="FFF0E0A8"/>
      </right>
    </border>
    <border>
      <right style="thin">
        <color rgb="FF000000"/>
      </right>
      <top style="thin">
        <color rgb="FF000000"/>
      </top>
    </border>
    <border>
      <right style="thin">
        <color rgb="FFF0E0A8"/>
      </right>
      <bottom style="thin">
        <color rgb="FF232222"/>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B0F090"/>
      </right>
      <top style="thin">
        <color rgb="FF232222"/>
      </top>
    </border>
    <border>
      <left style="thin">
        <color rgb="FFB0F090"/>
      </left>
      <right style="thin">
        <color rgb="FFB0F090"/>
      </right>
      <top style="thin">
        <color rgb="FF232222"/>
      </top>
    </border>
    <border>
      <left style="thin">
        <color rgb="FFB0F090"/>
      </left>
      <top style="thin">
        <color rgb="FF232222"/>
      </top>
    </border>
    <border>
      <right style="thin">
        <color rgb="FFFFFFFF"/>
      </right>
      <top style="thin">
        <color rgb="FF232222"/>
      </top>
    </border>
    <border>
      <left style="thin">
        <color rgb="FFFFFFFF"/>
      </left>
      <right style="thin">
        <color rgb="FFFFFFFF"/>
      </right>
      <top style="thin">
        <color rgb="FF232222"/>
      </top>
    </border>
    <border>
      <left style="thin">
        <color rgb="FFFFFFFF"/>
      </left>
      <top style="thin">
        <color rgb="FF232222"/>
      </top>
    </border>
    <border>
      <right style="thin">
        <color rgb="FFB0F090"/>
      </right>
    </border>
    <border>
      <right style="thin">
        <color rgb="FFB0F090"/>
      </right>
      <bottom style="thin">
        <color rgb="FF232222"/>
      </bottom>
    </border>
    <border>
      <right style="thin">
        <color rgb="FFFFFFFF"/>
      </right>
      <bottom style="thin">
        <color rgb="FF232222"/>
      </bottom>
    </border>
    <border>
      <left style="thin">
        <color rgb="FFFF8B52"/>
      </left>
      <right style="thin">
        <color rgb="FFFF8B52"/>
      </right>
      <top style="thin">
        <color rgb="FF232222"/>
      </top>
    </border>
    <border>
      <left style="thin">
        <color rgb="FFFF8B52"/>
      </left>
      <top style="thin">
        <color rgb="FF232222"/>
      </top>
    </border>
    <border>
      <left style="thin">
        <color rgb="FF58C0F8"/>
      </left>
      <right style="thin">
        <color rgb="FF58C0F8"/>
      </right>
      <top style="thin">
        <color rgb="FF232222"/>
      </top>
    </border>
    <border>
      <left style="thin">
        <color rgb="FF58C0F8"/>
      </left>
      <top style="thin">
        <color rgb="FF232222"/>
      </top>
    </border>
    <border>
      <left style="thin">
        <color rgb="FF65D0BC"/>
      </left>
      <right style="thin">
        <color rgb="FF65D0BC"/>
      </right>
      <top style="thin">
        <color rgb="FF232222"/>
      </top>
    </border>
    <border>
      <left style="thin">
        <color rgb="FF65D0BC"/>
      </left>
      <top style="thin">
        <color rgb="FF232222"/>
      </top>
    </border>
    <border>
      <left style="thin">
        <color rgb="FF5070B8"/>
      </left>
      <right style="thin">
        <color rgb="FF5070B8"/>
      </right>
      <top style="thin">
        <color rgb="FF232222"/>
      </top>
    </border>
    <border>
      <left style="thin">
        <color rgb="FF5070B8"/>
      </left>
      <top style="thin">
        <color rgb="FF232222"/>
      </top>
    </border>
    <border>
      <left style="thin">
        <color rgb="FFE061B4"/>
      </left>
      <right style="thin">
        <color rgb="FFE061B4"/>
      </right>
      <top style="thin">
        <color rgb="FF232222"/>
      </top>
    </border>
    <border>
      <left style="thin">
        <color rgb="FFE061B4"/>
      </left>
      <top style="thin">
        <color rgb="FF232222"/>
      </top>
    </border>
    <border>
      <left style="thin">
        <color rgb="FF6890C0"/>
      </left>
      <right style="thin">
        <color rgb="FF6890C0"/>
      </right>
      <top style="thin">
        <color rgb="FF232222"/>
      </top>
    </border>
    <border>
      <left style="thin">
        <color rgb="FF6890C0"/>
      </left>
      <top style="thin">
        <color rgb="FF232222"/>
      </top>
    </border>
    <border>
      <left style="thin">
        <color rgb="FFA86840"/>
      </left>
      <right style="thin">
        <color rgb="FFA86840"/>
      </right>
      <top style="thin">
        <color rgb="FF232222"/>
      </top>
    </border>
    <border>
      <left style="thin">
        <color rgb="FFA86840"/>
      </left>
      <top style="thin">
        <color rgb="FF232222"/>
      </top>
    </border>
    <border>
      <left style="thin">
        <color rgb="FFF8F8B0"/>
      </left>
      <right style="thin">
        <color rgb="FFF8F8B0"/>
      </right>
      <top style="thin">
        <color rgb="FF232222"/>
      </top>
    </border>
    <border>
      <left style="thin">
        <color rgb="FFF8F8B0"/>
      </left>
      <top style="thin">
        <color rgb="FF232222"/>
      </top>
    </border>
    <border>
      <left style="thin">
        <color rgb="FFF8C848"/>
      </left>
      <right style="thin">
        <color rgb="FFF8C848"/>
      </right>
      <top style="thin">
        <color rgb="FF232222"/>
      </top>
    </border>
    <border>
      <left style="thin">
        <color rgb="FFF8C848"/>
      </left>
      <top style="thin">
        <color rgb="FF232222"/>
      </top>
    </border>
    <border>
      <left style="thin">
        <color rgb="FFE0E0F0"/>
      </left>
      <right style="thin">
        <color rgb="FFE0E0F0"/>
      </right>
      <top style="thin">
        <color rgb="FF232222"/>
      </top>
    </border>
    <border>
      <left style="thin">
        <color rgb="FFE0E0F0"/>
      </left>
      <top style="thin">
        <color rgb="FF232222"/>
      </top>
    </border>
    <border>
      <left style="thin">
        <color rgb="FF41A4E6"/>
      </left>
      <right style="thin">
        <color rgb="FF41A4E6"/>
      </right>
      <top style="thin">
        <color rgb="FF232222"/>
      </top>
    </border>
    <border>
      <left style="thin">
        <color rgb="FFD8D8D8"/>
      </left>
      <right style="thin">
        <color rgb="FFD8D8D8"/>
      </right>
      <top style="thin">
        <color rgb="FF232222"/>
      </top>
    </border>
    <border>
      <left style="thin">
        <color rgb="FF9870C0"/>
      </left>
      <right style="thin">
        <color rgb="FF9870C0"/>
      </right>
      <top style="thin">
        <color rgb="FF232222"/>
      </top>
    </border>
    <border>
      <left style="thin">
        <color rgb="FFD8D8E8"/>
      </left>
      <right style="thin">
        <color rgb="FFD8D8E8"/>
      </right>
      <top style="thin">
        <color rgb="FF232222"/>
      </top>
    </border>
    <border>
      <left style="thin">
        <color rgb="FFE86848"/>
      </left>
      <right style="thin">
        <color rgb="FFE86848"/>
      </right>
      <top style="thin">
        <color rgb="FF232222"/>
      </top>
    </border>
    <border>
      <left style="thin">
        <color rgb="FFE88028"/>
      </left>
      <right style="thin">
        <color rgb="FFE88028"/>
      </right>
      <top style="thin">
        <color rgb="FF232222"/>
      </top>
    </border>
    <border>
      <left style="thin">
        <color rgb="FFA8C898"/>
      </left>
      <right style="thin">
        <color rgb="FFA8C898"/>
      </right>
      <top style="thin">
        <color rgb="FF232222"/>
      </top>
    </border>
    <border>
      <left style="thin">
        <color rgb="FF707070"/>
      </left>
      <right style="thin">
        <color rgb="FF707070"/>
      </right>
      <top style="thin">
        <color rgb="FF232222"/>
      </top>
    </border>
    <border>
      <left style="thin">
        <color rgb="FF64646A"/>
      </left>
      <right style="thin">
        <color rgb="FF64646A"/>
      </right>
      <top style="thin">
        <color rgb="FF232222"/>
      </top>
    </border>
    <border>
      <left style="thin">
        <color rgb="FFD8D0E0"/>
      </left>
      <right style="thin">
        <color rgb="FFD8D0E0"/>
      </right>
      <top style="thin">
        <color rgb="FF232222"/>
      </top>
    </border>
    <border>
      <left style="thin">
        <color rgb="FFA89888"/>
      </left>
      <right style="thin">
        <color rgb="FFA89888"/>
      </right>
      <top style="thin">
        <color rgb="FF232222"/>
      </top>
    </border>
    <border>
      <right style="thin">
        <color rgb="FFF8E848"/>
      </right>
      <top style="thin">
        <color rgb="FF232222"/>
      </top>
    </border>
    <border>
      <left style="thin">
        <color rgb="FFF8E848"/>
      </left>
      <right style="thin">
        <color rgb="FFF8E848"/>
      </right>
      <top style="thin">
        <color rgb="FF232222"/>
      </top>
    </border>
    <border>
      <left style="thin">
        <color rgb="FF93B3C6"/>
      </left>
      <right style="thin">
        <color rgb="FF93B3C6"/>
      </right>
      <top style="thin">
        <color rgb="FF232222"/>
      </top>
    </border>
    <border>
      <right style="thin">
        <color rgb="FFF8E848"/>
      </right>
    </border>
    <border>
      <right style="thin">
        <color rgb="FFF8E848"/>
      </right>
      <bottom style="thin">
        <color rgb="FF232222"/>
      </bottom>
    </border>
    <border>
      <left style="thin">
        <color rgb="FF62605E"/>
      </left>
      <right style="thin">
        <color rgb="FF62605E"/>
      </right>
      <top style="thin">
        <color rgb="FF232222"/>
      </top>
    </border>
    <border>
      <left style="thin">
        <color rgb="FFF89090"/>
      </left>
      <right style="thin">
        <color rgb="FFF89090"/>
      </right>
      <top style="thin">
        <color rgb="FF232222"/>
      </top>
    </border>
    <border>
      <left style="thin">
        <color rgb="FF889090"/>
      </left>
      <top style="thin">
        <color rgb="FF232222"/>
      </top>
    </border>
    <border>
      <left style="thin">
        <color rgb="FF20A0D0"/>
      </left>
      <right style="thin">
        <color rgb="FF20A0D0"/>
      </right>
      <top style="thin">
        <color rgb="FF232222"/>
      </top>
    </border>
    <border>
      <left style="thin">
        <color rgb="FF867A96"/>
      </left>
      <right style="thin">
        <color rgb="FF867A96"/>
      </right>
      <top style="thin">
        <color rgb="FF232222"/>
      </top>
    </border>
    <border>
      <left style="thin">
        <color rgb="FFFD2636"/>
      </left>
      <right style="thin">
        <color rgb="FFFD2636"/>
      </right>
      <top style="thin">
        <color rgb="FF232222"/>
      </top>
    </border>
    <border>
      <left style="thin">
        <color rgb="FFD03838"/>
      </left>
      <right style="thin">
        <color rgb="FFD03838"/>
      </right>
      <top style="thin">
        <color rgb="FF232222"/>
      </top>
    </border>
    <border>
      <left style="thin">
        <color rgb="FF487191"/>
      </left>
      <right style="thin">
        <color rgb="FF487191"/>
      </right>
      <top style="thin">
        <color rgb="FF232222"/>
      </top>
    </border>
    <border>
      <left style="thin">
        <color rgb="FF5860A8"/>
      </left>
      <right style="thin">
        <color rgb="FF5860A8"/>
      </right>
      <top style="thin">
        <color rgb="FF232222"/>
      </top>
    </border>
    <border>
      <left style="thin">
        <color rgb="FF78A0F0"/>
      </left>
      <right style="thin">
        <color rgb="FF78A0F0"/>
      </right>
      <top style="thin">
        <color rgb="FF232222"/>
      </top>
    </border>
    <border>
      <left style="thin">
        <color rgb="FFB8B8D8"/>
      </left>
      <right style="thin">
        <color rgb="FFB8B8D8"/>
      </right>
      <top style="thin">
        <color rgb="FF232222"/>
      </top>
    </border>
    <border>
      <left style="thin">
        <color rgb="FF0090D0"/>
      </left>
      <right style="thin">
        <color rgb="FF0090D0"/>
      </right>
      <top style="thin">
        <color rgb="FF232222"/>
      </top>
    </border>
    <border>
      <left style="thin">
        <color rgb="FFF8E860"/>
      </left>
      <right style="thin">
        <color rgb="FFF8E860"/>
      </right>
      <top style="thin">
        <color rgb="FF232222"/>
      </top>
    </border>
    <border>
      <left style="thin">
        <color rgb="FF58B068"/>
      </left>
      <right style="thin">
        <color rgb="FF58B068"/>
      </right>
      <top style="thin">
        <color rgb="FF232222"/>
      </top>
    </border>
    <border>
      <left style="thin">
        <color rgb="FF7060A0"/>
      </left>
      <right style="thin">
        <color rgb="FF7060A0"/>
      </right>
      <top style="thin">
        <color rgb="FF232222"/>
      </top>
    </border>
    <border>
      <left style="thin">
        <color rgb="FF30C0A0"/>
      </left>
      <right style="thin">
        <color rgb="FF30C0A0"/>
      </right>
      <top style="thin">
        <color rgb="FF232222"/>
      </top>
    </border>
    <border>
      <left style="thin">
        <color rgb="FF30C0A0"/>
      </left>
      <top style="thin">
        <color rgb="FF232222"/>
      </top>
    </border>
    <border>
      <left style="thin">
        <color rgb="FFD02800"/>
      </left>
      <right style="thin">
        <color rgb="FFD02800"/>
      </right>
      <top style="thin">
        <color rgb="FF232222"/>
      </top>
    </border>
    <border>
      <left style="thin">
        <color rgb="FFD8C8B0"/>
      </left>
      <right style="thin">
        <color rgb="FFD8C8B0"/>
      </right>
      <top style="thin">
        <color rgb="FF232222"/>
      </top>
    </border>
    <border>
      <left style="thin">
        <color rgb="FFE9C558"/>
      </left>
      <right style="thin">
        <color rgb="FFE9C558"/>
      </right>
      <top style="thin">
        <color rgb="FF232222"/>
      </top>
    </border>
    <border>
      <right style="thin">
        <color rgb="FFF8F0D0"/>
      </right>
      <top style="thin">
        <color rgb="FF232222"/>
      </top>
    </border>
    <border>
      <left style="thin">
        <color rgb="FFF8F0D0"/>
      </left>
      <right style="thin">
        <color rgb="FFF8F0D0"/>
      </right>
      <top style="thin">
        <color rgb="FF232222"/>
      </top>
    </border>
    <border>
      <left style="thin">
        <color rgb="FF808088"/>
      </left>
      <right style="thin">
        <color rgb="FF808088"/>
      </right>
      <top style="thin">
        <color rgb="FF232222"/>
      </top>
    </border>
    <border>
      <right style="thin">
        <color rgb="FFF8F0D0"/>
      </right>
    </border>
    <border>
      <right style="thin">
        <color rgb="FFF8F0D0"/>
      </right>
      <bottom style="thin">
        <color rgb="FF232222"/>
      </bottom>
    </border>
    <border>
      <left style="thin">
        <color rgb="FF232222"/>
      </left>
      <right style="thin">
        <color rgb="FF232222"/>
      </right>
      <bottom style="thin">
        <color rgb="FF232222"/>
      </bottom>
    </border>
    <border>
      <left style="thin">
        <color rgb="FFEFA2B3"/>
      </left>
      <right style="thin">
        <color rgb="FFEFA2B3"/>
      </right>
      <top style="thin">
        <color rgb="FF232222"/>
      </top>
    </border>
    <border>
      <left style="thin">
        <color rgb="FFD8D0E0"/>
      </left>
      <top style="thin">
        <color rgb="FF232222"/>
      </top>
    </border>
    <border>
      <right style="thin">
        <color rgb="FFD8D0E0"/>
      </right>
      <top style="thin">
        <color rgb="FF232222"/>
      </top>
    </border>
    <border>
      <left style="thin">
        <color rgb="FF232222"/>
      </left>
      <top style="thin">
        <color rgb="FF232222"/>
      </top>
      <bottom style="thin">
        <color rgb="FF232222"/>
      </bottom>
    </border>
    <border>
      <left style="thin">
        <color rgb="FF232222"/>
      </left>
      <right style="thin">
        <color rgb="FF232222"/>
      </right>
      <top style="thin">
        <color rgb="FF232222"/>
      </top>
    </border>
    <border>
      <right style="thin">
        <color rgb="FFACEE7B"/>
      </right>
      <top style="thick">
        <color rgb="FFEFEFEF"/>
      </top>
      <bottom style="thick">
        <color rgb="FFEFEFEF"/>
      </bottom>
    </border>
    <border>
      <right style="thin">
        <color rgb="FFDE8BEE"/>
      </right>
      <top style="thick">
        <color rgb="FFEFEFEF"/>
      </top>
      <bottom style="thick">
        <color rgb="FFEFEFEF"/>
      </bottom>
    </border>
    <border>
      <right style="thin">
        <color rgb="FFE67B0C"/>
      </right>
      <top style="thick">
        <color rgb="FFEFEFEF"/>
      </top>
      <bottom style="thick">
        <color rgb="FFEFEFEF"/>
      </bottom>
    </border>
    <border>
      <left style="thin">
        <color rgb="FFE67B0C"/>
      </left>
      <top style="thick">
        <color rgb="FFEFEFEF"/>
      </top>
    </border>
    <border>
      <right style="thin">
        <color rgb="FFA4EEFF"/>
      </right>
      <top style="thick">
        <color rgb="FFEFEFEF"/>
      </top>
      <bottom style="thick">
        <color rgb="FFEFEFEF"/>
      </bottom>
    </border>
    <border>
      <right style="thin">
        <color rgb="FFA07BC1"/>
      </right>
      <top style="thick">
        <color rgb="FFEFEFEF"/>
      </top>
      <bottom style="thick">
        <color rgb="FFEFEFEF"/>
      </bottom>
    </border>
    <border>
      <left style="thin">
        <color rgb="FFA07BC1"/>
      </left>
      <top style="thick">
        <color rgb="FFEFEFEF"/>
      </top>
    </border>
    <border>
      <right style="thin">
        <color rgb="FFE6D552"/>
      </right>
      <top style="thick">
        <color rgb="FFEFEFEF"/>
      </top>
      <bottom style="thick">
        <color rgb="FFEFEFEF"/>
      </bottom>
    </border>
    <border>
      <right style="thin">
        <color rgb="FF8CE6F7"/>
      </right>
      <top style="thick">
        <color rgb="FFEFEFEF"/>
      </top>
      <bottom style="thick">
        <color rgb="FFEFEFEF"/>
      </bottom>
    </border>
    <border>
      <left style="thin">
        <color rgb="FF8CE6F7"/>
      </left>
      <top style="thick">
        <color rgb="FFEFEFEF"/>
      </top>
      <bottom style="thin">
        <color rgb="FFEFEFEF"/>
      </bottom>
    </border>
    <border>
      <right style="thin">
        <color rgb="FFE2E2E6"/>
      </right>
      <top style="thick">
        <color rgb="FFEFEFEF"/>
      </top>
      <bottom style="thick">
        <color rgb="FFEFEFEF"/>
      </bottom>
    </border>
    <border>
      <left style="thin">
        <color rgb="FFE2E2E6"/>
      </left>
      <top style="thick">
        <color rgb="FFEFEFEF"/>
      </top>
    </border>
    <border>
      <right style="thin">
        <color rgb="FFFFACA4"/>
      </right>
      <top style="thick">
        <color rgb="FFEFEFEF"/>
      </top>
      <bottom style="thick">
        <color rgb="FFEFEFEF"/>
      </bottom>
    </border>
    <border>
      <left style="thin">
        <color rgb="FFFFACA4"/>
      </left>
      <top style="thick">
        <color rgb="FFEFEFEF"/>
      </top>
    </border>
    <border>
      <right style="thin">
        <color rgb="FF529CA4"/>
      </right>
      <top style="thick">
        <color rgb="FFEFEFEF"/>
      </top>
      <bottom style="thick">
        <color rgb="FFEFEFEF"/>
      </bottom>
    </border>
    <border>
      <right style="thin">
        <color rgb="FF5AACEE"/>
      </right>
      <top style="thick">
        <color rgb="FFEFEFEF"/>
      </top>
      <bottom style="thick">
        <color rgb="FFEFEFEF"/>
      </bottom>
    </border>
    <border>
      <left style="thin">
        <color rgb="FF5AACEE"/>
      </left>
      <top style="thick">
        <color rgb="FFEFEFEF"/>
      </top>
    </border>
    <border>
      <right style="thin">
        <color rgb="FFC98B3D"/>
      </right>
      <top style="thick">
        <color rgb="FFEFEFEF"/>
      </top>
      <bottom style="thick">
        <color rgb="FFEFEFEF"/>
      </bottom>
    </border>
    <border>
      <left style="thin">
        <color rgb="FFC98B3D"/>
      </left>
      <right style="thin">
        <color rgb="FFC98B3D"/>
      </right>
      <top style="thick">
        <color rgb="FFEFEFEF"/>
      </top>
      <bottom style="thick">
        <color rgb="FFEFEFEF"/>
      </bottom>
    </border>
    <border>
      <left style="thin">
        <color rgb="FFC98B3D"/>
      </left>
      <top style="thick">
        <color rgb="FFEFEFEF"/>
      </top>
      <bottom style="thick">
        <color rgb="FFEFEFEF"/>
      </bottom>
    </border>
    <border>
      <right style="thin">
        <color rgb="FF52E6B4"/>
      </right>
      <top style="thick">
        <color rgb="FFEFEFEF"/>
      </top>
      <bottom style="thick">
        <color rgb="FFEFEFEF"/>
      </bottom>
    </border>
    <border>
      <left style="thin">
        <color rgb="FF52E6B4"/>
      </left>
      <right style="thin">
        <color rgb="FF52E6B4"/>
      </right>
      <top style="thick">
        <color rgb="FFEFEFEF"/>
      </top>
      <bottom style="thick">
        <color rgb="FFEFEFEF"/>
      </bottom>
    </border>
    <border>
      <left style="thin">
        <color rgb="FF52E6B4"/>
      </left>
      <top style="thick">
        <color rgb="FFEFEFEF"/>
      </top>
    </border>
    <border>
      <right style="thin">
        <color rgb="FFFFCDD5"/>
      </right>
      <top style="thick">
        <color rgb="FFEFEFEF"/>
      </top>
      <bottom style="thick">
        <color rgb="FFEFEFEF"/>
      </bottom>
    </border>
    <border>
      <left style="thin">
        <color rgb="FFFFCDD5"/>
      </left>
      <right style="thin">
        <color rgb="FFFFCDD5"/>
      </right>
      <top style="thick">
        <color rgb="FFEFEFEF"/>
      </top>
      <bottom style="thick">
        <color rgb="FFEFEFEF"/>
      </bottom>
    </border>
    <border>
      <left style="thin">
        <color rgb="FFFFCDD5"/>
      </left>
      <top style="thick">
        <color rgb="FFEFEFEF"/>
      </top>
      <bottom style="thick">
        <color rgb="FFEFEFEF"/>
      </bottom>
    </border>
    <border>
      <right style="thin">
        <color rgb="FFF6EEBD"/>
      </right>
      <top style="thick">
        <color rgb="FFEFEFEF"/>
      </top>
      <bottom style="thick">
        <color rgb="FFEFEFEF"/>
      </bottom>
    </border>
    <border>
      <left style="thin">
        <color rgb="FFF6EEBD"/>
      </left>
      <right style="thin">
        <color rgb="FFF6EEBD"/>
      </right>
      <top style="thick">
        <color rgb="FFEFEFEF"/>
      </top>
      <bottom style="thick">
        <color rgb="FFEFEFEF"/>
      </bottom>
    </border>
    <border>
      <left style="thin">
        <color rgb="FFF6EEBD"/>
      </left>
      <top style="thick">
        <color rgb="FFEFEFEF"/>
      </top>
      <bottom style="thin">
        <color rgb="FFEFEFEF"/>
      </bottom>
    </border>
    <border>
      <right style="thin">
        <color rgb="FFDECD39"/>
      </right>
      <top style="thick">
        <color rgb="FFEFEFEF"/>
      </top>
      <bottom style="thick">
        <color rgb="FFEFEFEF"/>
      </bottom>
    </border>
    <border>
      <left style="thin">
        <color rgb="FFDECD39"/>
      </left>
      <right style="thin">
        <color rgb="FFDECD39"/>
      </right>
      <top style="thick">
        <color rgb="FFEFEFEF"/>
      </top>
      <bottom style="thick">
        <color rgb="FFEFEFEF"/>
      </bottom>
    </border>
    <border>
      <left style="thin">
        <color rgb="FFDECD39"/>
      </left>
      <top style="thick">
        <color rgb="FFEFEFEF"/>
      </top>
      <bottom style="thick">
        <color rgb="FFEFEFEF"/>
      </bottom>
    </border>
    <border>
      <right style="thin">
        <color rgb="FF62A4CD"/>
      </right>
      <top style="thick">
        <color rgb="FFEFEFEF"/>
      </top>
      <bottom style="thick">
        <color rgb="FFEFEFEF"/>
      </bottom>
    </border>
    <border>
      <left style="thin">
        <color rgb="FF62A4CD"/>
      </left>
      <right style="thin">
        <color rgb="FF62A4CD"/>
      </right>
      <top style="thick">
        <color rgb="FFEFEFEF"/>
      </top>
      <bottom style="thick">
        <color rgb="FFEFEFEF"/>
      </bottom>
    </border>
    <border>
      <left style="thin">
        <color rgb="FF62A4CD"/>
      </left>
      <top style="thick">
        <color rgb="FFEFEFEF"/>
      </top>
      <bottom style="thin">
        <color rgb="FFEFEFEF"/>
      </bottom>
    </border>
    <border>
      <right style="thin">
        <color rgb="FFF6AC00"/>
      </right>
      <top style="thick">
        <color rgb="FFEFEFEF"/>
      </top>
      <bottom style="thick">
        <color rgb="FFEFEFEF"/>
      </bottom>
    </border>
    <border>
      <left style="thin">
        <color rgb="FFF6AC00"/>
      </left>
      <right style="thin">
        <color rgb="FFF6AC00"/>
      </right>
      <top style="thick">
        <color rgb="FFEFEFEF"/>
      </top>
      <bottom style="thick">
        <color rgb="FFEFEFEF"/>
      </bottom>
    </border>
    <border>
      <left style="thin">
        <color rgb="FFF6AC00"/>
      </left>
      <top style="thick">
        <color rgb="FFEFEFEF"/>
      </top>
      <bottom style="thick">
        <color rgb="FFEFEFEF"/>
      </bottom>
    </border>
    <border>
      <right style="thin">
        <color rgb="FFEED518"/>
      </right>
      <top style="thick">
        <color rgb="FFEFEFEF"/>
      </top>
      <bottom style="thick">
        <color rgb="FFEFEFEF"/>
      </bottom>
    </border>
    <border>
      <left style="thin">
        <color rgb="FFEED518"/>
      </left>
      <right style="thin">
        <color rgb="FFEED518"/>
      </right>
      <top style="thick">
        <color rgb="FFEFEFEF"/>
      </top>
      <bottom style="thick">
        <color rgb="FFEFEFEF"/>
      </bottom>
    </border>
    <border>
      <left style="thin">
        <color rgb="FFEED518"/>
      </left>
      <top style="thick">
        <color rgb="FFEFEFEF"/>
      </top>
    </border>
    <border>
      <right style="thin">
        <color rgb="FFFF4141"/>
      </right>
      <top style="thick">
        <color rgb="FFEFEFEF"/>
      </top>
      <bottom style="thick">
        <color rgb="FFEFEFEF"/>
      </bottom>
    </border>
    <border>
      <left style="thin">
        <color rgb="FFFF4141"/>
      </left>
      <right style="thin">
        <color rgb="FFFF4141"/>
      </right>
      <top style="thick">
        <color rgb="FFEFEFEF"/>
      </top>
      <bottom style="thick">
        <color rgb="FFEFEFEF"/>
      </bottom>
    </border>
    <border>
      <left style="thin">
        <color rgb="FFFF4141"/>
      </left>
      <top style="thick">
        <color rgb="FFEFEFEF"/>
      </top>
      <bottom style="thin">
        <color rgb="FFEFEFEF"/>
      </bottom>
    </border>
    <border>
      <right style="thin">
        <color rgb="FF39A418"/>
      </right>
      <top style="thick">
        <color rgb="FFEFEFEF"/>
      </top>
      <bottom style="thick">
        <color rgb="FFEFEFEF"/>
      </bottom>
    </border>
    <border>
      <left style="thin">
        <color rgb="FF39A418"/>
      </left>
      <right style="thin">
        <color rgb="FF39A418"/>
      </right>
      <top style="thick">
        <color rgb="FFEFEFEF"/>
      </top>
      <bottom style="thick">
        <color rgb="FFEFEFEF"/>
      </bottom>
    </border>
    <border>
      <left style="thin">
        <color rgb="FF39A418"/>
      </left>
      <top style="thick">
        <color rgb="FFEFEFEF"/>
      </top>
      <bottom style="thick">
        <color rgb="FFEFEFEF"/>
      </bottom>
    </border>
    <border>
      <right style="thin">
        <color rgb="FF188BDE"/>
      </right>
      <top style="thick">
        <color rgb="FFEFEFEF"/>
      </top>
      <bottom style="thick">
        <color rgb="FFEFEFEF"/>
      </bottom>
    </border>
    <border>
      <left style="thin">
        <color rgb="FF188BDE"/>
      </left>
      <right style="thin">
        <color rgb="FF188BDE"/>
      </right>
      <top style="thick">
        <color rgb="FFEFEFEF"/>
      </top>
      <bottom style="thick">
        <color rgb="FFEFEFEF"/>
      </bottom>
    </border>
    <border>
      <left style="thin">
        <color rgb="FF188BDE"/>
      </left>
      <top style="thick">
        <color rgb="FFEFEFEF"/>
      </top>
      <bottom style="thin">
        <color rgb="FFEFEFEF"/>
      </bottom>
    </border>
    <border>
      <right style="thin">
        <color rgb="FFBD9C8B"/>
      </right>
      <top style="thick">
        <color rgb="FFEFEFEF"/>
      </top>
      <bottom style="thick">
        <color rgb="FFEFEFEF"/>
      </bottom>
    </border>
    <border>
      <left style="thin">
        <color rgb="FFBD9C8B"/>
      </left>
      <right style="thin">
        <color rgb="FFBD9C8B"/>
      </right>
      <top style="thick">
        <color rgb="FFEFEFEF"/>
      </top>
      <bottom style="thick">
        <color rgb="FFEFEFEF"/>
      </bottom>
    </border>
    <border>
      <left style="thin">
        <color rgb="FFBD9C8B"/>
      </left>
      <top style="thick">
        <color rgb="FFEFEFEF"/>
      </top>
      <bottom style="thick">
        <color rgb="FFEFEFEF"/>
      </bottom>
    </border>
    <border>
      <right style="thin">
        <color rgb="FFCDC58B"/>
      </right>
      <top style="thick">
        <color rgb="FFEFEFEF"/>
      </top>
      <bottom style="thick">
        <color rgb="FFEFEFEF"/>
      </bottom>
    </border>
    <border>
      <left style="thin">
        <color rgb="FFCDC58B"/>
      </left>
      <right style="thin">
        <color rgb="FFCDC58B"/>
      </right>
      <top style="thick">
        <color rgb="FFEFEFEF"/>
      </top>
      <bottom style="thick">
        <color rgb="FFEFEFEF"/>
      </bottom>
    </border>
    <border>
      <left style="thin">
        <color rgb="FFCDC58B"/>
      </left>
      <top style="thick">
        <color rgb="FFEFEFEF"/>
      </top>
      <bottom style="thin">
        <color rgb="FFEFEFEF"/>
      </bottom>
    </border>
    <border>
      <right style="thin">
        <color rgb="FFFFF6CD"/>
      </right>
      <top style="thick">
        <color rgb="FFEFEFEF"/>
      </top>
      <bottom style="thick">
        <color rgb="FFEFEFEF"/>
      </bottom>
    </border>
    <border>
      <left style="thin">
        <color rgb="FFFFF6CD"/>
      </left>
      <right style="thin">
        <color rgb="FFFFF6CD"/>
      </right>
      <top style="thick">
        <color rgb="FFEFEFEF"/>
      </top>
      <bottom style="thick">
        <color rgb="FFEFEFEF"/>
      </bottom>
    </border>
    <border>
      <left style="thin">
        <color rgb="FFFFF6CD"/>
      </left>
      <top style="thick">
        <color rgb="FFEFEFEF"/>
      </top>
      <bottom style="thick">
        <color rgb="FFEFEFEF"/>
      </bottom>
    </border>
    <border>
      <left style="thin">
        <color rgb="FF6B6B6B"/>
      </left>
      <right style="thin">
        <color rgb="FF6B6B6B"/>
      </right>
      <top style="thin">
        <color rgb="FF6B6B6B"/>
      </top>
      <bottom style="thin">
        <color rgb="FF6B6B6B"/>
      </bottom>
    </border>
    <border>
      <left style="thin">
        <color rgb="FFEFEFEF"/>
      </left>
      <right style="thin">
        <color rgb="FFFFDEA5"/>
      </right>
      <bottom style="thin">
        <color rgb="FFFFDEA5"/>
      </bottom>
    </border>
    <border>
      <left style="thin">
        <color rgb="FFFFDEA5"/>
      </left>
      <right style="thin">
        <color rgb="FFFFDEA5"/>
      </right>
      <top style="thin">
        <color rgb="FFEFEFEF"/>
      </top>
    </border>
    <border>
      <left style="thin">
        <color rgb="FFFFDEA5"/>
      </left>
      <right style="thin">
        <color rgb="FFEFEFEF"/>
      </right>
      <top style="thin">
        <color rgb="FFEFEFEF"/>
      </top>
    </border>
    <border>
      <left style="thin">
        <color rgb="FFFFDEA5"/>
      </left>
      <right style="thin">
        <color rgb="FFEFEFEF"/>
      </right>
      <top style="thin">
        <color rgb="FFEFEFEF"/>
      </top>
      <bottom style="thin">
        <color rgb="FFFFDEA5"/>
      </bottom>
    </border>
    <border>
      <left style="thin">
        <color rgb="FFEFEFEF"/>
      </left>
      <top style="thin">
        <color rgb="FFFFDEA5"/>
      </top>
      <bottom style="thin">
        <color rgb="FFFFDEA5"/>
      </bottom>
    </border>
    <border>
      <left style="thin">
        <color rgb="FFFFBD84"/>
      </left>
      <right style="thin">
        <color rgb="FFFFBD84"/>
      </right>
      <top style="thin">
        <color rgb="FFFFBD84"/>
      </top>
      <bottom style="thin">
        <color rgb="FFFFBD84"/>
      </bottom>
    </border>
    <border>
      <left style="thin">
        <color rgb="FFFFBD84"/>
      </left>
      <right style="thin">
        <color rgb="FFFFBD84"/>
      </right>
      <top style="thin">
        <color rgb="FFFFBD84"/>
      </top>
    </border>
    <border>
      <left style="thin">
        <color rgb="FFFFBD84"/>
      </left>
      <top style="thin">
        <color rgb="FFFFBD84"/>
      </top>
      <bottom style="thin">
        <color rgb="FFFFBD84"/>
      </bottom>
    </border>
    <border>
      <left style="thin">
        <color rgb="FFDE9C6B"/>
      </left>
      <right style="thin">
        <color rgb="FFDE9C6B"/>
      </right>
      <top style="thin">
        <color rgb="FFDE9C6B"/>
      </top>
      <bottom style="thin">
        <color rgb="FFDE9C6B"/>
      </bottom>
    </border>
    <border>
      <right style="thin">
        <color rgb="FFEFEFEF"/>
      </right>
      <top style="thin">
        <color rgb="FFFFDEA5"/>
      </top>
      <bottom style="thin">
        <color rgb="FFFFDEA5"/>
      </bottom>
    </border>
    <border>
      <left style="thin">
        <color rgb="FFEFEFEF"/>
      </left>
      <right style="thin">
        <color rgb="FFEFEFEF"/>
      </right>
      <top style="thin">
        <color rgb="FFFFDEA5"/>
      </top>
      <bottom style="thin">
        <color rgb="FFFFDEA5"/>
      </bottom>
    </border>
    <border>
      <left style="medium">
        <color rgb="FFFFFFD6"/>
      </left>
      <right style="thin">
        <color rgb="FFFFFFD6"/>
      </right>
      <top style="medium">
        <color rgb="FFFFFFD6"/>
      </top>
      <bottom style="thin">
        <color rgb="FFFFFFD6"/>
      </bottom>
    </border>
    <border>
      <left style="thin">
        <color rgb="FFFFFFD6"/>
      </left>
      <right style="thin">
        <color rgb="FFFFFFD6"/>
      </right>
      <top style="medium">
        <color rgb="FFFFFFD6"/>
      </top>
      <bottom style="thin">
        <color rgb="FFFFFFD6"/>
      </bottom>
    </border>
    <border>
      <left style="thin">
        <color rgb="FFFFFFD6"/>
      </left>
      <right style="medium">
        <color rgb="FFFFFFD6"/>
      </right>
      <top style="medium">
        <color rgb="FFFFFFD6"/>
      </top>
      <bottom style="thin">
        <color rgb="FFFFFFD6"/>
      </bottom>
    </border>
    <border>
      <top style="thin">
        <color rgb="FFFFBD84"/>
      </top>
      <bottom style="thin">
        <color rgb="FFFFBD84"/>
      </bottom>
    </border>
    <border>
      <left style="medium">
        <color rgb="FFFFFFD6"/>
      </left>
      <right style="thin">
        <color rgb="FFFFFFD6"/>
      </right>
      <top style="thin">
        <color rgb="FFFFFFD6"/>
      </top>
      <bottom style="thin">
        <color rgb="FFFFFFD6"/>
      </bottom>
    </border>
    <border>
      <left style="thin">
        <color rgb="FFFFFFD6"/>
      </left>
      <top style="thin">
        <color rgb="FFFFFFD6"/>
      </top>
      <bottom style="thin">
        <color rgb="FFFFFFD6"/>
      </bottom>
    </border>
    <border>
      <top style="thin">
        <color rgb="FFFFFFD6"/>
      </top>
      <bottom style="thin">
        <color rgb="FFFFFFD6"/>
      </bottom>
    </border>
    <border>
      <right style="thin">
        <color rgb="FFFFFFD6"/>
      </right>
      <top style="thin">
        <color rgb="FFFFFFD6"/>
      </top>
      <bottom style="thin">
        <color rgb="FFFFFFD6"/>
      </bottom>
    </border>
    <border>
      <left style="thin">
        <color rgb="FFFFFFD6"/>
      </left>
      <right style="medium">
        <color rgb="FFFFFFD6"/>
      </right>
      <top style="thin">
        <color rgb="FFFFFFD6"/>
      </top>
      <bottom style="thin">
        <color rgb="FFFFFFD6"/>
      </bottom>
    </border>
    <border>
      <left style="thin">
        <color rgb="FFFFFFD6"/>
      </left>
      <right style="thin">
        <color rgb="FFFFFFD6"/>
      </right>
      <top style="thin">
        <color rgb="FFFFFFD6"/>
      </top>
      <bottom style="thin">
        <color rgb="FFFFFFD6"/>
      </bottom>
    </border>
    <border>
      <left style="medium">
        <color rgb="FFFFFFD6"/>
      </left>
      <right style="thin">
        <color rgb="FFFFFFD6"/>
      </right>
      <top style="thin">
        <color rgb="FFFFFFD6"/>
      </top>
      <bottom style="medium">
        <color rgb="FFFFFFD6"/>
      </bottom>
    </border>
    <border>
      <left style="thin">
        <color rgb="FFFFFFD6"/>
      </left>
      <right style="thin">
        <color rgb="FFFFFFD6"/>
      </right>
      <top style="thin">
        <color rgb="FFFFFFD6"/>
      </top>
      <bottom style="medium">
        <color rgb="FFFFFFD6"/>
      </bottom>
    </border>
    <border>
      <left style="thin">
        <color rgb="FFFFFFD6"/>
      </left>
      <right style="medium">
        <color rgb="FFFFFFD6"/>
      </right>
      <top style="thin">
        <color rgb="FFFFFFD6"/>
      </top>
      <bottom style="medium">
        <color rgb="FFFFFFD6"/>
      </bottom>
    </border>
    <border>
      <left style="thin">
        <color rgb="FFEFEFEF"/>
      </left>
      <right style="thin">
        <color rgb="FFEFEFEF"/>
      </right>
      <top style="thin">
        <color rgb="FFFFDEA5"/>
      </top>
    </border>
    <border>
      <left style="thin">
        <color rgb="FFFFBD84"/>
      </left>
      <right style="thin">
        <color rgb="FFFFBD84"/>
      </right>
    </border>
    <border>
      <left style="thin">
        <color rgb="FFFFBD84"/>
      </left>
      <top style="thin">
        <color rgb="FFFFBD84"/>
      </top>
    </border>
    <border>
      <right style="thin">
        <color rgb="FFEFEFEF"/>
      </right>
      <top style="thin">
        <color rgb="FFFFDEA5"/>
      </top>
      <bottom style="thin">
        <color rgb="FFEFEFEF"/>
      </bottom>
    </border>
    <border>
      <left style="thin">
        <color rgb="FFDE9C6B"/>
      </left>
      <right style="thin">
        <color rgb="FFDE9C6B"/>
      </right>
      <top style="thin">
        <color rgb="FFFFBD84"/>
      </top>
      <bottom style="thin">
        <color rgb="FFDE9C6B"/>
      </bottom>
    </border>
    <border>
      <left style="thin">
        <color rgb="FF3D2B29"/>
      </left>
      <right style="thin">
        <color rgb="FF3D2B29"/>
      </right>
      <top style="thin">
        <color rgb="FF3D2B29"/>
      </top>
      <bottom style="thin">
        <color rgb="FF3D2B29"/>
      </bottom>
    </border>
    <border>
      <right style="thin">
        <color rgb="FFB07442"/>
      </right>
      <bottom style="thin">
        <color rgb="FFB07442"/>
      </bottom>
    </border>
    <border>
      <left style="thin">
        <color rgb="FFB07442"/>
      </left>
      <right style="thin">
        <color rgb="FFB07442"/>
      </right>
    </border>
    <border>
      <left style="thin">
        <color rgb="FFB07442"/>
      </left>
      <bottom style="thin">
        <color rgb="FFB07442"/>
      </bottom>
    </border>
    <border>
      <top style="thin">
        <color rgb="FFB07442"/>
      </top>
      <bottom style="thin">
        <color rgb="FFB07442"/>
      </bottom>
    </border>
    <border>
      <right style="thin">
        <color rgb="FFFFFAF4"/>
      </right>
      <bottom style="thin">
        <color rgb="FFFFFAF4"/>
      </bottom>
    </border>
    <border>
      <left style="thin">
        <color rgb="FFFFFAF4"/>
      </left>
      <right style="thin">
        <color rgb="FFFFFAF4"/>
      </right>
      <bottom style="thin">
        <color rgb="FFFFFAF4"/>
      </bottom>
    </border>
    <border>
      <left style="thin">
        <color rgb="FFFFFAF4"/>
      </left>
      <bottom style="thin">
        <color rgb="FFFFFAF4"/>
      </bottom>
    </border>
    <border>
      <right style="thin">
        <color rgb="FFFFFAF4"/>
      </right>
      <top style="thin">
        <color rgb="FFFFFAF4"/>
      </top>
      <bottom style="thin">
        <color rgb="FFFFFAF4"/>
      </bottom>
    </border>
    <border>
      <left style="thin">
        <color rgb="FFFFFAF4"/>
      </left>
      <top style="thin">
        <color rgb="FFFFFAF4"/>
      </top>
    </border>
    <border>
      <top style="thin">
        <color rgb="FFFFFAF4"/>
      </top>
    </border>
    <border>
      <right style="thin">
        <color rgb="FFFFFAF4"/>
      </right>
      <top style="thin">
        <color rgb="FFFFFAF4"/>
      </top>
    </border>
    <border>
      <left style="thin">
        <color rgb="FFFFFAF4"/>
      </left>
      <top style="thin">
        <color rgb="FFFFFAF4"/>
      </top>
      <bottom style="thin">
        <color rgb="FFFFFAF4"/>
      </bottom>
    </border>
    <border>
      <left style="thin">
        <color rgb="FFFFFAF4"/>
      </left>
    </border>
    <border>
      <right style="thin">
        <color rgb="FFFFFAF4"/>
      </right>
    </border>
    <border>
      <left style="thin">
        <color rgb="FFFFFAF4"/>
      </left>
      <right style="thin">
        <color rgb="FFFFFAF4"/>
      </right>
      <top style="thin">
        <color rgb="FFFFFAF4"/>
      </top>
    </border>
    <border>
      <left style="thin">
        <color rgb="FFFFFAF4"/>
      </left>
      <right style="thin">
        <color rgb="FFFFFAF4"/>
      </right>
      <top style="thin">
        <color rgb="FFFFFAF4"/>
      </top>
      <bottom style="thin">
        <color rgb="FFFFFAF4"/>
      </bottom>
    </border>
    <border>
      <top style="thin">
        <color rgb="FFFFFAF4"/>
      </top>
      <bottom style="thin">
        <color rgb="FFFFFAF4"/>
      </bottom>
    </border>
    <border>
      <left style="thick">
        <color rgb="FF3D2B29"/>
      </left>
      <top style="thick">
        <color rgb="FF3D2B29"/>
      </top>
      <bottom style="thick">
        <color rgb="FF3D2B29"/>
      </bottom>
    </border>
    <border>
      <top style="thick">
        <color rgb="FF3D2B29"/>
      </top>
      <bottom style="thick">
        <color rgb="FF3D2B29"/>
      </bottom>
    </border>
    <border>
      <right style="thick">
        <color rgb="FF3D2B29"/>
      </right>
      <top style="thick">
        <color rgb="FF3D2B29"/>
      </top>
      <bottom style="thick">
        <color rgb="FF3D2B29"/>
      </bottom>
    </border>
    <border>
      <left style="thick">
        <color rgb="FF3D2B29"/>
      </left>
      <right style="thin">
        <color rgb="FF3D2B29"/>
      </right>
      <top style="thick">
        <color rgb="FF3D2B29"/>
      </top>
      <bottom style="thin">
        <color rgb="FF3D2B29"/>
      </bottom>
    </border>
    <border>
      <left style="thin">
        <color rgb="FF3D2B29"/>
      </left>
      <right style="thin">
        <color rgb="FF3D2B29"/>
      </right>
      <top style="thick">
        <color rgb="FF3D2B29"/>
      </top>
    </border>
    <border>
      <left style="thin">
        <color rgb="FF3D2B29"/>
      </left>
      <right style="thick">
        <color rgb="FF3D2B29"/>
      </right>
      <top style="thick">
        <color rgb="FF3D2B29"/>
      </top>
    </border>
    <border>
      <left style="thick">
        <color rgb="FF3D2B29"/>
      </left>
      <top style="thin">
        <color rgb="FF3D2B29"/>
      </top>
      <bottom style="thin">
        <color rgb="FF3D2B29"/>
      </bottom>
    </border>
    <border>
      <left style="dotted">
        <color rgb="FFB07442"/>
      </left>
      <right style="thin">
        <color rgb="FFEAE4DD"/>
      </right>
      <top style="dotted">
        <color rgb="FFB07442"/>
      </top>
      <bottom style="dotted">
        <color rgb="FFB07442"/>
      </bottom>
    </border>
    <border>
      <left style="thin">
        <color rgb="FFEAE4DD"/>
      </left>
      <top style="dotted">
        <color rgb="FFB07442"/>
      </top>
      <bottom style="dotted">
        <color rgb="FFB07442"/>
      </bottom>
    </border>
    <border>
      <top style="dotted">
        <color rgb="FFB07442"/>
      </top>
      <bottom style="dotted">
        <color rgb="FFB07442"/>
      </bottom>
    </border>
    <border>
      <right style="dotted">
        <color rgb="FFB07442"/>
      </right>
      <top style="dotted">
        <color rgb="FFB07442"/>
      </top>
      <bottom style="dotted">
        <color rgb="FFB07442"/>
      </bottom>
    </border>
    <border>
      <right style="thin">
        <color rgb="FF3D2B29"/>
      </right>
      <top style="thin">
        <color rgb="FF3D2B29"/>
      </top>
      <bottom style="thin">
        <color rgb="FF3D2B29"/>
      </bottom>
    </border>
    <border>
      <left style="thin">
        <color rgb="FF3D2B29"/>
      </left>
      <top style="thin">
        <color rgb="FF3D2B29"/>
      </top>
      <bottom style="thin">
        <color rgb="FF3D2B29"/>
      </bottom>
    </border>
    <border>
      <left style="dotted">
        <color rgb="FFB07442"/>
      </left>
      <right style="thin">
        <color rgb="FFFFFAF4"/>
      </right>
      <top style="dotted">
        <color rgb="FFB07442"/>
      </top>
      <bottom style="dotted">
        <color rgb="FFB07442"/>
      </bottom>
    </border>
    <border>
      <right style="hair">
        <color rgb="FFB07442"/>
      </right>
      <top style="dotted">
        <color rgb="FFB07442"/>
      </top>
      <bottom style="dotted">
        <color rgb="FFB07442"/>
      </bottom>
    </border>
    <border>
      <right style="thick">
        <color rgb="FF3D2B29"/>
      </right>
      <top style="thin">
        <color rgb="FF3D2B29"/>
      </top>
      <bottom style="thin">
        <color rgb="FF3D2B29"/>
      </bottom>
    </border>
    <border>
      <left style="thin">
        <color rgb="FF3D2B29"/>
      </left>
      <right style="thin">
        <color rgb="FF3D2B29"/>
      </right>
      <bottom style="thin">
        <color rgb="FF3D2B29"/>
      </bottom>
    </border>
    <border>
      <left style="thin">
        <color rgb="FF3D2B29"/>
      </left>
      <right style="thick">
        <color rgb="FF3D2B29"/>
      </right>
      <top style="thin">
        <color rgb="FF3D2B29"/>
      </top>
      <bottom style="thin">
        <color rgb="FF3D2B29"/>
      </bottom>
    </border>
    <border>
      <left style="thin">
        <color rgb="FF3D2B29"/>
      </left>
      <right style="thin">
        <color rgb="FF3D2B29"/>
      </right>
      <top style="thin">
        <color rgb="FF3D2B29"/>
      </top>
    </border>
    <border>
      <left style="dotted">
        <color rgb="FFB07442"/>
      </left>
      <top style="dotted">
        <color rgb="FFB07442"/>
      </top>
      <bottom style="dotted">
        <color rgb="FFB07442"/>
      </bottom>
    </border>
    <border>
      <right style="thick">
        <color rgb="FF232222"/>
      </right>
      <top style="thin">
        <color rgb="FF3D2B29"/>
      </top>
      <bottom style="thick">
        <color rgb="FF232222"/>
      </bottom>
    </border>
    <border>
      <left style="thick">
        <color rgb="FF3D2B29"/>
      </left>
      <right style="thin">
        <color rgb="FF3D2B29"/>
      </right>
      <top style="thin">
        <color rgb="FF3D2B29"/>
      </top>
      <bottom style="thick">
        <color rgb="FF3D2B29"/>
      </bottom>
    </border>
    <border>
      <left style="thin">
        <color rgb="FF3D2B29"/>
      </left>
      <right style="thin">
        <color rgb="FF3D2B29"/>
      </right>
      <bottom style="thick">
        <color rgb="FF3D2B29"/>
      </bottom>
    </border>
    <border>
      <left style="thin">
        <color rgb="FF3D2B29"/>
      </left>
      <right style="thin">
        <color rgb="FF3D2B29"/>
      </right>
      <top style="thin">
        <color rgb="FF3D2B29"/>
      </top>
      <bottom style="thick">
        <color rgb="FF3D2B29"/>
      </bottom>
    </border>
    <border>
      <left style="thin">
        <color rgb="FF3D2B29"/>
      </left>
      <right style="thick">
        <color rgb="FF232222"/>
      </right>
      <bottom style="thick">
        <color rgb="FF3D2B29"/>
      </bottom>
    </border>
    <border>
      <left style="thin">
        <color rgb="FFFFFAF4"/>
      </left>
      <right style="thin">
        <color rgb="FFFFFAF4"/>
      </right>
    </border>
    <border>
      <left style="thick">
        <color rgb="FF3D2B29"/>
      </left>
      <right style="thin">
        <color rgb="FF3D2B29"/>
      </right>
      <bottom style="thin">
        <color rgb="FF3D2B29"/>
      </bottom>
    </border>
    <border>
      <left style="thin">
        <color rgb="FF3D2B29"/>
      </left>
      <right style="thin">
        <color rgb="FF3D2B29"/>
      </right>
    </border>
    <border>
      <left style="thin">
        <color rgb="FF3D2B29"/>
      </left>
      <right style="thick">
        <color rgb="FF3D2B29"/>
      </right>
    </border>
    <border>
      <left style="dotted">
        <color rgb="FFB07442"/>
      </left>
      <right style="thin">
        <color rgb="FFFFC2C2"/>
      </right>
      <top style="dotted">
        <color rgb="FFB07442"/>
      </top>
      <bottom style="dotted">
        <color rgb="FFB07442"/>
      </bottom>
    </border>
    <border>
      <left style="thin">
        <color rgb="FFFFC2C2"/>
      </left>
      <top style="dotted">
        <color rgb="FFB07442"/>
      </top>
      <bottom style="dotted">
        <color rgb="FFB07442"/>
      </bottom>
    </border>
    <border>
      <left style="thick">
        <color rgb="FF3D2B29"/>
      </left>
      <top style="thin">
        <color rgb="FF3D2B29"/>
      </top>
      <bottom style="thick">
        <color rgb="FF3D2B29"/>
      </bottom>
    </border>
    <border>
      <left style="medium">
        <color rgb="FF3D2B29"/>
      </left>
      <right style="thin">
        <color rgb="FF3D2B29"/>
      </right>
      <bottom style="thin">
        <color rgb="FF3D2B29"/>
      </bottom>
    </border>
    <border>
      <left style="thin">
        <color rgb="FF3D2B29"/>
      </left>
      <right style="medium">
        <color rgb="FF3D2B29"/>
      </right>
      <bottom style="thin">
        <color rgb="FF3D2B29"/>
      </bottom>
    </border>
    <border>
      <left style="medium">
        <color rgb="FF3D2B29"/>
      </left>
      <top style="thin">
        <color rgb="FF3D2B29"/>
      </top>
      <bottom style="thin">
        <color rgb="FF3D2B29"/>
      </bottom>
    </border>
    <border>
      <right style="medium">
        <color rgb="FF3D2B29"/>
      </right>
      <top style="thin">
        <color rgb="FF3D2B29"/>
      </top>
      <bottom style="thin">
        <color rgb="FF3D2B29"/>
      </bottom>
    </border>
    <border>
      <left style="medium">
        <color rgb="FF3D2B29"/>
      </left>
      <right style="thin">
        <color rgb="FF3D2B29"/>
      </right>
      <top style="thin">
        <color rgb="FF3D2B29"/>
      </top>
      <bottom style="thick">
        <color rgb="FF3D2B29"/>
      </bottom>
    </border>
    <border>
      <left style="thin">
        <color rgb="FF3D2B29"/>
      </left>
      <right style="medium">
        <color rgb="FF3D2B29"/>
      </right>
      <top style="thin">
        <color rgb="FF3D2B29"/>
      </top>
      <bottom style="thick">
        <color rgb="FF3D2B29"/>
      </bottom>
    </border>
    <border>
      <left style="dotted">
        <color rgb="FFB07442"/>
      </left>
      <right style="thin">
        <color rgb="FFC2ECFF"/>
      </right>
      <top style="dotted">
        <color rgb="FFB07442"/>
      </top>
      <bottom style="dotted">
        <color rgb="FFB07442"/>
      </bottom>
    </border>
    <border>
      <left style="thin">
        <color rgb="FFC2ECFF"/>
      </left>
      <top style="dotted">
        <color rgb="FFB07442"/>
      </top>
      <bottom style="dotted">
        <color rgb="FFB07442"/>
      </bottom>
    </border>
    <border>
      <left style="thin">
        <color rgb="FF3D2B29"/>
      </left>
      <right style="thick">
        <color rgb="FF3D2B29"/>
      </right>
      <top style="thin">
        <color rgb="FF3D2B29"/>
      </top>
      <bottom style="thick">
        <color rgb="FF3D2B29"/>
      </bottom>
    </border>
    <border>
      <right style="thin">
        <color rgb="FFB07442"/>
      </right>
      <top style="thin">
        <color rgb="FFB07442"/>
      </top>
    </border>
    <border>
      <left style="thin">
        <color rgb="FFB07442"/>
      </left>
      <top style="thin">
        <color rgb="FFB07442"/>
      </top>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right style="thin">
        <color rgb="FF434343"/>
      </right>
      <top style="thin">
        <color rgb="FF434343"/>
      </top>
    </border>
    <border>
      <left style="medium">
        <color rgb="FF434343"/>
      </left>
      <right style="medium">
        <color rgb="FF434343"/>
      </right>
      <top style="medium">
        <color rgb="FF434343"/>
      </top>
      <bottom style="medium">
        <color rgb="FF434343"/>
      </bottom>
    </border>
    <border>
      <top style="medium">
        <color rgb="FF434343"/>
      </top>
      <bottom style="medium">
        <color rgb="FF434343"/>
      </bottom>
    </border>
    <border>
      <left style="thin">
        <color rgb="FFCBF6BB"/>
      </left>
      <top style="thin">
        <color rgb="FF434343"/>
      </top>
      <bottom style="medium">
        <color rgb="FF434343"/>
      </bottom>
    </border>
    <border>
      <right style="thin">
        <color rgb="FF434343"/>
      </right>
      <top style="thin">
        <color rgb="FF434343"/>
      </top>
      <bottom style="medium">
        <color rgb="FF434343"/>
      </bottom>
    </border>
    <border>
      <right style="thin">
        <color rgb="FFACB4FF"/>
      </right>
      <top style="medium">
        <color rgb="FF434343"/>
      </top>
      <bottom style="medium">
        <color rgb="FF434343"/>
      </bottom>
    </border>
    <border>
      <top style="thin">
        <color rgb="FF434343"/>
      </top>
      <bottom style="medium">
        <color rgb="FF434343"/>
      </bottom>
    </border>
    <border>
      <left style="thin">
        <color rgb="FFFFB3B3"/>
      </left>
      <top style="thin">
        <color rgb="FF434343"/>
      </top>
      <bottom style="medium">
        <color rgb="FF434343"/>
      </bottom>
    </border>
    <border>
      <left style="thin">
        <color rgb="FFFAF1B7"/>
      </left>
      <top style="thin">
        <color rgb="FF434343"/>
      </top>
      <bottom style="medium">
        <color rgb="FF434343"/>
      </bottom>
    </border>
    <border>
      <right style="medium">
        <color rgb="FF434343"/>
      </right>
      <top style="medium">
        <color rgb="FF434343"/>
      </top>
      <bottom style="medium">
        <color rgb="FF434343"/>
      </bottom>
    </border>
    <border>
      <left style="thin">
        <color rgb="FFCBF6BB"/>
      </left>
      <top style="medium">
        <color rgb="FF434343"/>
      </top>
      <bottom style="medium">
        <color rgb="FF434343"/>
      </bottom>
    </border>
    <border>
      <left style="thin">
        <color rgb="FF434343"/>
      </left>
      <right style="thin">
        <color rgb="FF434343"/>
      </right>
      <top style="medium">
        <color rgb="FF434343"/>
      </top>
      <bottom style="thin">
        <color rgb="FF434343"/>
      </bottom>
    </border>
    <border>
      <left style="thin">
        <color rgb="FFFFB3B3"/>
      </left>
      <top style="medium">
        <color rgb="FF434343"/>
      </top>
      <bottom style="medium">
        <color rgb="FF434343"/>
      </bottom>
    </border>
    <border>
      <left style="thin">
        <color rgb="FF434343"/>
      </left>
      <right style="thin">
        <color rgb="FF434343"/>
      </right>
      <top style="thin">
        <color rgb="FF434343"/>
      </top>
      <bottom style="medium">
        <color rgb="FF434343"/>
      </bottom>
    </border>
    <border>
      <left style="thin">
        <color rgb="FF434343"/>
      </left>
      <right style="thin">
        <color rgb="FF434343"/>
      </right>
      <bottom style="thin">
        <color rgb="FF434343"/>
      </bottom>
    </border>
    <border>
      <right style="thin">
        <color rgb="FFDEEEF6"/>
      </right>
      <top style="medium">
        <color rgb="FF434343"/>
      </top>
      <bottom style="medium">
        <color rgb="FF434343"/>
      </bottom>
    </border>
    <border>
      <right style="thin">
        <color rgb="FFFFF5C3"/>
      </right>
      <top style="medium">
        <color rgb="FF434343"/>
      </top>
      <bottom style="medium">
        <color rgb="FF434343"/>
      </bottom>
    </border>
    <border>
      <right style="thin">
        <color rgb="FF434343"/>
      </right>
      <bottom style="medium">
        <color rgb="FF434343"/>
      </bottom>
    </border>
    <border>
      <left style="thin">
        <color rgb="FF434343"/>
      </left>
      <top style="thin">
        <color rgb="FF434343"/>
      </top>
    </border>
    <border>
      <top style="thin">
        <color rgb="FF434343"/>
      </top>
    </border>
    <border>
      <right style="thin">
        <color rgb="FFC6C8E6"/>
      </right>
      <top style="medium">
        <color rgb="FF434343"/>
      </top>
      <bottom style="medium">
        <color rgb="FF434343"/>
      </bottom>
    </border>
    <border>
      <right style="thin">
        <color rgb="FFACE6D5"/>
      </right>
      <top style="medium">
        <color rgb="FF434343"/>
      </top>
      <bottom style="medium">
        <color rgb="FF434343"/>
      </bottom>
    </border>
    <border>
      <right style="thin">
        <color rgb="FFC5FFFF"/>
      </right>
      <top style="medium">
        <color rgb="FF434343"/>
      </top>
      <bottom style="medium">
        <color rgb="FF434343"/>
      </bottom>
    </border>
    <border>
      <right style="thin">
        <color rgb="FFEEB49C"/>
      </right>
      <top style="medium">
        <color rgb="FF434343"/>
      </top>
      <bottom style="medium">
        <color rgb="FF434343"/>
      </bottom>
    </border>
    <border>
      <right style="thin">
        <color rgb="FFD5F6C5"/>
      </right>
      <top style="medium">
        <color rgb="FF434343"/>
      </top>
      <bottom style="medium">
        <color rgb="FF434343"/>
      </bottom>
    </border>
    <border>
      <right style="thin">
        <color rgb="FFFFCDD5"/>
      </right>
      <top style="medium">
        <color rgb="FF434343"/>
      </top>
      <bottom style="medium">
        <color rgb="FF434343"/>
      </bottom>
    </border>
    <border>
      <right style="thin">
        <color rgb="FFE5CDFE"/>
      </right>
      <top style="medium">
        <color rgb="FF434343"/>
      </top>
      <bottom style="medium">
        <color rgb="FF434343"/>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EFEFEF"/>
      </bottom>
    </border>
    <border>
      <left style="thin">
        <color rgb="FFB7B7B7"/>
      </left>
      <top style="thin">
        <color rgb="FFB7B7B7"/>
      </top>
      <bottom style="thin">
        <color rgb="FFB7B7B7"/>
      </bottom>
    </border>
    <border>
      <left style="medium">
        <color rgb="FF000000"/>
      </left>
      <right style="medium">
        <color rgb="FF000000"/>
      </right>
      <top style="medium">
        <color rgb="FF000000"/>
      </top>
      <bottom style="thin">
        <color rgb="FF000000"/>
      </bottom>
    </border>
    <border>
      <top style="thin">
        <color rgb="FFB7B7B7"/>
      </top>
      <bottom style="thin">
        <color rgb="FFB7B7B7"/>
      </bottom>
    </border>
    <border>
      <left style="medium">
        <color rgb="FF232222"/>
      </left>
      <right style="medium">
        <color rgb="FF232222"/>
      </right>
      <top style="medium">
        <color rgb="FF232222"/>
      </top>
      <bottom style="thin">
        <color rgb="FF000000"/>
      </bottom>
    </border>
    <border>
      <right style="medium">
        <color rgb="FF232222"/>
      </right>
      <top style="medium">
        <color rgb="FF232222"/>
      </top>
      <bottom style="thin">
        <color rgb="FF000000"/>
      </bottom>
    </border>
    <border>
      <right style="medium">
        <color rgb="FF000000"/>
      </right>
      <top style="medium">
        <color rgb="FF000000"/>
      </top>
      <bottom style="thin">
        <color rgb="FF000000"/>
      </bottom>
    </border>
    <border>
      <left style="thin">
        <color rgb="FFEFEFEF"/>
      </left>
      <right style="thin">
        <color rgb="FFB7B7B7"/>
      </right>
      <top style="thin">
        <color rgb="FFB7B7B7"/>
      </top>
      <bottom style="thin">
        <color rgb="FFB7B7B7"/>
      </bottom>
    </border>
    <border>
      <left style="medium">
        <color rgb="FF000000"/>
      </left>
      <right style="medium">
        <color rgb="FF000000"/>
      </right>
      <top style="thin">
        <color rgb="FF000000"/>
      </top>
      <bottom style="thin">
        <color rgb="FF232222"/>
      </bottom>
    </border>
    <border>
      <left style="medium">
        <color rgb="FF232222"/>
      </left>
      <right style="medium">
        <color rgb="FF232222"/>
      </right>
      <top style="thin">
        <color rgb="FF000000"/>
      </top>
      <bottom style="thin">
        <color rgb="FF000000"/>
      </bottom>
    </border>
    <border>
      <right style="medium">
        <color rgb="FF232222"/>
      </right>
      <top style="thin">
        <color rgb="FF000000"/>
      </top>
      <bottom style="thin">
        <color rgb="FF000000"/>
      </bottom>
    </border>
    <border>
      <left style="medium">
        <color rgb="FF000000"/>
      </left>
      <right style="medium">
        <color rgb="FF000000"/>
      </right>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232222"/>
      </top>
      <bottom style="thin">
        <color rgb="FF232222"/>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232222"/>
      </top>
      <bottom style="medium">
        <color rgb="FF000000"/>
      </bottom>
    </border>
    <border>
      <left style="thin">
        <color rgb="FFB7B7B7"/>
      </left>
      <right style="thin">
        <color rgb="FFB7B7B7"/>
      </right>
      <bottom style="thin">
        <color rgb="FFB7B7B7"/>
      </bottom>
    </border>
    <border>
      <left style="medium">
        <color rgb="FF232222"/>
      </left>
      <right style="medium">
        <color rgb="FF232222"/>
      </right>
      <top style="thin">
        <color rgb="FF000000"/>
      </top>
      <bottom style="medium">
        <color rgb="FF232222"/>
      </bottom>
    </border>
    <border>
      <right style="medium">
        <color rgb="FF232222"/>
      </right>
      <top style="thin">
        <color rgb="FF000000"/>
      </top>
      <bottom style="medium">
        <color rgb="FF232222"/>
      </bottom>
    </border>
    <border>
      <left style="thin">
        <color rgb="FFEFEFEF"/>
      </left>
      <right style="thin">
        <color rgb="FFEFEFEF"/>
      </right>
      <top style="thin">
        <color rgb="FFB7B7B7"/>
      </top>
      <bottom style="thin">
        <color rgb="FFB7B7B7"/>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EFEFEF"/>
      </bottom>
    </border>
    <border>
      <right style="medium">
        <color rgb="FF000000"/>
      </right>
      <top style="thin">
        <color rgb="FF000000"/>
      </top>
    </border>
    <border>
      <right style="medium">
        <color rgb="FF000000"/>
      </right>
      <bottom style="thin">
        <color rgb="FF000000"/>
      </bottom>
    </border>
    <border>
      <left style="thin">
        <color rgb="FFB7B7B7"/>
      </left>
      <right style="thin">
        <color rgb="FFB7B7B7"/>
      </right>
      <top style="thin">
        <color rgb="FFEFEFEF"/>
      </top>
      <bottom style="thin">
        <color rgb="FFB7B7B7"/>
      </bottom>
    </border>
  </borders>
  <cellStyleXfs count="1">
    <xf borderId="0" fillId="0" fontId="0" numFmtId="0" applyAlignment="1" applyFont="1"/>
  </cellStyleXfs>
  <cellXfs count="154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2" fillId="2" fontId="2" numFmtId="49" xfId="0" applyAlignment="1" applyBorder="1" applyFont="1" applyNumberFormat="1">
      <alignment horizontal="center" readingOrder="0" shrinkToFit="0" vertical="center" wrapText="1"/>
    </xf>
    <xf borderId="3" fillId="2" fontId="2" numFmtId="49" xfId="0" applyAlignment="1" applyBorder="1" applyFont="1" applyNumberFormat="1">
      <alignment horizontal="center" readingOrder="0" shrinkToFit="0" vertical="center" wrapText="1"/>
    </xf>
    <xf borderId="4" fillId="2" fontId="2" numFmtId="49" xfId="0" applyAlignment="1" applyBorder="1" applyFont="1" applyNumberFormat="1">
      <alignment horizontal="center" readingOrder="0" shrinkToFit="0" vertical="center" wrapText="1"/>
    </xf>
    <xf borderId="1" fillId="2" fontId="3" numFmtId="49" xfId="0" applyAlignment="1" applyBorder="1" applyFont="1" applyNumberFormat="1">
      <alignment horizontal="center" readingOrder="0" shrinkToFit="0" vertical="center" wrapText="1"/>
    </xf>
    <xf borderId="5" fillId="2" fontId="2" numFmtId="49" xfId="0" applyAlignment="1" applyBorder="1" applyFont="1" applyNumberFormat="1">
      <alignment horizontal="center" readingOrder="0" shrinkToFit="0" vertical="center" wrapText="1"/>
    </xf>
    <xf borderId="0" fillId="2" fontId="4" numFmtId="49" xfId="0" applyAlignment="1" applyFont="1" applyNumberFormat="1">
      <alignment horizontal="center" readingOrder="0" shrinkToFit="0" vertical="center" wrapText="1"/>
    </xf>
    <xf borderId="6" fillId="2" fontId="2" numFmtId="49" xfId="0" applyAlignment="1" applyBorder="1" applyFont="1" applyNumberFormat="1">
      <alignment horizontal="center" readingOrder="0" shrinkToFit="0" vertical="center" wrapText="1"/>
    </xf>
    <xf borderId="7" fillId="0" fontId="5" numFmtId="0" xfId="0" applyBorder="1" applyFont="1"/>
    <xf borderId="8" fillId="2" fontId="2" numFmtId="49" xfId="0" applyAlignment="1" applyBorder="1" applyFont="1" applyNumberFormat="1">
      <alignment horizontal="center" readingOrder="0" shrinkToFit="0" vertical="center" wrapText="1"/>
    </xf>
    <xf borderId="9" fillId="2" fontId="2" numFmtId="49" xfId="0" applyAlignment="1" applyBorder="1" applyFont="1" applyNumberFormat="1">
      <alignment horizontal="center" readingOrder="0" shrinkToFit="0" vertical="center" wrapText="1"/>
    </xf>
    <xf borderId="10" fillId="2" fontId="2" numFmtId="49" xfId="0" applyAlignment="1" applyBorder="1" applyFont="1" applyNumberFormat="1">
      <alignment horizontal="center" readingOrder="0" shrinkToFit="0" vertical="center" wrapText="1"/>
    </xf>
    <xf borderId="11" fillId="3" fontId="6" numFmtId="0" xfId="0" applyAlignment="1" applyBorder="1" applyFill="1" applyFont="1">
      <alignment horizontal="center" readingOrder="0" vertical="bottom"/>
    </xf>
    <xf borderId="12" fillId="3" fontId="6" numFmtId="0" xfId="0" applyAlignment="1" applyBorder="1" applyFont="1">
      <alignment horizontal="center" readingOrder="0" vertical="bottom"/>
    </xf>
    <xf borderId="13" fillId="0" fontId="5" numFmtId="0" xfId="0" applyBorder="1" applyFont="1"/>
    <xf borderId="14" fillId="3" fontId="6" numFmtId="0" xfId="0" applyAlignment="1" applyBorder="1" applyFont="1">
      <alignment horizontal="center" vertical="bottom"/>
    </xf>
    <xf borderId="12" fillId="3" fontId="6" numFmtId="0" xfId="0" applyAlignment="1" applyBorder="1" applyFont="1">
      <alignment horizontal="left" readingOrder="0" vertical="bottom"/>
    </xf>
    <xf borderId="15" fillId="3" fontId="6" numFmtId="0" xfId="0" applyAlignment="1" applyBorder="1" applyFont="1">
      <alignment horizontal="left" readingOrder="0" vertical="bottom"/>
    </xf>
    <xf borderId="16" fillId="4" fontId="7" numFmtId="0" xfId="0" applyAlignment="1" applyBorder="1" applyFill="1" applyFont="1">
      <alignment horizontal="center" vertical="center"/>
    </xf>
    <xf borderId="17" fillId="3" fontId="6" numFmtId="0" xfId="0" applyAlignment="1" applyBorder="1" applyFont="1">
      <alignment horizontal="left" readingOrder="0" vertical="bottom"/>
    </xf>
    <xf borderId="18" fillId="5" fontId="8" numFmtId="49" xfId="0" applyAlignment="1" applyBorder="1" applyFill="1" applyFont="1" applyNumberFormat="1">
      <alignment horizontal="center" readingOrder="0" vertical="center"/>
    </xf>
    <xf borderId="19" fillId="5" fontId="9" numFmtId="0" xfId="0" applyAlignment="1" applyBorder="1" applyFont="1">
      <alignment horizontal="center" readingOrder="0" vertical="center"/>
    </xf>
    <xf borderId="20" fillId="5" fontId="8" numFmtId="0" xfId="0" applyAlignment="1" applyBorder="1" applyFont="1">
      <alignment horizontal="left" readingOrder="0" vertical="center"/>
    </xf>
    <xf borderId="20" fillId="5" fontId="8" numFmtId="0" xfId="0" applyAlignment="1" applyBorder="1" applyFont="1">
      <alignment horizontal="right" readingOrder="0" vertical="center"/>
    </xf>
    <xf borderId="21" fillId="2" fontId="8" numFmtId="0" xfId="0" applyAlignment="1" applyBorder="1" applyFont="1">
      <alignment horizontal="left" readingOrder="0" vertical="center"/>
    </xf>
    <xf borderId="15" fillId="0" fontId="5" numFmtId="0" xfId="0" applyBorder="1" applyFont="1"/>
    <xf borderId="17" fillId="0" fontId="5" numFmtId="0" xfId="0" applyBorder="1" applyFont="1"/>
    <xf borderId="22" fillId="3" fontId="7" numFmtId="0" xfId="0" applyAlignment="1" applyBorder="1" applyFont="1">
      <alignment horizontal="center" vertical="center"/>
    </xf>
    <xf borderId="23" fillId="3" fontId="7" numFmtId="0" xfId="0" applyAlignment="1" applyBorder="1" applyFont="1">
      <alignment horizontal="center" vertical="center"/>
    </xf>
    <xf borderId="24" fillId="4" fontId="7" numFmtId="0" xfId="0" applyAlignment="1" applyBorder="1" applyFont="1">
      <alignment horizontal="center" vertical="center"/>
    </xf>
    <xf borderId="25" fillId="6" fontId="8" numFmtId="49" xfId="0" applyAlignment="1" applyBorder="1" applyFill="1" applyFont="1" applyNumberFormat="1">
      <alignment horizontal="center" readingOrder="0" vertical="center"/>
    </xf>
    <xf borderId="26" fillId="6" fontId="9" numFmtId="0" xfId="0" applyAlignment="1" applyBorder="1" applyFont="1">
      <alignment horizontal="center" readingOrder="0" vertical="center"/>
    </xf>
    <xf borderId="26" fillId="6" fontId="8" numFmtId="0" xfId="0" applyAlignment="1" applyBorder="1" applyFont="1">
      <alignment horizontal="left" readingOrder="0" vertical="center"/>
    </xf>
    <xf borderId="27" fillId="6" fontId="8" numFmtId="0" xfId="0" applyAlignment="1" applyBorder="1" applyFont="1">
      <alignment horizontal="right" readingOrder="0" vertical="center"/>
    </xf>
    <xf borderId="28" fillId="3" fontId="7" numFmtId="0" xfId="0" applyAlignment="1" applyBorder="1" applyFont="1">
      <alignment horizontal="center" vertical="center"/>
    </xf>
    <xf borderId="29" fillId="3" fontId="7" numFmtId="0" xfId="0" applyAlignment="1" applyBorder="1" applyFont="1">
      <alignment horizontal="center" vertical="center"/>
    </xf>
    <xf borderId="30" fillId="0" fontId="5" numFmtId="0" xfId="0" applyBorder="1" applyFont="1"/>
    <xf borderId="31" fillId="7" fontId="8" numFmtId="49" xfId="0" applyAlignment="1" applyBorder="1" applyFill="1" applyFont="1" applyNumberFormat="1">
      <alignment horizontal="center" readingOrder="0" vertical="center"/>
    </xf>
    <xf borderId="32" fillId="7" fontId="9" numFmtId="0" xfId="0" applyAlignment="1" applyBorder="1" applyFont="1">
      <alignment horizontal="center" readingOrder="0" vertical="center"/>
    </xf>
    <xf borderId="32" fillId="7" fontId="8" numFmtId="0" xfId="0" applyAlignment="1" applyBorder="1" applyFont="1">
      <alignment horizontal="left" readingOrder="0" vertical="center"/>
    </xf>
    <xf borderId="33" fillId="7" fontId="8" numFmtId="0" xfId="0" applyAlignment="1" applyBorder="1" applyFont="1">
      <alignment horizontal="right" readingOrder="0" vertical="center"/>
    </xf>
    <xf borderId="34" fillId="8" fontId="8" numFmtId="0" xfId="0" applyAlignment="1" applyBorder="1" applyFill="1" applyFont="1">
      <alignment horizontal="left" readingOrder="0" vertical="center"/>
    </xf>
    <xf borderId="35" fillId="3" fontId="7" numFmtId="0" xfId="0" applyAlignment="1" applyBorder="1" applyFont="1">
      <alignment horizontal="center" vertical="center"/>
    </xf>
    <xf borderId="36" fillId="3" fontId="7" numFmtId="0" xfId="0" applyAlignment="1" applyBorder="1" applyFont="1">
      <alignment horizontal="center" vertical="center"/>
    </xf>
    <xf borderId="37" fillId="9" fontId="8" numFmtId="49" xfId="0" applyAlignment="1" applyBorder="1" applyFill="1" applyFont="1" applyNumberFormat="1">
      <alignment horizontal="center" readingOrder="0" vertical="center"/>
    </xf>
    <xf borderId="38" fillId="9" fontId="9" numFmtId="0" xfId="0" applyAlignment="1" applyBorder="1" applyFont="1">
      <alignment horizontal="center" readingOrder="0" vertical="center"/>
    </xf>
    <xf borderId="38" fillId="9" fontId="8" numFmtId="0" xfId="0" applyAlignment="1" applyBorder="1" applyFont="1">
      <alignment horizontal="left" readingOrder="0" vertical="center"/>
    </xf>
    <xf borderId="39" fillId="9" fontId="8" numFmtId="0" xfId="0" applyAlignment="1" applyBorder="1" applyFont="1">
      <alignment horizontal="right" readingOrder="0" vertical="center"/>
    </xf>
    <xf borderId="40" fillId="0" fontId="5" numFmtId="0" xfId="0" applyBorder="1" applyFont="1"/>
    <xf borderId="41" fillId="3" fontId="7" numFmtId="0" xfId="0" applyAlignment="1" applyBorder="1" applyFont="1">
      <alignment horizontal="center" vertical="center"/>
    </xf>
    <xf borderId="42" fillId="10" fontId="8" numFmtId="49" xfId="0" applyAlignment="1" applyBorder="1" applyFill="1" applyFont="1" applyNumberFormat="1">
      <alignment horizontal="center" readingOrder="0" vertical="center"/>
    </xf>
    <xf borderId="43" fillId="10" fontId="9" numFmtId="0" xfId="0" applyAlignment="1" applyBorder="1" applyFont="1">
      <alignment horizontal="center" readingOrder="0" vertical="center"/>
    </xf>
    <xf borderId="43" fillId="10" fontId="8" numFmtId="0" xfId="0" applyAlignment="1" applyBorder="1" applyFont="1">
      <alignment horizontal="left" readingOrder="0" vertical="center"/>
    </xf>
    <xf borderId="44" fillId="10" fontId="8" numFmtId="0" xfId="0" applyAlignment="1" applyBorder="1" applyFont="1">
      <alignment horizontal="right" readingOrder="0" vertical="center"/>
    </xf>
    <xf borderId="45" fillId="11" fontId="8" numFmtId="49" xfId="0" applyAlignment="1" applyBorder="1" applyFill="1" applyFont="1" applyNumberFormat="1">
      <alignment horizontal="center" readingOrder="0" vertical="center"/>
    </xf>
    <xf borderId="46" fillId="11" fontId="9" numFmtId="0" xfId="0" applyAlignment="1" applyBorder="1" applyFont="1">
      <alignment horizontal="center" readingOrder="0" vertical="center"/>
    </xf>
    <xf borderId="46" fillId="11" fontId="8" numFmtId="0" xfId="0" applyAlignment="1" applyBorder="1" applyFont="1">
      <alignment horizontal="left" readingOrder="0" vertical="center"/>
    </xf>
    <xf borderId="33" fillId="11" fontId="8" numFmtId="0" xfId="0" applyAlignment="1" applyBorder="1" applyFont="1">
      <alignment horizontal="right" readingOrder="0" vertical="center"/>
    </xf>
    <xf borderId="47" fillId="3" fontId="7" numFmtId="0" xfId="0" applyAlignment="1" applyBorder="1" applyFont="1">
      <alignment horizontal="center" vertical="center"/>
    </xf>
    <xf borderId="48" fillId="3" fontId="7" numFmtId="0" xfId="0" applyAlignment="1" applyBorder="1" applyFont="1">
      <alignment horizontal="center" vertical="center"/>
    </xf>
    <xf borderId="49" fillId="12" fontId="8" numFmtId="49" xfId="0" applyAlignment="1" applyBorder="1" applyFill="1" applyFont="1" applyNumberFormat="1">
      <alignment horizontal="center" readingOrder="0" vertical="center"/>
    </xf>
    <xf borderId="50" fillId="12" fontId="9" numFmtId="0" xfId="0" applyAlignment="1" applyBorder="1" applyFont="1">
      <alignment horizontal="center" readingOrder="0" vertical="center"/>
    </xf>
    <xf borderId="50" fillId="12" fontId="8" numFmtId="0" xfId="0" applyAlignment="1" applyBorder="1" applyFont="1">
      <alignment horizontal="left" readingOrder="0" vertical="center"/>
    </xf>
    <xf borderId="51" fillId="12" fontId="8" numFmtId="0" xfId="0" applyAlignment="1" applyBorder="1" applyFont="1">
      <alignment horizontal="right" readingOrder="0" vertical="center"/>
    </xf>
    <xf borderId="52" fillId="13" fontId="8" numFmtId="49" xfId="0" applyAlignment="1" applyBorder="1" applyFill="1" applyFont="1" applyNumberFormat="1">
      <alignment horizontal="center" readingOrder="0" vertical="center"/>
    </xf>
    <xf borderId="53" fillId="13" fontId="9" numFmtId="0" xfId="0" applyAlignment="1" applyBorder="1" applyFont="1">
      <alignment horizontal="center" readingOrder="0" vertical="center"/>
    </xf>
    <xf borderId="53" fillId="13" fontId="8" numFmtId="0" xfId="0" applyAlignment="1" applyBorder="1" applyFont="1">
      <alignment horizontal="left" readingOrder="0" vertical="center"/>
    </xf>
    <xf borderId="54" fillId="13" fontId="8" numFmtId="0" xfId="0" applyAlignment="1" applyBorder="1" applyFont="1">
      <alignment horizontal="right" readingOrder="0" vertical="center"/>
    </xf>
    <xf borderId="30" fillId="3" fontId="7" numFmtId="0" xfId="0" applyAlignment="1" applyBorder="1" applyFont="1">
      <alignment horizontal="center" vertical="center"/>
    </xf>
    <xf borderId="55" fillId="14" fontId="8" numFmtId="49" xfId="0" applyAlignment="1" applyBorder="1" applyFill="1" applyFont="1" applyNumberFormat="1">
      <alignment horizontal="center" readingOrder="0" vertical="center"/>
    </xf>
    <xf borderId="56" fillId="14" fontId="9" numFmtId="0" xfId="0" applyAlignment="1" applyBorder="1" applyFont="1">
      <alignment horizontal="center" readingOrder="0" vertical="center"/>
    </xf>
    <xf borderId="56" fillId="14" fontId="8" numFmtId="0" xfId="0" applyAlignment="1" applyBorder="1" applyFont="1">
      <alignment horizontal="left" readingOrder="0" vertical="center"/>
    </xf>
    <xf borderId="57" fillId="14" fontId="8" numFmtId="0" xfId="0" applyAlignment="1" applyBorder="1" applyFont="1">
      <alignment horizontal="right" readingOrder="0" vertical="center"/>
    </xf>
    <xf borderId="58" fillId="15" fontId="8" numFmtId="49" xfId="0" applyAlignment="1" applyBorder="1" applyFill="1" applyFont="1" applyNumberFormat="1">
      <alignment horizontal="center" readingOrder="0" vertical="center"/>
    </xf>
    <xf borderId="59" fillId="15" fontId="9" numFmtId="0" xfId="0" applyAlignment="1" applyBorder="1" applyFont="1">
      <alignment horizontal="center" readingOrder="0" vertical="center"/>
    </xf>
    <xf borderId="59" fillId="15" fontId="8" numFmtId="0" xfId="0" applyAlignment="1" applyBorder="1" applyFont="1">
      <alignment horizontal="left" readingOrder="0" vertical="center"/>
    </xf>
    <xf borderId="60" fillId="15" fontId="8" numFmtId="0" xfId="0" applyAlignment="1" applyBorder="1" applyFont="1">
      <alignment horizontal="right" readingOrder="0" vertical="center"/>
    </xf>
    <xf borderId="61" fillId="2" fontId="8" numFmtId="0" xfId="0" applyAlignment="1" applyBorder="1" applyFont="1">
      <alignment horizontal="left" readingOrder="0" vertical="center"/>
    </xf>
    <xf borderId="62" fillId="0" fontId="5" numFmtId="0" xfId="0" applyBorder="1" applyFont="1"/>
    <xf borderId="63" fillId="0" fontId="5" numFmtId="0" xfId="0" applyBorder="1" applyFont="1"/>
    <xf borderId="64" fillId="16" fontId="8" numFmtId="49" xfId="0" applyAlignment="1" applyBorder="1" applyFill="1" applyFont="1" applyNumberFormat="1">
      <alignment horizontal="center" readingOrder="0" vertical="center"/>
    </xf>
    <xf borderId="65" fillId="16" fontId="9" numFmtId="0" xfId="0" applyAlignment="1" applyBorder="1" applyFont="1">
      <alignment horizontal="center" readingOrder="0" vertical="center"/>
    </xf>
    <xf borderId="65" fillId="16" fontId="8" numFmtId="0" xfId="0" applyAlignment="1" applyBorder="1" applyFont="1">
      <alignment horizontal="left" readingOrder="0" vertical="center"/>
    </xf>
    <xf borderId="66" fillId="16" fontId="8" numFmtId="0" xfId="0" applyAlignment="1" applyBorder="1" applyFont="1">
      <alignment horizontal="right" readingOrder="0" vertical="center"/>
    </xf>
    <xf borderId="67" fillId="4" fontId="7" numFmtId="0" xfId="0" applyAlignment="1" applyBorder="1" applyFont="1">
      <alignment horizontal="center" vertical="center"/>
    </xf>
    <xf borderId="34" fillId="8" fontId="10" numFmtId="0" xfId="0" applyAlignment="1" applyBorder="1" applyFont="1">
      <alignment horizontal="left" readingOrder="0" vertical="center"/>
    </xf>
    <xf borderId="68" fillId="3" fontId="7" numFmtId="0" xfId="0" applyAlignment="1" applyBorder="1" applyFont="1">
      <alignment horizontal="center" vertical="center"/>
    </xf>
    <xf borderId="16" fillId="4" fontId="11" numFmtId="0" xfId="0" applyAlignment="1" applyBorder="1" applyFont="1">
      <alignment horizontal="center" vertical="center"/>
    </xf>
    <xf borderId="69" fillId="4" fontId="11" numFmtId="0" xfId="0" applyAlignment="1" applyBorder="1" applyFont="1">
      <alignment horizontal="center" vertical="center"/>
    </xf>
    <xf borderId="24" fillId="4" fontId="11" numFmtId="0" xfId="0" applyAlignment="1" applyBorder="1" applyFont="1">
      <alignment horizontal="center" vertical="center"/>
    </xf>
    <xf borderId="70" fillId="4" fontId="11" numFmtId="0" xfId="0" applyAlignment="1" applyBorder="1" applyFont="1">
      <alignment horizontal="center" vertical="center"/>
    </xf>
    <xf borderId="71" fillId="17" fontId="8" numFmtId="49" xfId="0" applyAlignment="1" applyBorder="1" applyFill="1" applyFont="1" applyNumberFormat="1">
      <alignment horizontal="center" readingOrder="0" vertical="center"/>
    </xf>
    <xf borderId="72" fillId="17" fontId="9" numFmtId="0" xfId="0" applyAlignment="1" applyBorder="1" applyFont="1">
      <alignment horizontal="center" readingOrder="0" vertical="center"/>
    </xf>
    <xf borderId="72" fillId="17" fontId="8" numFmtId="0" xfId="0" applyAlignment="1" applyBorder="1" applyFont="1">
      <alignment horizontal="left" readingOrder="0" vertical="center"/>
    </xf>
    <xf borderId="73" fillId="17" fontId="8" numFmtId="0" xfId="0" applyAlignment="1" applyBorder="1" applyFont="1">
      <alignment horizontal="right" readingOrder="0" vertical="center"/>
    </xf>
    <xf borderId="74" fillId="4" fontId="12" numFmtId="49" xfId="0" applyAlignment="1" applyBorder="1" applyFont="1" applyNumberFormat="1">
      <alignment vertical="bottom"/>
    </xf>
    <xf borderId="40" fillId="4" fontId="12" numFmtId="0" xfId="0" applyAlignment="1" applyBorder="1" applyFont="1">
      <alignment vertical="bottom"/>
    </xf>
    <xf borderId="75" fillId="4" fontId="12" numFmtId="0" xfId="0" applyAlignment="1" applyBorder="1" applyFont="1">
      <alignment vertical="bottom"/>
    </xf>
    <xf borderId="15" fillId="8" fontId="13" numFmtId="0" xfId="0" applyAlignment="1" applyBorder="1" applyFont="1">
      <alignment vertical="bottom"/>
    </xf>
    <xf borderId="22" fillId="3" fontId="12" numFmtId="0" xfId="0" applyAlignment="1" applyBorder="1" applyFont="1">
      <alignment vertical="bottom"/>
    </xf>
    <xf borderId="35" fillId="3" fontId="12" numFmtId="0" xfId="0" applyAlignment="1" applyBorder="1" applyFont="1">
      <alignment vertical="bottom"/>
    </xf>
    <xf borderId="76" fillId="3" fontId="12" numFmtId="0" xfId="0" applyAlignment="1" applyBorder="1" applyFont="1">
      <alignment vertical="bottom"/>
    </xf>
    <xf borderId="77" fillId="4" fontId="12" numFmtId="0" xfId="0" applyAlignment="1" applyBorder="1" applyFont="1">
      <alignment vertical="bottom"/>
    </xf>
    <xf borderId="78" fillId="4" fontId="12" numFmtId="0" xfId="0" applyAlignment="1" applyBorder="1" applyFont="1">
      <alignment vertical="bottom"/>
    </xf>
    <xf borderId="79" fillId="18" fontId="8" numFmtId="49" xfId="0" applyAlignment="1" applyBorder="1" applyFill="1" applyFont="1" applyNumberFormat="1">
      <alignment horizontal="center" readingOrder="0" vertical="center"/>
    </xf>
    <xf borderId="80" fillId="18" fontId="9" numFmtId="0" xfId="0" applyAlignment="1" applyBorder="1" applyFont="1">
      <alignment horizontal="center" readingOrder="0" vertical="center"/>
    </xf>
    <xf borderId="80" fillId="18" fontId="8" numFmtId="0" xfId="0" applyAlignment="1" applyBorder="1" applyFont="1">
      <alignment horizontal="left" readingOrder="0" vertical="center"/>
    </xf>
    <xf borderId="81" fillId="18" fontId="8" numFmtId="0" xfId="0" applyAlignment="1" applyBorder="1" applyFont="1">
      <alignment horizontal="right" readingOrder="0" vertical="center"/>
    </xf>
    <xf borderId="74" fillId="4" fontId="12" numFmtId="49" xfId="0" applyBorder="1" applyFont="1" applyNumberFormat="1"/>
    <xf borderId="40" fillId="4" fontId="12" numFmtId="0" xfId="0" applyBorder="1" applyFont="1"/>
    <xf borderId="75" fillId="4" fontId="12" numFmtId="0" xfId="0" applyBorder="1" applyFont="1"/>
    <xf borderId="22" fillId="3" fontId="12" numFmtId="0" xfId="0" applyBorder="1" applyFont="1"/>
    <xf borderId="35" fillId="3" fontId="12" numFmtId="0" xfId="0" applyBorder="1" applyFont="1"/>
    <xf borderId="76" fillId="3" fontId="12" numFmtId="0" xfId="0" applyBorder="1" applyFont="1"/>
    <xf borderId="77" fillId="4" fontId="12" numFmtId="0" xfId="0" applyBorder="1" applyFont="1"/>
    <xf borderId="78" fillId="4" fontId="12" numFmtId="0" xfId="0" applyBorder="1" applyFont="1"/>
    <xf borderId="82" fillId="19" fontId="8" numFmtId="49" xfId="0" applyAlignment="1" applyBorder="1" applyFill="1" applyFont="1" applyNumberFormat="1">
      <alignment horizontal="center" readingOrder="0" vertical="center"/>
    </xf>
    <xf borderId="83" fillId="19" fontId="9" numFmtId="0" xfId="0" applyAlignment="1" applyBorder="1" applyFont="1">
      <alignment horizontal="center" readingOrder="0" vertical="center"/>
    </xf>
    <xf borderId="83" fillId="19" fontId="8" numFmtId="0" xfId="0" applyAlignment="1" applyBorder="1" applyFont="1">
      <alignment horizontal="left" readingOrder="0" vertical="center"/>
    </xf>
    <xf borderId="84" fillId="19" fontId="8" numFmtId="0" xfId="0" applyAlignment="1" applyBorder="1" applyFont="1">
      <alignment horizontal="right" readingOrder="0" vertical="center"/>
    </xf>
    <xf borderId="85" fillId="20" fontId="8" numFmtId="49" xfId="0" applyAlignment="1" applyBorder="1" applyFill="1" applyFont="1" applyNumberFormat="1">
      <alignment horizontal="center" readingOrder="0" vertical="center"/>
    </xf>
    <xf borderId="86" fillId="20" fontId="9" numFmtId="0" xfId="0" applyAlignment="1" applyBorder="1" applyFont="1">
      <alignment horizontal="center" readingOrder="0" vertical="center"/>
    </xf>
    <xf borderId="86" fillId="20" fontId="8" numFmtId="0" xfId="0" applyAlignment="1" applyBorder="1" applyFont="1">
      <alignment horizontal="left" readingOrder="0" vertical="center"/>
    </xf>
    <xf borderId="87" fillId="20" fontId="8" numFmtId="0" xfId="0" applyAlignment="1" applyBorder="1" applyFont="1">
      <alignment horizontal="right" readingOrder="0" vertical="center"/>
    </xf>
    <xf borderId="88" fillId="21" fontId="8" numFmtId="49" xfId="0" applyAlignment="1" applyBorder="1" applyFill="1" applyFont="1" applyNumberFormat="1">
      <alignment horizontal="center" readingOrder="0" vertical="center"/>
    </xf>
    <xf borderId="89" fillId="21" fontId="9" numFmtId="0" xfId="0" applyAlignment="1" applyBorder="1" applyFont="1">
      <alignment horizontal="center" readingOrder="0" vertical="center"/>
    </xf>
    <xf borderId="89" fillId="21" fontId="8" numFmtId="0" xfId="0" applyAlignment="1" applyBorder="1" applyFont="1">
      <alignment horizontal="left" readingOrder="0" vertical="center"/>
    </xf>
    <xf borderId="90" fillId="21" fontId="8" numFmtId="0" xfId="0" applyAlignment="1" applyBorder="1" applyFont="1">
      <alignment horizontal="right" readingOrder="0" vertical="center"/>
    </xf>
    <xf borderId="91" fillId="22" fontId="8" numFmtId="49" xfId="0" applyAlignment="1" applyBorder="1" applyFill="1" applyFont="1" applyNumberFormat="1">
      <alignment horizontal="center" readingOrder="0" vertical="center"/>
    </xf>
    <xf borderId="92" fillId="22" fontId="9" numFmtId="0" xfId="0" applyAlignment="1" applyBorder="1" applyFont="1">
      <alignment horizontal="center" readingOrder="0" vertical="center"/>
    </xf>
    <xf borderId="92" fillId="22" fontId="8" numFmtId="0" xfId="0" applyAlignment="1" applyBorder="1" applyFont="1">
      <alignment horizontal="left" readingOrder="0" vertical="center"/>
    </xf>
    <xf borderId="93" fillId="22" fontId="8" numFmtId="0" xfId="0" applyAlignment="1" applyBorder="1" applyFont="1">
      <alignment horizontal="right" readingOrder="0" vertical="center"/>
    </xf>
    <xf borderId="94" fillId="23" fontId="8" numFmtId="49" xfId="0" applyAlignment="1" applyBorder="1" applyFill="1" applyFont="1" applyNumberFormat="1">
      <alignment horizontal="center" readingOrder="0" vertical="center"/>
    </xf>
    <xf borderId="95" fillId="23" fontId="9" numFmtId="0" xfId="0" applyAlignment="1" applyBorder="1" applyFont="1">
      <alignment horizontal="center" readingOrder="0" vertical="center"/>
    </xf>
    <xf borderId="95" fillId="23" fontId="8" numFmtId="0" xfId="0" applyAlignment="1" applyBorder="1" applyFont="1">
      <alignment horizontal="left" readingOrder="0" vertical="center"/>
    </xf>
    <xf borderId="96" fillId="23" fontId="8" numFmtId="0" xfId="0" applyAlignment="1" applyBorder="1" applyFont="1">
      <alignment horizontal="right" readingOrder="0" vertical="center"/>
    </xf>
    <xf borderId="97" fillId="2" fontId="8" numFmtId="0" xfId="0" applyAlignment="1" applyBorder="1" applyFont="1">
      <alignment horizontal="left" readingOrder="0" vertical="center"/>
    </xf>
    <xf borderId="98" fillId="0" fontId="5" numFmtId="0" xfId="0" applyBorder="1" applyFont="1"/>
    <xf borderId="99" fillId="0" fontId="5" numFmtId="0" xfId="0" applyBorder="1" applyFont="1"/>
    <xf borderId="100" fillId="2" fontId="8" numFmtId="0" xfId="0" applyAlignment="1" applyBorder="1" applyFont="1">
      <alignment horizontal="left" readingOrder="0" vertical="center"/>
    </xf>
    <xf borderId="101" fillId="0" fontId="5" numFmtId="0" xfId="0" applyBorder="1" applyFont="1"/>
    <xf borderId="102" fillId="0" fontId="5" numFmtId="0" xfId="0" applyBorder="1" applyFont="1"/>
    <xf borderId="103" fillId="8" fontId="8" numFmtId="0" xfId="0" applyAlignment="1" applyBorder="1" applyFont="1">
      <alignment horizontal="left" readingOrder="0" vertical="center"/>
    </xf>
    <xf borderId="104" fillId="3" fontId="7" numFmtId="0" xfId="0" applyAlignment="1" applyBorder="1" applyFont="1">
      <alignment horizontal="center" vertical="center"/>
    </xf>
    <xf borderId="105" fillId="3" fontId="7" numFmtId="0" xfId="0" applyAlignment="1" applyBorder="1" applyFont="1">
      <alignment horizontal="center" vertical="center"/>
    </xf>
    <xf borderId="74" fillId="4" fontId="7" numFmtId="0" xfId="0" applyAlignment="1" applyBorder="1" applyFont="1">
      <alignment horizontal="center" vertical="center"/>
    </xf>
    <xf borderId="106" fillId="4" fontId="7" numFmtId="0" xfId="0" applyAlignment="1" applyBorder="1" applyFont="1">
      <alignment horizontal="center" vertical="center"/>
    </xf>
    <xf borderId="107" fillId="4" fontId="7" numFmtId="0" xfId="0" applyAlignment="1" applyBorder="1" applyFont="1">
      <alignment horizontal="center" vertical="center"/>
    </xf>
    <xf borderId="108" fillId="8" fontId="13" numFmtId="0" xfId="0" applyAlignment="1" applyBorder="1" applyFont="1">
      <alignment horizontal="left" readingOrder="0" vertical="bottom"/>
    </xf>
    <xf borderId="21" fillId="2" fontId="10" numFmtId="0" xfId="0" applyAlignment="1" applyBorder="1" applyFont="1">
      <alignment horizontal="left" readingOrder="0" vertical="center"/>
    </xf>
    <xf borderId="109" fillId="8" fontId="8" numFmtId="0" xfId="0" applyAlignment="1" applyBorder="1" applyFont="1">
      <alignment horizontal="left" readingOrder="0" vertical="center"/>
    </xf>
    <xf borderId="110" fillId="0" fontId="5" numFmtId="0" xfId="0" applyBorder="1" applyFont="1"/>
    <xf borderId="111" fillId="4" fontId="7" numFmtId="0" xfId="0" applyAlignment="1" applyBorder="1" applyFont="1">
      <alignment horizontal="center" vertical="center"/>
    </xf>
    <xf borderId="112" fillId="2" fontId="13" numFmtId="0" xfId="0" applyAlignment="1" applyBorder="1" applyFont="1">
      <alignment horizontal="left" readingOrder="0" vertical="bottom"/>
    </xf>
    <xf borderId="113" fillId="3" fontId="7" numFmtId="0" xfId="0" applyAlignment="1" applyBorder="1" applyFont="1">
      <alignment horizontal="center" vertical="center"/>
    </xf>
    <xf borderId="114" fillId="4" fontId="11" numFmtId="0" xfId="0" applyAlignment="1" applyBorder="1" applyFont="1">
      <alignment horizontal="center" vertical="center"/>
    </xf>
    <xf borderId="115" fillId="4" fontId="11" numFmtId="0" xfId="0" applyAlignment="1" applyBorder="1" applyFont="1">
      <alignment horizontal="center" vertical="center"/>
    </xf>
    <xf borderId="116" fillId="3" fontId="6" numFmtId="0" xfId="0" applyAlignment="1" applyBorder="1" applyFont="1">
      <alignment horizontal="right" readingOrder="0" vertical="center"/>
    </xf>
    <xf borderId="12" fillId="3" fontId="6" numFmtId="0" xfId="0" applyAlignment="1" applyBorder="1" applyFont="1">
      <alignment horizontal="center" readingOrder="0" vertical="center"/>
    </xf>
    <xf borderId="14" fillId="3" fontId="14" numFmtId="0" xfId="0" applyAlignment="1" applyBorder="1" applyFont="1">
      <alignment horizontal="center" vertical="center"/>
    </xf>
    <xf borderId="24" fillId="4" fontId="14" numFmtId="0" xfId="0" applyAlignment="1" applyBorder="1" applyFont="1">
      <alignment horizontal="center" vertical="center"/>
    </xf>
    <xf borderId="117" fillId="4" fontId="15" numFmtId="0" xfId="0" applyBorder="1" applyFont="1"/>
    <xf borderId="24" fillId="4" fontId="15" numFmtId="0" xfId="0" applyBorder="1" applyFont="1"/>
    <xf borderId="24" fillId="4" fontId="15" numFmtId="0" xfId="0" applyBorder="1" applyFont="1"/>
    <xf borderId="77" fillId="4" fontId="15" numFmtId="0" xfId="0" applyBorder="1" applyFont="1"/>
    <xf borderId="118" fillId="4" fontId="16" numFmtId="0" xfId="0" applyAlignment="1" applyBorder="1" applyFont="1">
      <alignment horizontal="center" readingOrder="0" vertical="center"/>
    </xf>
    <xf borderId="119" fillId="0" fontId="5" numFmtId="0" xfId="0" applyBorder="1" applyFont="1"/>
    <xf borderId="77" fillId="0" fontId="5" numFmtId="0" xfId="0" applyBorder="1" applyFont="1"/>
    <xf borderId="120" fillId="4" fontId="17" numFmtId="0" xfId="0" applyAlignment="1" applyBorder="1" applyFont="1">
      <alignment horizontal="right" readingOrder="0" vertical="center"/>
    </xf>
    <xf borderId="121" fillId="4" fontId="17" numFmtId="0" xfId="0" applyAlignment="1" applyBorder="1" applyFont="1">
      <alignment horizontal="center" readingOrder="0" vertical="center"/>
    </xf>
    <xf borderId="122" fillId="4" fontId="17" numFmtId="0" xfId="0" applyAlignment="1" applyBorder="1" applyFont="1">
      <alignment horizontal="center" readingOrder="0" vertical="center"/>
    </xf>
    <xf borderId="122" fillId="4" fontId="17" numFmtId="0" xfId="0" applyAlignment="1" applyBorder="1" applyFont="1">
      <alignment horizontal="center" vertical="center"/>
    </xf>
    <xf borderId="123" fillId="4" fontId="8" numFmtId="0" xfId="0" applyAlignment="1" applyBorder="1" applyFont="1">
      <alignment horizontal="center" vertical="center"/>
    </xf>
    <xf borderId="122" fillId="4" fontId="8" numFmtId="0" xfId="0" applyAlignment="1" applyBorder="1" applyFont="1">
      <alignment horizontal="center" vertical="center"/>
    </xf>
    <xf borderId="124" fillId="24" fontId="17" numFmtId="0" xfId="0" applyAlignment="1" applyBorder="1" applyFill="1" applyFont="1">
      <alignment horizontal="right" readingOrder="0" vertical="center"/>
    </xf>
    <xf borderId="125" fillId="24" fontId="17" numFmtId="0" xfId="0" applyAlignment="1" applyBorder="1" applyFont="1">
      <alignment horizontal="center" readingOrder="0" vertical="center"/>
    </xf>
    <xf borderId="125" fillId="24" fontId="17" numFmtId="0" xfId="0" applyAlignment="1" applyBorder="1" applyFont="1">
      <alignment horizontal="center" vertical="center"/>
    </xf>
    <xf borderId="126" fillId="24" fontId="8" numFmtId="0" xfId="0" applyAlignment="1" applyBorder="1" applyFont="1">
      <alignment horizontal="center" vertical="center"/>
    </xf>
    <xf borderId="125" fillId="24" fontId="8" numFmtId="0" xfId="0" applyAlignment="1" applyBorder="1" applyFont="1">
      <alignment horizontal="center" vertical="center"/>
    </xf>
    <xf borderId="127" fillId="24" fontId="17" numFmtId="0" xfId="0" applyAlignment="1" applyBorder="1" applyFont="1">
      <alignment horizontal="right" readingOrder="0" vertical="center"/>
    </xf>
    <xf borderId="128" fillId="0" fontId="5" numFmtId="0" xfId="0" applyBorder="1" applyFont="1"/>
    <xf borderId="129" fillId="24" fontId="17" numFmtId="0" xfId="0" applyAlignment="1" applyBorder="1" applyFont="1">
      <alignment horizontal="center" readingOrder="0" vertical="center"/>
    </xf>
    <xf borderId="130" fillId="24" fontId="17" numFmtId="0" xfId="0" applyAlignment="1" applyBorder="1" applyFont="1">
      <alignment horizontal="center" vertical="center"/>
    </xf>
    <xf borderId="131" fillId="25" fontId="8" numFmtId="0" xfId="0" applyAlignment="1" applyBorder="1" applyFill="1" applyFont="1">
      <alignment horizontal="center" vertical="center"/>
    </xf>
    <xf borderId="132" fillId="25" fontId="8" numFmtId="0" xfId="0" applyAlignment="1" applyBorder="1" applyFont="1">
      <alignment horizontal="center" vertical="center"/>
    </xf>
    <xf borderId="133" fillId="25" fontId="8" numFmtId="0" xfId="0" applyAlignment="1" applyBorder="1" applyFont="1">
      <alignment horizontal="center" vertical="center"/>
    </xf>
    <xf borderId="134" fillId="24" fontId="8" numFmtId="0" xfId="0" applyAlignment="1" applyBorder="1" applyFont="1">
      <alignment horizontal="center" vertical="center"/>
    </xf>
    <xf borderId="129" fillId="24" fontId="8" numFmtId="0" xfId="0" applyAlignment="1" applyBorder="1" applyFont="1">
      <alignment horizontal="center" vertical="center"/>
    </xf>
    <xf borderId="135" fillId="24" fontId="8" numFmtId="0" xfId="0" applyAlignment="1" applyBorder="1" applyFont="1">
      <alignment horizontal="center" vertical="center"/>
    </xf>
    <xf borderId="136" fillId="0" fontId="5" numFmtId="0" xfId="0" applyBorder="1" applyFont="1"/>
    <xf borderId="137" fillId="0" fontId="5" numFmtId="0" xfId="0" applyBorder="1" applyFont="1"/>
    <xf borderId="138" fillId="0" fontId="5" numFmtId="0" xfId="0" applyBorder="1" applyFont="1"/>
    <xf borderId="139" fillId="25" fontId="8" numFmtId="0" xfId="0" applyAlignment="1" applyBorder="1" applyFont="1">
      <alignment horizontal="center" vertical="center"/>
    </xf>
    <xf borderId="140" fillId="26" fontId="8" numFmtId="0" xfId="0" applyAlignment="1" applyBorder="1" applyFill="1" applyFont="1">
      <alignment horizontal="center" vertical="center"/>
    </xf>
    <xf borderId="141" fillId="0" fontId="5" numFmtId="0" xfId="0" applyBorder="1" applyFont="1"/>
    <xf borderId="142" fillId="0" fontId="5" numFmtId="0" xfId="0" applyBorder="1" applyFont="1"/>
    <xf borderId="143" fillId="25" fontId="8" numFmtId="0" xfId="0" applyAlignment="1" applyBorder="1" applyFont="1">
      <alignment horizontal="center" vertical="center"/>
    </xf>
    <xf borderId="144" fillId="24" fontId="8" numFmtId="0" xfId="0" applyAlignment="1" applyBorder="1" applyFont="1">
      <alignment horizontal="center" vertical="center"/>
    </xf>
    <xf borderId="145" fillId="27" fontId="8" numFmtId="0" xfId="0" applyAlignment="1" applyBorder="1" applyFill="1" applyFont="1">
      <alignment horizontal="center" vertical="center"/>
    </xf>
    <xf borderId="146" fillId="27" fontId="8" numFmtId="0" xfId="0" applyAlignment="1" applyBorder="1" applyFont="1">
      <alignment horizontal="center" vertical="center"/>
    </xf>
    <xf borderId="147" fillId="27" fontId="8" numFmtId="0" xfId="0" applyAlignment="1" applyBorder="1" applyFont="1">
      <alignment horizontal="center" vertical="center"/>
    </xf>
    <xf borderId="148" fillId="26" fontId="18" numFmtId="0" xfId="0" applyAlignment="1" applyBorder="1" applyFont="1">
      <alignment horizontal="center" vertical="center"/>
    </xf>
    <xf borderId="149" fillId="28" fontId="18" numFmtId="0" xfId="0" applyAlignment="1" applyBorder="1" applyFill="1" applyFont="1">
      <alignment horizontal="center" readingOrder="0" vertical="center"/>
    </xf>
    <xf borderId="150" fillId="26" fontId="18" numFmtId="0" xfId="0" applyAlignment="1" applyBorder="1" applyFont="1">
      <alignment horizontal="center" vertical="center"/>
    </xf>
    <xf borderId="143" fillId="25" fontId="8" numFmtId="0" xfId="0" applyAlignment="1" applyBorder="1" applyFont="1">
      <alignment horizontal="center" vertical="bottom"/>
    </xf>
    <xf borderId="144" fillId="24" fontId="8" numFmtId="0" xfId="0" applyAlignment="1" applyBorder="1" applyFont="1">
      <alignment horizontal="center" vertical="bottom"/>
    </xf>
    <xf borderId="151" fillId="27" fontId="8" numFmtId="0" xfId="0" applyAlignment="1" applyBorder="1" applyFont="1">
      <alignment horizontal="center" vertical="bottom"/>
    </xf>
    <xf borderId="152" fillId="28" fontId="8" numFmtId="0" xfId="0" applyAlignment="1" applyBorder="1" applyFont="1">
      <alignment horizontal="center" readingOrder="0" vertical="center"/>
    </xf>
    <xf borderId="153" fillId="28" fontId="18" numFmtId="0" xfId="0" applyAlignment="1" applyBorder="1" applyFont="1">
      <alignment horizontal="left" readingOrder="0" vertical="bottom"/>
    </xf>
    <xf borderId="154" fillId="27" fontId="8" numFmtId="0" xfId="0" applyAlignment="1" applyBorder="1" applyFont="1">
      <alignment horizontal="center" vertical="center"/>
    </xf>
    <xf borderId="149" fillId="26" fontId="18" numFmtId="0" xfId="0" applyAlignment="1" applyBorder="1" applyFont="1">
      <alignment horizontal="center" vertical="center"/>
    </xf>
    <xf borderId="155" fillId="26" fontId="18" numFmtId="0" xfId="0" applyAlignment="1" applyBorder="1" applyFont="1">
      <alignment horizontal="center" vertical="center"/>
    </xf>
    <xf borderId="156" fillId="0" fontId="5" numFmtId="0" xfId="0" applyBorder="1" applyFont="1"/>
    <xf borderId="157" fillId="27" fontId="8" numFmtId="0" xfId="0" applyAlignment="1" applyBorder="1" applyFont="1">
      <alignment horizontal="center" vertical="bottom"/>
    </xf>
    <xf borderId="158" fillId="27" fontId="8" numFmtId="0" xfId="0" applyAlignment="1" applyBorder="1" applyFont="1">
      <alignment horizontal="center" vertical="bottom"/>
    </xf>
    <xf borderId="159" fillId="27" fontId="8" numFmtId="0" xfId="0" applyAlignment="1" applyBorder="1" applyFont="1">
      <alignment horizontal="center" vertical="center"/>
    </xf>
    <xf borderId="160" fillId="0" fontId="5" numFmtId="0" xfId="0" applyBorder="1" applyFont="1"/>
    <xf borderId="161" fillId="0" fontId="5" numFmtId="0" xfId="0" applyBorder="1" applyFont="1"/>
    <xf borderId="162" fillId="0" fontId="5" numFmtId="0" xfId="0" applyBorder="1" applyFont="1"/>
    <xf borderId="163" fillId="25" fontId="8" numFmtId="0" xfId="0" applyAlignment="1" applyBorder="1" applyFont="1">
      <alignment horizontal="center" vertical="center"/>
    </xf>
    <xf borderId="164" fillId="25" fontId="18" numFmtId="0" xfId="0" applyAlignment="1" applyBorder="1" applyFont="1">
      <alignment horizontal="center" vertical="center"/>
    </xf>
    <xf borderId="165" fillId="25" fontId="8" numFmtId="0" xfId="0" applyAlignment="1" applyBorder="1" applyFont="1">
      <alignment horizontal="center" vertical="bottom"/>
    </xf>
    <xf borderId="134" fillId="24" fontId="8" numFmtId="0" xfId="0" applyAlignment="1" applyBorder="1" applyFont="1">
      <alignment horizontal="center" vertical="bottom"/>
    </xf>
    <xf borderId="162" fillId="24" fontId="8" numFmtId="0" xfId="0" applyAlignment="1" applyBorder="1" applyFont="1">
      <alignment horizontal="center" vertical="bottom"/>
    </xf>
    <xf borderId="162" fillId="24" fontId="8" numFmtId="0" xfId="0" applyAlignment="1" applyBorder="1" applyFont="1">
      <alignment horizontal="center" vertical="center"/>
    </xf>
    <xf borderId="166" fillId="24" fontId="17" numFmtId="0" xfId="0" applyAlignment="1" applyBorder="1" applyFont="1">
      <alignment horizontal="right" readingOrder="0" vertical="center"/>
    </xf>
    <xf borderId="167" fillId="24" fontId="17" numFmtId="0" xfId="0" applyAlignment="1" applyBorder="1" applyFont="1">
      <alignment horizontal="center" readingOrder="0" vertical="center"/>
    </xf>
    <xf borderId="167" fillId="24" fontId="17" numFmtId="0" xfId="0" applyAlignment="1" applyBorder="1" applyFont="1">
      <alignment horizontal="center" vertical="center"/>
    </xf>
    <xf borderId="168" fillId="24" fontId="8" numFmtId="0" xfId="0" applyAlignment="1" applyBorder="1" applyFont="1">
      <alignment horizontal="center" vertical="center"/>
    </xf>
    <xf borderId="168" fillId="24" fontId="18" numFmtId="0" xfId="0" applyAlignment="1" applyBorder="1" applyFont="1">
      <alignment horizontal="center" vertical="center"/>
    </xf>
    <xf borderId="168" fillId="24" fontId="8" numFmtId="0" xfId="0" applyAlignment="1" applyBorder="1" applyFont="1">
      <alignment horizontal="center" vertical="bottom"/>
    </xf>
    <xf borderId="167" fillId="24" fontId="8" numFmtId="0" xfId="0" applyAlignment="1" applyBorder="1" applyFont="1">
      <alignment horizontal="center" vertical="bottom"/>
    </xf>
    <xf borderId="167" fillId="24" fontId="8" numFmtId="0" xfId="0" applyAlignment="1" applyBorder="1" applyFont="1">
      <alignment horizontal="center" vertical="center"/>
    </xf>
    <xf borderId="169" fillId="29" fontId="17" numFmtId="0" xfId="0" applyAlignment="1" applyBorder="1" applyFill="1" applyFont="1">
      <alignment horizontal="right" readingOrder="0" vertical="center"/>
    </xf>
    <xf borderId="170" fillId="29" fontId="17" numFmtId="0" xfId="0" applyAlignment="1" applyBorder="1" applyFont="1">
      <alignment horizontal="center" readingOrder="0" vertical="center"/>
    </xf>
    <xf borderId="170" fillId="29" fontId="17" numFmtId="0" xfId="0" applyAlignment="1" applyBorder="1" applyFont="1">
      <alignment horizontal="center" vertical="center"/>
    </xf>
    <xf borderId="171" fillId="29" fontId="8" numFmtId="0" xfId="0" applyAlignment="1" applyBorder="1" applyFont="1">
      <alignment horizontal="center" vertical="center"/>
    </xf>
    <xf borderId="171" fillId="29" fontId="18" numFmtId="0" xfId="0" applyAlignment="1" applyBorder="1" applyFont="1">
      <alignment horizontal="center" vertical="center"/>
    </xf>
    <xf borderId="171" fillId="29" fontId="8" numFmtId="0" xfId="0" applyAlignment="1" applyBorder="1" applyFont="1">
      <alignment horizontal="center" vertical="bottom"/>
    </xf>
    <xf borderId="172" fillId="29" fontId="8" numFmtId="0" xfId="0" applyAlignment="1" applyBorder="1" applyFont="1">
      <alignment horizontal="center" vertical="center"/>
    </xf>
    <xf borderId="170" fillId="29" fontId="8" numFmtId="0" xfId="0" applyAlignment="1" applyBorder="1" applyFont="1">
      <alignment horizontal="center" vertical="center"/>
    </xf>
    <xf borderId="173" fillId="29" fontId="17" numFmtId="0" xfId="0" applyAlignment="1" applyBorder="1" applyFont="1">
      <alignment horizontal="right" readingOrder="0" vertical="center"/>
    </xf>
    <xf borderId="174" fillId="0" fontId="5" numFmtId="0" xfId="0" applyBorder="1" applyFont="1"/>
    <xf borderId="175" fillId="29" fontId="17" numFmtId="0" xfId="0" applyAlignment="1" applyBorder="1" applyFont="1">
      <alignment horizontal="center" readingOrder="0" vertical="center"/>
    </xf>
    <xf borderId="176" fillId="29" fontId="17" numFmtId="0" xfId="0" applyAlignment="1" applyBorder="1" applyFont="1">
      <alignment horizontal="center" vertical="center"/>
    </xf>
    <xf borderId="132" fillId="25" fontId="18" numFmtId="0" xfId="0" applyAlignment="1" applyBorder="1" applyFont="1">
      <alignment horizontal="center" vertical="center"/>
    </xf>
    <xf borderId="133" fillId="25" fontId="8" numFmtId="0" xfId="0" applyAlignment="1" applyBorder="1" applyFont="1">
      <alignment horizontal="center" vertical="bottom"/>
    </xf>
    <xf borderId="177" fillId="29" fontId="8" numFmtId="0" xfId="0" applyAlignment="1" applyBorder="1" applyFont="1">
      <alignment horizontal="center" vertical="bottom"/>
    </xf>
    <xf borderId="178" fillId="29" fontId="8" numFmtId="0" xfId="0" applyAlignment="1" applyBorder="1" applyFont="1">
      <alignment horizontal="center" vertical="bottom"/>
    </xf>
    <xf borderId="178" fillId="29" fontId="8" numFmtId="0" xfId="0" applyAlignment="1" applyBorder="1" applyFont="1">
      <alignment horizontal="center" vertical="center"/>
    </xf>
    <xf borderId="179" fillId="29" fontId="8" numFmtId="0" xfId="0" applyAlignment="1" applyBorder="1" applyFont="1">
      <alignment horizontal="center" vertical="center"/>
    </xf>
    <xf borderId="180" fillId="0" fontId="5" numFmtId="0" xfId="0" applyBorder="1" applyFont="1"/>
    <xf borderId="181" fillId="0" fontId="5" numFmtId="0" xfId="0" applyBorder="1" applyFont="1"/>
    <xf borderId="140" fillId="26" fontId="18" numFmtId="0" xfId="0" applyAlignment="1" applyBorder="1" applyFont="1">
      <alignment horizontal="center" vertical="center"/>
    </xf>
    <xf borderId="145" fillId="27" fontId="8" numFmtId="0" xfId="0" applyAlignment="1" applyBorder="1" applyFont="1">
      <alignment horizontal="center" vertical="bottom"/>
    </xf>
    <xf borderId="146" fillId="27" fontId="8" numFmtId="0" xfId="0" applyAlignment="1" applyBorder="1" applyFont="1">
      <alignment horizontal="center" vertical="bottom"/>
    </xf>
    <xf borderId="177" fillId="29" fontId="8" numFmtId="0" xfId="0" applyAlignment="1" applyBorder="1" applyFont="1">
      <alignment horizontal="center" vertical="center"/>
    </xf>
    <xf borderId="182" fillId="28" fontId="18" numFmtId="0" xfId="0" applyAlignment="1" applyBorder="1" applyFont="1">
      <alignment horizontal="center" readingOrder="0" vertical="center"/>
    </xf>
    <xf borderId="152" fillId="28" fontId="8" numFmtId="0" xfId="0" applyAlignment="1" applyBorder="1" applyFont="1">
      <alignment horizontal="center" readingOrder="0" vertical="bottom"/>
    </xf>
    <xf borderId="183" fillId="28" fontId="18" numFmtId="0" xfId="0" applyAlignment="1" applyBorder="1" applyFont="1">
      <alignment horizontal="left" readingOrder="0" vertical="bottom"/>
    </xf>
    <xf borderId="184" fillId="27" fontId="8" numFmtId="0" xfId="0" applyAlignment="1" applyBorder="1" applyFont="1">
      <alignment horizontal="center" vertical="center"/>
    </xf>
    <xf borderId="185" fillId="28" fontId="18" numFmtId="0" xfId="0" applyAlignment="1" applyBorder="1" applyFont="1">
      <alignment horizontal="center" readingOrder="0" vertical="center"/>
    </xf>
    <xf borderId="186" fillId="0" fontId="5" numFmtId="0" xfId="0" applyBorder="1" applyFont="1"/>
    <xf borderId="187" fillId="27" fontId="8" numFmtId="0" xfId="0" applyAlignment="1" applyBorder="1" applyFont="1">
      <alignment horizontal="center" vertical="center"/>
    </xf>
    <xf borderId="188" fillId="0" fontId="5" numFmtId="0" xfId="0" applyBorder="1" applyFont="1"/>
    <xf borderId="189" fillId="29" fontId="8" numFmtId="0" xfId="0" applyAlignment="1" applyBorder="1" applyFont="1">
      <alignment horizontal="center" vertical="bottom"/>
    </xf>
    <xf borderId="189" fillId="29" fontId="8" numFmtId="0" xfId="0" applyAlignment="1" applyBorder="1" applyFont="1">
      <alignment horizontal="center" vertical="center"/>
    </xf>
    <xf borderId="190" fillId="28" fontId="18" numFmtId="0" xfId="0" applyAlignment="1" applyBorder="1" applyFont="1">
      <alignment horizontal="center" readingOrder="0" vertical="center"/>
    </xf>
    <xf borderId="179" fillId="29" fontId="8" numFmtId="0" xfId="0" applyAlignment="1" applyBorder="1" applyFont="1">
      <alignment horizontal="center" vertical="bottom"/>
    </xf>
    <xf borderId="191" fillId="0" fontId="5" numFmtId="0" xfId="0" applyBorder="1" applyFont="1"/>
    <xf borderId="192" fillId="0" fontId="5" numFmtId="0" xfId="0" applyBorder="1" applyFont="1"/>
    <xf borderId="189" fillId="0" fontId="5" numFmtId="0" xfId="0" applyBorder="1" applyFont="1"/>
    <xf borderId="193" fillId="29" fontId="17" numFmtId="0" xfId="0" applyAlignment="1" applyBorder="1" applyFont="1">
      <alignment horizontal="right" readingOrder="0" vertical="center"/>
    </xf>
    <xf borderId="179" fillId="29" fontId="17" numFmtId="0" xfId="0" applyAlignment="1" applyBorder="1" applyFont="1">
      <alignment horizontal="right" readingOrder="0" vertical="center"/>
    </xf>
    <xf borderId="179" fillId="29" fontId="17" numFmtId="0" xfId="0" applyAlignment="1" applyBorder="1" applyFont="1">
      <alignment horizontal="center" readingOrder="0" vertical="center"/>
    </xf>
    <xf borderId="194" fillId="29" fontId="17" numFmtId="0" xfId="0" applyAlignment="1" applyBorder="1" applyFont="1">
      <alignment horizontal="right" readingOrder="0" vertical="center"/>
    </xf>
    <xf borderId="195" fillId="29" fontId="17" numFmtId="0" xfId="0" applyAlignment="1" applyBorder="1" applyFont="1">
      <alignment horizontal="center" readingOrder="0" vertical="center"/>
    </xf>
    <xf borderId="195" fillId="29" fontId="17" numFmtId="0" xfId="0" applyAlignment="1" applyBorder="1" applyFont="1">
      <alignment horizontal="center" vertical="center"/>
    </xf>
    <xf borderId="196" fillId="29" fontId="8" numFmtId="0" xfId="0" applyAlignment="1" applyBorder="1" applyFont="1">
      <alignment horizontal="center" vertical="center"/>
    </xf>
    <xf borderId="196" fillId="29" fontId="18" numFmtId="0" xfId="0" applyAlignment="1" applyBorder="1" applyFont="1">
      <alignment horizontal="center" vertical="center"/>
    </xf>
    <xf borderId="196" fillId="29" fontId="8" numFmtId="0" xfId="0" applyAlignment="1" applyBorder="1" applyFont="1">
      <alignment horizontal="center" vertical="bottom"/>
    </xf>
    <xf borderId="195" fillId="29" fontId="8" numFmtId="0" xfId="0" applyAlignment="1" applyBorder="1" applyFont="1">
      <alignment horizontal="center" vertical="bottom"/>
    </xf>
    <xf borderId="195" fillId="29" fontId="8" numFmtId="0" xfId="0" applyAlignment="1" applyBorder="1" applyFont="1">
      <alignment horizontal="center" vertical="center"/>
    </xf>
    <xf borderId="197" fillId="30" fontId="17" numFmtId="0" xfId="0" applyAlignment="1" applyBorder="1" applyFill="1" applyFont="1">
      <alignment horizontal="right" readingOrder="0" vertical="center"/>
    </xf>
    <xf borderId="198" fillId="30" fontId="17" numFmtId="0" xfId="0" applyAlignment="1" applyBorder="1" applyFont="1">
      <alignment horizontal="center" readingOrder="0" vertical="center"/>
    </xf>
    <xf borderId="198" fillId="30" fontId="17" numFmtId="0" xfId="0" applyAlignment="1" applyBorder="1" applyFont="1">
      <alignment horizontal="center" vertical="center"/>
    </xf>
    <xf borderId="199" fillId="30" fontId="8" numFmtId="0" xfId="0" applyAlignment="1" applyBorder="1" applyFont="1">
      <alignment horizontal="center" vertical="center"/>
    </xf>
    <xf borderId="199" fillId="30" fontId="18" numFmtId="0" xfId="0" applyAlignment="1" applyBorder="1" applyFont="1">
      <alignment horizontal="center" vertical="center"/>
    </xf>
    <xf borderId="199" fillId="30" fontId="8" numFmtId="0" xfId="0" applyAlignment="1" applyBorder="1" applyFont="1">
      <alignment horizontal="center" vertical="bottom"/>
    </xf>
    <xf borderId="200" fillId="30" fontId="8" numFmtId="0" xfId="0" applyAlignment="1" applyBorder="1" applyFont="1">
      <alignment horizontal="center" vertical="center"/>
    </xf>
    <xf borderId="198" fillId="30" fontId="8" numFmtId="0" xfId="0" applyAlignment="1" applyBorder="1" applyFont="1">
      <alignment horizontal="center" vertical="center"/>
    </xf>
    <xf borderId="201" fillId="30" fontId="19" numFmtId="0" xfId="0" applyAlignment="1" applyBorder="1" applyFont="1">
      <alignment horizontal="right" readingOrder="0" vertical="center"/>
    </xf>
    <xf borderId="202" fillId="0" fontId="5" numFmtId="0" xfId="0" applyBorder="1" applyFont="1"/>
    <xf borderId="203" fillId="30" fontId="19" numFmtId="0" xfId="0" applyAlignment="1" applyBorder="1" applyFont="1">
      <alignment horizontal="center" readingOrder="0" vertical="center"/>
    </xf>
    <xf borderId="203" fillId="30" fontId="17" numFmtId="0" xfId="0" applyAlignment="1" applyBorder="1" applyFont="1">
      <alignment horizontal="center" readingOrder="0" vertical="center"/>
    </xf>
    <xf borderId="204" fillId="30" fontId="17" numFmtId="0" xfId="0" applyAlignment="1" applyBorder="1" applyFont="1">
      <alignment horizontal="center" vertical="center"/>
    </xf>
    <xf borderId="205" fillId="30" fontId="8" numFmtId="0" xfId="0" applyAlignment="1" applyBorder="1" applyFont="1">
      <alignment horizontal="center" vertical="bottom"/>
    </xf>
    <xf borderId="206" fillId="30" fontId="8" numFmtId="0" xfId="0" applyAlignment="1" applyBorder="1" applyFont="1">
      <alignment horizontal="center" vertical="bottom"/>
    </xf>
    <xf borderId="206" fillId="30" fontId="8" numFmtId="0" xfId="0" applyAlignment="1" applyBorder="1" applyFont="1">
      <alignment horizontal="center" vertical="center"/>
    </xf>
    <xf borderId="207" fillId="30" fontId="8" numFmtId="0" xfId="0" applyAlignment="1" applyBorder="1" applyFont="1">
      <alignment horizontal="center" vertical="center"/>
    </xf>
    <xf borderId="208" fillId="0" fontId="5" numFmtId="0" xfId="0" applyBorder="1" applyFont="1"/>
    <xf borderId="209" fillId="0" fontId="5" numFmtId="0" xfId="0" applyBorder="1" applyFont="1"/>
    <xf borderId="210" fillId="30" fontId="8" numFmtId="0" xfId="0" applyAlignment="1" applyBorder="1" applyFont="1">
      <alignment horizontal="center" vertical="bottom"/>
    </xf>
    <xf borderId="211" fillId="30" fontId="8" numFmtId="0" xfId="0" applyAlignment="1" applyBorder="1" applyFont="1">
      <alignment horizontal="center" vertical="center"/>
    </xf>
    <xf borderId="182" fillId="28" fontId="20" numFmtId="0" xfId="0" applyAlignment="1" applyBorder="1" applyFont="1">
      <alignment horizontal="center" readingOrder="0" vertical="center"/>
    </xf>
    <xf borderId="212" fillId="28" fontId="20" numFmtId="0" xfId="0" applyAlignment="1" applyBorder="1" applyFont="1">
      <alignment horizontal="center" readingOrder="0" vertical="center"/>
    </xf>
    <xf borderId="213" fillId="30" fontId="8" numFmtId="0" xfId="0" applyAlignment="1" applyBorder="1" applyFont="1">
      <alignment horizontal="center" vertical="bottom"/>
    </xf>
    <xf borderId="214" fillId="30" fontId="8" numFmtId="0" xfId="0" applyAlignment="1" applyBorder="1" applyFont="1">
      <alignment horizontal="center" vertical="bottom"/>
    </xf>
    <xf borderId="214" fillId="30" fontId="8" numFmtId="0" xfId="0" applyAlignment="1" applyBorder="1" applyFont="1">
      <alignment horizontal="center" vertical="center"/>
    </xf>
    <xf borderId="188" fillId="28" fontId="20" numFmtId="0" xfId="0" applyAlignment="1" applyBorder="1" applyFont="1">
      <alignment horizontal="center" readingOrder="0" vertical="center"/>
    </xf>
    <xf borderId="207" fillId="30" fontId="8" numFmtId="0" xfId="0" applyAlignment="1" applyBorder="1" applyFont="1">
      <alignment horizontal="center" vertical="bottom"/>
    </xf>
    <xf borderId="215" fillId="28" fontId="20" numFmtId="0" xfId="0" applyAlignment="1" applyBorder="1" applyFont="1">
      <alignment horizontal="center" readingOrder="0" vertical="center"/>
    </xf>
    <xf borderId="216" fillId="0" fontId="5" numFmtId="0" xfId="0" applyBorder="1" applyFont="1"/>
    <xf borderId="217" fillId="0" fontId="5" numFmtId="0" xfId="0" applyBorder="1" applyFont="1"/>
    <xf borderId="214" fillId="0" fontId="5" numFmtId="0" xfId="0" applyBorder="1" applyFont="1"/>
    <xf borderId="164" fillId="25" fontId="8" numFmtId="0" xfId="0" applyAlignment="1" applyBorder="1" applyFont="1">
      <alignment horizontal="center" vertical="bottom"/>
    </xf>
    <xf borderId="218" fillId="30" fontId="17" numFmtId="0" xfId="0" applyAlignment="1" applyBorder="1" applyFont="1">
      <alignment horizontal="right" readingOrder="0" vertical="center"/>
    </xf>
    <xf borderId="219" fillId="30" fontId="17" numFmtId="0" xfId="0" applyAlignment="1" applyBorder="1" applyFont="1">
      <alignment horizontal="center" readingOrder="0" vertical="center"/>
    </xf>
    <xf borderId="219" fillId="30" fontId="8" numFmtId="0" xfId="0" applyAlignment="1" applyBorder="1" applyFont="1">
      <alignment horizontal="center" vertical="bottom"/>
    </xf>
    <xf borderId="219" fillId="30" fontId="8" numFmtId="0" xfId="0" applyAlignment="1" applyBorder="1" applyFont="1">
      <alignment horizontal="center" vertical="center"/>
    </xf>
    <xf borderId="220" fillId="4" fontId="17" numFmtId="0" xfId="0" applyAlignment="1" applyBorder="1" applyFont="1">
      <alignment horizontal="right" readingOrder="0" vertical="center"/>
    </xf>
    <xf borderId="221" fillId="4" fontId="17" numFmtId="0" xfId="0" applyAlignment="1" applyBorder="1" applyFont="1">
      <alignment horizontal="center" readingOrder="0" vertical="center"/>
    </xf>
    <xf borderId="221" fillId="4" fontId="17" numFmtId="0" xfId="0" applyAlignment="1" applyBorder="1" applyFont="1">
      <alignment horizontal="center" vertical="center"/>
    </xf>
    <xf borderId="221" fillId="4" fontId="8" numFmtId="0" xfId="0" applyAlignment="1" applyBorder="1" applyFont="1">
      <alignment horizontal="center" vertical="center"/>
    </xf>
    <xf borderId="222" fillId="4" fontId="19" numFmtId="0" xfId="0" applyAlignment="1" applyBorder="1" applyFont="1">
      <alignment horizontal="right" readingOrder="0" vertical="center"/>
    </xf>
    <xf borderId="223" fillId="0" fontId="5" numFmtId="0" xfId="0" applyBorder="1" applyFont="1"/>
    <xf borderId="67" fillId="4" fontId="19" numFmtId="0" xfId="0" applyAlignment="1" applyBorder="1" applyFont="1">
      <alignment horizontal="center" readingOrder="0" vertical="center"/>
    </xf>
    <xf borderId="67" fillId="4" fontId="17" numFmtId="0" xfId="0" applyAlignment="1" applyBorder="1" applyFont="1">
      <alignment horizontal="center" readingOrder="0" vertical="center"/>
    </xf>
    <xf borderId="111" fillId="4" fontId="17" numFmtId="0" xfId="0" applyAlignment="1" applyBorder="1" applyFont="1">
      <alignment horizontal="center" vertical="center"/>
    </xf>
    <xf borderId="77" fillId="4" fontId="8" numFmtId="0" xfId="0" applyAlignment="1" applyBorder="1" applyFont="1">
      <alignment horizontal="center" vertical="center"/>
    </xf>
    <xf borderId="67" fillId="4" fontId="8" numFmtId="0" xfId="0" applyAlignment="1" applyBorder="1" applyFont="1">
      <alignment horizontal="center" vertical="center"/>
    </xf>
    <xf borderId="24" fillId="4" fontId="8" numFmtId="0" xfId="0" applyAlignment="1" applyBorder="1" applyFont="1">
      <alignment horizontal="center" vertical="center"/>
    </xf>
    <xf borderId="224" fillId="0" fontId="5" numFmtId="0" xfId="0" applyBorder="1" applyFont="1"/>
    <xf borderId="225" fillId="0" fontId="5" numFmtId="0" xfId="0" applyBorder="1" applyFont="1"/>
    <xf borderId="119" fillId="4" fontId="8" numFmtId="0" xfId="0" applyAlignment="1" applyBorder="1" applyFont="1">
      <alignment horizontal="center" vertical="center"/>
    </xf>
    <xf borderId="119" fillId="4" fontId="8" numFmtId="0" xfId="0" applyAlignment="1" applyBorder="1" applyFont="1">
      <alignment horizontal="center" vertical="bottom"/>
    </xf>
    <xf borderId="226" fillId="0" fontId="5" numFmtId="0" xfId="0" applyBorder="1" applyFont="1"/>
    <xf borderId="227" fillId="0" fontId="5" numFmtId="0" xfId="0" applyBorder="1" applyFont="1"/>
    <xf borderId="228" fillId="0" fontId="5" numFmtId="0" xfId="0" applyBorder="1" applyFont="1"/>
    <xf borderId="77" fillId="4" fontId="8" numFmtId="0" xfId="0" applyAlignment="1" applyBorder="1" applyFont="1">
      <alignment horizontal="center" vertical="bottom"/>
    </xf>
    <xf borderId="228" fillId="4" fontId="8" numFmtId="0" xfId="0" applyAlignment="1" applyBorder="1" applyFont="1">
      <alignment horizontal="center" vertical="bottom"/>
    </xf>
    <xf borderId="228" fillId="4" fontId="8" numFmtId="0" xfId="0" applyAlignment="1" applyBorder="1" applyFont="1">
      <alignment horizontal="center" vertical="center"/>
    </xf>
    <xf borderId="123" fillId="4" fontId="18" numFmtId="0" xfId="0" applyAlignment="1" applyBorder="1" applyFont="1">
      <alignment horizontal="center" vertical="center"/>
    </xf>
    <xf borderId="123" fillId="4" fontId="8" numFmtId="0" xfId="0" applyAlignment="1" applyBorder="1" applyFont="1">
      <alignment horizontal="center" vertical="bottom"/>
    </xf>
    <xf borderId="122" fillId="4" fontId="8" numFmtId="0" xfId="0" applyAlignment="1" applyBorder="1" applyFont="1">
      <alignment horizontal="center" vertical="bottom"/>
    </xf>
    <xf borderId="229" fillId="31" fontId="17" numFmtId="0" xfId="0" applyAlignment="1" applyBorder="1" applyFill="1" applyFont="1">
      <alignment horizontal="right" readingOrder="0" vertical="center"/>
    </xf>
    <xf borderId="230" fillId="31" fontId="17" numFmtId="0" xfId="0" applyAlignment="1" applyBorder="1" applyFont="1">
      <alignment horizontal="center" readingOrder="0" vertical="center"/>
    </xf>
    <xf borderId="230" fillId="31" fontId="17" numFmtId="0" xfId="0" applyAlignment="1" applyBorder="1" applyFont="1">
      <alignment horizontal="center" vertical="center"/>
    </xf>
    <xf borderId="231" fillId="31" fontId="8" numFmtId="0" xfId="0" applyAlignment="1" applyBorder="1" applyFont="1">
      <alignment horizontal="center" vertical="center"/>
    </xf>
    <xf borderId="231" fillId="31" fontId="18" numFmtId="0" xfId="0" applyAlignment="1" applyBorder="1" applyFont="1">
      <alignment horizontal="center" vertical="center"/>
    </xf>
    <xf borderId="231" fillId="31" fontId="8" numFmtId="0" xfId="0" applyAlignment="1" applyBorder="1" applyFont="1">
      <alignment horizontal="center" vertical="bottom"/>
    </xf>
    <xf borderId="230" fillId="31" fontId="8" numFmtId="0" xfId="0" applyAlignment="1" applyBorder="1" applyFont="1">
      <alignment horizontal="center" vertical="bottom"/>
    </xf>
    <xf borderId="232" fillId="31" fontId="8" numFmtId="0" xfId="0" applyAlignment="1" applyBorder="1" applyFont="1">
      <alignment horizontal="center" vertical="center"/>
    </xf>
    <xf borderId="230" fillId="31" fontId="8" numFmtId="0" xfId="0" applyAlignment="1" applyBorder="1" applyFont="1">
      <alignment horizontal="center" vertical="center"/>
    </xf>
    <xf borderId="233" fillId="31" fontId="17" numFmtId="0" xfId="0" applyAlignment="1" applyBorder="1" applyFont="1">
      <alignment horizontal="right" readingOrder="0" vertical="center"/>
    </xf>
    <xf borderId="234" fillId="0" fontId="5" numFmtId="0" xfId="0" applyBorder="1" applyFont="1"/>
    <xf borderId="235" fillId="31" fontId="17" numFmtId="0" xfId="0" applyAlignment="1" applyBorder="1" applyFont="1">
      <alignment horizontal="center" readingOrder="0" vertical="center"/>
    </xf>
    <xf borderId="236" fillId="31" fontId="17" numFmtId="0" xfId="0" applyAlignment="1" applyBorder="1" applyFont="1">
      <alignment horizontal="center" vertical="center"/>
    </xf>
    <xf borderId="237" fillId="31" fontId="8" numFmtId="0" xfId="0" applyAlignment="1" applyBorder="1" applyFont="1">
      <alignment horizontal="center" vertical="bottom"/>
    </xf>
    <xf borderId="238" fillId="31" fontId="8" numFmtId="0" xfId="0" applyAlignment="1" applyBorder="1" applyFont="1">
      <alignment horizontal="center" vertical="bottom"/>
    </xf>
    <xf borderId="238" fillId="31" fontId="8" numFmtId="0" xfId="0" applyAlignment="1" applyBorder="1" applyFont="1">
      <alignment horizontal="center" vertical="center"/>
    </xf>
    <xf borderId="239" fillId="31" fontId="8" numFmtId="0" xfId="0" applyAlignment="1" applyBorder="1" applyFont="1">
      <alignment horizontal="center" vertical="center"/>
    </xf>
    <xf borderId="240" fillId="0" fontId="5" numFmtId="0" xfId="0" applyBorder="1" applyFont="1"/>
    <xf borderId="241" fillId="0" fontId="5" numFmtId="0" xfId="0" applyBorder="1" applyFont="1"/>
    <xf borderId="242" fillId="31" fontId="8" numFmtId="0" xfId="0" applyAlignment="1" applyBorder="1" applyFont="1">
      <alignment horizontal="center" vertical="bottom"/>
    </xf>
    <xf borderId="243" fillId="31" fontId="8" numFmtId="0" xfId="0" applyAlignment="1" applyBorder="1" applyFont="1">
      <alignment horizontal="center" vertical="center"/>
    </xf>
    <xf borderId="182" fillId="28" fontId="18" numFmtId="0" xfId="0" applyAlignment="1" applyBorder="1" applyFont="1">
      <alignment horizontal="center" vertical="center"/>
    </xf>
    <xf borderId="212" fillId="28" fontId="18" numFmtId="0" xfId="0" applyAlignment="1" applyBorder="1" applyFont="1">
      <alignment horizontal="center" vertical="center"/>
    </xf>
    <xf borderId="244" fillId="31" fontId="8" numFmtId="0" xfId="0" applyAlignment="1" applyBorder="1" applyFont="1">
      <alignment horizontal="center" vertical="bottom"/>
    </xf>
    <xf borderId="244" fillId="31" fontId="8" numFmtId="0" xfId="0" applyAlignment="1" applyBorder="1" applyFont="1">
      <alignment horizontal="center" vertical="center"/>
    </xf>
    <xf borderId="188" fillId="28" fontId="18" numFmtId="0" xfId="0" applyAlignment="1" applyBorder="1" applyFont="1">
      <alignment horizontal="center" vertical="center"/>
    </xf>
    <xf borderId="239" fillId="31" fontId="8" numFmtId="0" xfId="0" applyAlignment="1" applyBorder="1" applyFont="1">
      <alignment horizontal="center" vertical="bottom"/>
    </xf>
    <xf borderId="215" fillId="28" fontId="18" numFmtId="0" xfId="0" applyAlignment="1" applyBorder="1" applyFont="1">
      <alignment horizontal="center" vertical="center"/>
    </xf>
    <xf borderId="185" fillId="28" fontId="18" numFmtId="0" xfId="0" applyAlignment="1" applyBorder="1" applyFont="1">
      <alignment horizontal="center" vertical="center"/>
    </xf>
    <xf borderId="245" fillId="0" fontId="5" numFmtId="0" xfId="0" applyBorder="1" applyFont="1"/>
    <xf borderId="246" fillId="0" fontId="5" numFmtId="0" xfId="0" applyBorder="1" applyFont="1"/>
    <xf borderId="244" fillId="0" fontId="5" numFmtId="0" xfId="0" applyBorder="1" applyFont="1"/>
    <xf borderId="247" fillId="31" fontId="17" numFmtId="0" xfId="0" applyAlignment="1" applyBorder="1" applyFont="1">
      <alignment horizontal="right" readingOrder="0" vertical="center"/>
    </xf>
    <xf borderId="248" fillId="31" fontId="17" numFmtId="0" xfId="0" applyAlignment="1" applyBorder="1" applyFont="1">
      <alignment horizontal="center" readingOrder="0" vertical="center"/>
    </xf>
    <xf borderId="248" fillId="31" fontId="17" numFmtId="0" xfId="0" applyAlignment="1" applyBorder="1" applyFont="1">
      <alignment horizontal="center" vertical="center"/>
    </xf>
    <xf borderId="249" fillId="31" fontId="8" numFmtId="0" xfId="0" applyAlignment="1" applyBorder="1" applyFont="1">
      <alignment horizontal="center" vertical="center"/>
    </xf>
    <xf borderId="249" fillId="31" fontId="18" numFmtId="0" xfId="0" applyAlignment="1" applyBorder="1" applyFont="1">
      <alignment horizontal="center" vertical="center"/>
    </xf>
    <xf borderId="249" fillId="31" fontId="8" numFmtId="0" xfId="0" applyAlignment="1" applyBorder="1" applyFont="1">
      <alignment horizontal="center" vertical="bottom"/>
    </xf>
    <xf borderId="248" fillId="31" fontId="8" numFmtId="0" xfId="0" applyAlignment="1" applyBorder="1" applyFont="1">
      <alignment horizontal="center" vertical="bottom"/>
    </xf>
    <xf borderId="248" fillId="31" fontId="8" numFmtId="0" xfId="0" applyAlignment="1" applyBorder="1" applyFont="1">
      <alignment horizontal="center" vertical="center"/>
    </xf>
    <xf borderId="250" fillId="32" fontId="17" numFmtId="0" xfId="0" applyAlignment="1" applyBorder="1" applyFill="1" applyFont="1">
      <alignment horizontal="right" readingOrder="0" vertical="center"/>
    </xf>
    <xf borderId="251" fillId="32" fontId="17" numFmtId="0" xfId="0" applyAlignment="1" applyBorder="1" applyFont="1">
      <alignment horizontal="center" readingOrder="0" vertical="center"/>
    </xf>
    <xf borderId="251" fillId="32" fontId="17" numFmtId="0" xfId="0" applyAlignment="1" applyBorder="1" applyFont="1">
      <alignment horizontal="center" vertical="center"/>
    </xf>
    <xf borderId="252" fillId="32" fontId="8" numFmtId="0" xfId="0" applyAlignment="1" applyBorder="1" applyFont="1">
      <alignment horizontal="center" vertical="center"/>
    </xf>
    <xf borderId="252" fillId="32" fontId="18" numFmtId="0" xfId="0" applyAlignment="1" applyBorder="1" applyFont="1">
      <alignment horizontal="center" vertical="center"/>
    </xf>
    <xf borderId="252" fillId="32" fontId="8" numFmtId="0" xfId="0" applyAlignment="1" applyBorder="1" applyFont="1">
      <alignment horizontal="center" vertical="bottom"/>
    </xf>
    <xf borderId="251" fillId="32" fontId="8" numFmtId="0" xfId="0" applyAlignment="1" applyBorder="1" applyFont="1">
      <alignment horizontal="center" vertical="bottom"/>
    </xf>
    <xf borderId="251" fillId="32" fontId="8" numFmtId="0" xfId="0" applyAlignment="1" applyBorder="1" applyFont="1">
      <alignment horizontal="center" vertical="center"/>
    </xf>
    <xf borderId="253" fillId="32" fontId="19" numFmtId="0" xfId="0" applyAlignment="1" applyBorder="1" applyFont="1">
      <alignment horizontal="right" readingOrder="0" vertical="center"/>
    </xf>
    <xf borderId="254" fillId="0" fontId="5" numFmtId="0" xfId="0" applyBorder="1" applyFont="1"/>
    <xf borderId="255" fillId="32" fontId="19" numFmtId="0" xfId="0" applyAlignment="1" applyBorder="1" applyFont="1">
      <alignment horizontal="center" readingOrder="0" vertical="center"/>
    </xf>
    <xf borderId="255" fillId="32" fontId="17" numFmtId="0" xfId="0" applyAlignment="1" applyBorder="1" applyFont="1">
      <alignment horizontal="center" readingOrder="0" vertical="center"/>
    </xf>
    <xf borderId="256" fillId="32" fontId="17" numFmtId="0" xfId="0" applyAlignment="1" applyBorder="1" applyFont="1">
      <alignment horizontal="center" vertical="center"/>
    </xf>
    <xf borderId="257" fillId="32" fontId="8" numFmtId="0" xfId="0" applyAlignment="1" applyBorder="1" applyFont="1">
      <alignment horizontal="center" vertical="bottom"/>
    </xf>
    <xf borderId="255" fillId="32" fontId="8" numFmtId="0" xfId="0" applyAlignment="1" applyBorder="1" applyFont="1">
      <alignment horizontal="center" vertical="bottom"/>
    </xf>
    <xf borderId="255" fillId="32" fontId="8" numFmtId="0" xfId="0" applyAlignment="1" applyBorder="1" applyFont="1">
      <alignment horizontal="center" vertical="center"/>
    </xf>
    <xf borderId="258" fillId="32" fontId="8" numFmtId="0" xfId="0" applyAlignment="1" applyBorder="1" applyFont="1">
      <alignment horizontal="center" vertical="center"/>
    </xf>
    <xf borderId="259" fillId="0" fontId="5" numFmtId="0" xfId="0" applyBorder="1" applyFont="1"/>
    <xf borderId="260" fillId="0" fontId="5" numFmtId="0" xfId="0" applyBorder="1" applyFont="1"/>
    <xf borderId="261" fillId="32" fontId="8" numFmtId="0" xfId="0" applyAlignment="1" applyBorder="1" applyFont="1">
      <alignment horizontal="center" vertical="bottom"/>
    </xf>
    <xf borderId="262" fillId="32" fontId="8" numFmtId="0" xfId="0" applyAlignment="1" applyBorder="1" applyFont="1">
      <alignment horizontal="center" vertical="center"/>
    </xf>
    <xf borderId="263" fillId="32" fontId="8" numFmtId="0" xfId="0" applyAlignment="1" applyBorder="1" applyFont="1">
      <alignment horizontal="center" vertical="bottom"/>
    </xf>
    <xf borderId="263" fillId="32" fontId="8" numFmtId="0" xfId="0" applyAlignment="1" applyBorder="1" applyFont="1">
      <alignment horizontal="center" vertical="center"/>
    </xf>
    <xf borderId="185" fillId="28" fontId="20" numFmtId="0" xfId="0" applyAlignment="1" applyBorder="1" applyFont="1">
      <alignment horizontal="center" readingOrder="0" vertical="center"/>
    </xf>
    <xf borderId="258" fillId="32" fontId="8" numFmtId="0" xfId="0" applyAlignment="1" applyBorder="1" applyFont="1">
      <alignment horizontal="center" vertical="bottom"/>
    </xf>
    <xf borderId="190" fillId="28" fontId="20" numFmtId="0" xfId="0" applyAlignment="1" applyBorder="1" applyFont="1">
      <alignment horizontal="center" readingOrder="0" vertical="center"/>
    </xf>
    <xf borderId="264" fillId="0" fontId="5" numFmtId="0" xfId="0" applyBorder="1" applyFont="1"/>
    <xf borderId="265" fillId="0" fontId="5" numFmtId="0" xfId="0" applyBorder="1" applyFont="1"/>
    <xf borderId="263" fillId="0" fontId="5" numFmtId="0" xfId="0" applyBorder="1" applyFont="1"/>
    <xf borderId="266" fillId="32" fontId="17" numFmtId="0" xfId="0" applyAlignment="1" applyBorder="1" applyFont="1">
      <alignment horizontal="right" readingOrder="0" vertical="center"/>
    </xf>
    <xf borderId="267" fillId="32" fontId="17" numFmtId="0" xfId="0" applyAlignment="1" applyBorder="1" applyFont="1">
      <alignment horizontal="center" readingOrder="0" vertical="center"/>
    </xf>
    <xf borderId="267" fillId="32" fontId="17" numFmtId="0" xfId="0" applyAlignment="1" applyBorder="1" applyFont="1">
      <alignment horizontal="center" vertical="center"/>
    </xf>
    <xf borderId="268" fillId="32" fontId="8" numFmtId="0" xfId="0" applyAlignment="1" applyBorder="1" applyFont="1">
      <alignment horizontal="center" vertical="center"/>
    </xf>
    <xf borderId="268" fillId="32" fontId="18" numFmtId="0" xfId="0" applyAlignment="1" applyBorder="1" applyFont="1">
      <alignment horizontal="center" vertical="center"/>
    </xf>
    <xf borderId="268" fillId="32" fontId="8" numFmtId="0" xfId="0" applyAlignment="1" applyBorder="1" applyFont="1">
      <alignment horizontal="center" vertical="bottom"/>
    </xf>
    <xf borderId="267" fillId="32" fontId="8" numFmtId="0" xfId="0" applyAlignment="1" applyBorder="1" applyFont="1">
      <alignment horizontal="center" vertical="bottom"/>
    </xf>
    <xf borderId="267" fillId="32" fontId="8" numFmtId="0" xfId="0" applyAlignment="1" applyBorder="1" applyFont="1">
      <alignment horizontal="center" vertical="center"/>
    </xf>
    <xf borderId="127" fillId="24" fontId="19" numFmtId="0" xfId="0" applyAlignment="1" applyBorder="1" applyFont="1">
      <alignment horizontal="right" readingOrder="0" vertical="center"/>
    </xf>
    <xf borderId="129" fillId="24" fontId="19" numFmtId="0" xfId="0" applyAlignment="1" applyBorder="1" applyFont="1">
      <alignment horizontal="center" readingOrder="0" vertical="center"/>
    </xf>
    <xf borderId="149" fillId="28" fontId="20" numFmtId="0" xfId="0" applyAlignment="1" applyBorder="1" applyFont="1">
      <alignment horizontal="center" readingOrder="0" vertical="center"/>
    </xf>
    <xf borderId="269" fillId="33" fontId="17" numFmtId="0" xfId="0" applyAlignment="1" applyBorder="1" applyFill="1" applyFont="1">
      <alignment horizontal="right" readingOrder="0" vertical="center"/>
    </xf>
    <xf borderId="270" fillId="33" fontId="17" numFmtId="0" xfId="0" applyAlignment="1" applyBorder="1" applyFont="1">
      <alignment horizontal="center" readingOrder="0" vertical="center"/>
    </xf>
    <xf borderId="270" fillId="33" fontId="17" numFmtId="0" xfId="0" applyAlignment="1" applyBorder="1" applyFont="1">
      <alignment horizontal="center" vertical="center"/>
    </xf>
    <xf borderId="271" fillId="33" fontId="8" numFmtId="0" xfId="0" applyAlignment="1" applyBorder="1" applyFont="1">
      <alignment horizontal="center" vertical="center"/>
    </xf>
    <xf borderId="271" fillId="33" fontId="18" numFmtId="0" xfId="0" applyAlignment="1" applyBorder="1" applyFont="1">
      <alignment horizontal="center" vertical="center"/>
    </xf>
    <xf borderId="271" fillId="33" fontId="8" numFmtId="0" xfId="0" applyAlignment="1" applyBorder="1" applyFont="1">
      <alignment horizontal="center" vertical="bottom"/>
    </xf>
    <xf borderId="270" fillId="33" fontId="8" numFmtId="0" xfId="0" applyAlignment="1" applyBorder="1" applyFont="1">
      <alignment horizontal="center" vertical="bottom"/>
    </xf>
    <xf borderId="270" fillId="33" fontId="8" numFmtId="0" xfId="0" applyAlignment="1" applyBorder="1" applyFont="1">
      <alignment horizontal="center" vertical="center"/>
    </xf>
    <xf borderId="272" fillId="33" fontId="19" numFmtId="0" xfId="0" applyAlignment="1" applyBorder="1" applyFont="1">
      <alignment horizontal="right" readingOrder="0" vertical="center"/>
    </xf>
    <xf borderId="273" fillId="0" fontId="5" numFmtId="0" xfId="0" applyBorder="1" applyFont="1"/>
    <xf borderId="274" fillId="33" fontId="19" numFmtId="0" xfId="0" applyAlignment="1" applyBorder="1" applyFont="1">
      <alignment horizontal="center" readingOrder="0" vertical="center"/>
    </xf>
    <xf borderId="274" fillId="33" fontId="17" numFmtId="0" xfId="0" applyAlignment="1" applyBorder="1" applyFont="1">
      <alignment horizontal="center" readingOrder="0" vertical="center"/>
    </xf>
    <xf borderId="275" fillId="33" fontId="17" numFmtId="0" xfId="0" applyAlignment="1" applyBorder="1" applyFont="1">
      <alignment horizontal="center" vertical="center"/>
    </xf>
    <xf borderId="276" fillId="33" fontId="8" numFmtId="0" xfId="0" applyAlignment="1" applyBorder="1" applyFont="1">
      <alignment horizontal="center" vertical="bottom"/>
    </xf>
    <xf borderId="274" fillId="33" fontId="8" numFmtId="0" xfId="0" applyAlignment="1" applyBorder="1" applyFont="1">
      <alignment horizontal="center" vertical="bottom"/>
    </xf>
    <xf borderId="274" fillId="33" fontId="8" numFmtId="0" xfId="0" applyAlignment="1" applyBorder="1" applyFont="1">
      <alignment horizontal="center" vertical="center"/>
    </xf>
    <xf borderId="277" fillId="33" fontId="8" numFmtId="0" xfId="0" applyAlignment="1" applyBorder="1" applyFont="1">
      <alignment horizontal="center" vertical="center"/>
    </xf>
    <xf borderId="278" fillId="0" fontId="5" numFmtId="0" xfId="0" applyBorder="1" applyFont="1"/>
    <xf borderId="279" fillId="0" fontId="5" numFmtId="0" xfId="0" applyBorder="1" applyFont="1"/>
    <xf borderId="280" fillId="33" fontId="8" numFmtId="0" xfId="0" applyAlignment="1" applyBorder="1" applyFont="1">
      <alignment horizontal="center" vertical="bottom"/>
    </xf>
    <xf borderId="281" fillId="33" fontId="8" numFmtId="0" xfId="0" applyAlignment="1" applyBorder="1" applyFont="1">
      <alignment horizontal="center" vertical="bottom"/>
    </xf>
    <xf borderId="281" fillId="33" fontId="8" numFmtId="0" xfId="0" applyAlignment="1" applyBorder="1" applyFont="1">
      <alignment horizontal="center" vertical="center"/>
    </xf>
    <xf borderId="282" fillId="33" fontId="8" numFmtId="0" xfId="0" applyAlignment="1" applyBorder="1" applyFont="1">
      <alignment horizontal="center" vertical="center"/>
    </xf>
    <xf borderId="283" fillId="33" fontId="8" numFmtId="0" xfId="0" applyAlignment="1" applyBorder="1" applyFont="1">
      <alignment horizontal="center" vertical="bottom"/>
    </xf>
    <xf borderId="283" fillId="33" fontId="8" numFmtId="0" xfId="0" applyAlignment="1" applyBorder="1" applyFont="1">
      <alignment horizontal="center" vertical="center"/>
    </xf>
    <xf borderId="284" fillId="0" fontId="5" numFmtId="0" xfId="0" applyBorder="1" applyFont="1"/>
    <xf borderId="285" fillId="0" fontId="5" numFmtId="0" xfId="0" applyBorder="1" applyFont="1"/>
    <xf borderId="281" fillId="0" fontId="5" numFmtId="0" xfId="0" applyBorder="1" applyFont="1"/>
    <xf borderId="286" fillId="33" fontId="17" numFmtId="0" xfId="0" applyAlignment="1" applyBorder="1" applyFont="1">
      <alignment horizontal="right" readingOrder="0" vertical="center"/>
    </xf>
    <xf borderId="287" fillId="33" fontId="17" numFmtId="0" xfId="0" applyAlignment="1" applyBorder="1" applyFont="1">
      <alignment horizontal="center" readingOrder="0" vertical="center"/>
    </xf>
    <xf borderId="287" fillId="33" fontId="17" numFmtId="0" xfId="0" applyAlignment="1" applyBorder="1" applyFont="1">
      <alignment horizontal="center" vertical="center"/>
    </xf>
    <xf borderId="288" fillId="33" fontId="8" numFmtId="0" xfId="0" applyAlignment="1" applyBorder="1" applyFont="1">
      <alignment horizontal="center" vertical="center"/>
    </xf>
    <xf borderId="288" fillId="33" fontId="18" numFmtId="0" xfId="0" applyAlignment="1" applyBorder="1" applyFont="1">
      <alignment horizontal="center" vertical="center"/>
    </xf>
    <xf borderId="288" fillId="33" fontId="8" numFmtId="0" xfId="0" applyAlignment="1" applyBorder="1" applyFont="1">
      <alignment horizontal="center" vertical="bottom"/>
    </xf>
    <xf borderId="287" fillId="33" fontId="8" numFmtId="0" xfId="0" applyAlignment="1" applyBorder="1" applyFont="1">
      <alignment horizontal="center" vertical="bottom"/>
    </xf>
    <xf borderId="287" fillId="33" fontId="8" numFmtId="0" xfId="0" applyAlignment="1" applyBorder="1" applyFont="1">
      <alignment horizontal="center" vertical="center"/>
    </xf>
    <xf borderId="253" fillId="32" fontId="17" numFmtId="0" xfId="0" applyAlignment="1" applyBorder="1" applyFont="1">
      <alignment horizontal="right" readingOrder="0" vertical="center"/>
    </xf>
    <xf borderId="185" fillId="28" fontId="20" numFmtId="0" xfId="0" applyAlignment="1" applyBorder="1" applyFont="1">
      <alignment horizontal="center" vertical="center"/>
    </xf>
    <xf borderId="233" fillId="31" fontId="19" numFmtId="0" xfId="0" applyAlignment="1" applyBorder="1" applyFont="1">
      <alignment horizontal="right" readingOrder="0" vertical="center"/>
    </xf>
    <xf borderId="235" fillId="31" fontId="19" numFmtId="0" xfId="0" applyAlignment="1" applyBorder="1" applyFont="1">
      <alignment horizontal="center" readingOrder="0" vertical="center"/>
    </xf>
    <xf borderId="237" fillId="31" fontId="8" numFmtId="0" xfId="0" applyAlignment="1" applyBorder="1" applyFont="1">
      <alignment horizontal="center" vertical="center"/>
    </xf>
    <xf borderId="235" fillId="31" fontId="8" numFmtId="0" xfId="0" applyAlignment="1" applyBorder="1" applyFont="1">
      <alignment horizontal="center" vertical="center"/>
    </xf>
    <xf borderId="242" fillId="31" fontId="8" numFmtId="0" xfId="0" applyAlignment="1" applyBorder="1" applyFont="1">
      <alignment horizontal="center" vertical="center"/>
    </xf>
    <xf borderId="153" fillId="28" fontId="8" numFmtId="0" xfId="0" applyAlignment="1" applyBorder="1" applyFont="1">
      <alignment horizontal="left" readingOrder="0" vertical="bottom"/>
    </xf>
    <xf borderId="289" fillId="31" fontId="8" numFmtId="0" xfId="0" applyAlignment="1" applyBorder="1" applyFont="1">
      <alignment horizontal="center" vertical="bottom"/>
    </xf>
    <xf borderId="290" fillId="31" fontId="8" numFmtId="0" xfId="0" applyAlignment="1" applyBorder="1" applyFont="1">
      <alignment horizontal="center" vertical="center"/>
    </xf>
    <xf borderId="291" fillId="31" fontId="8" numFmtId="0" xfId="0" applyAlignment="1" applyBorder="1" applyFont="1">
      <alignment horizontal="center" vertical="bottom"/>
    </xf>
    <xf borderId="291" fillId="31" fontId="8" numFmtId="0" xfId="0" applyAlignment="1" applyBorder="1" applyFont="1">
      <alignment horizontal="center" vertical="center"/>
    </xf>
    <xf borderId="292" fillId="34" fontId="17" numFmtId="0" xfId="0" applyAlignment="1" applyBorder="1" applyFill="1" applyFont="1">
      <alignment horizontal="right" readingOrder="0" vertical="center"/>
    </xf>
    <xf borderId="293" fillId="34" fontId="17" numFmtId="0" xfId="0" applyAlignment="1" applyBorder="1" applyFont="1">
      <alignment horizontal="center" readingOrder="0" vertical="center"/>
    </xf>
    <xf borderId="293" fillId="34" fontId="17" numFmtId="0" xfId="0" applyAlignment="1" applyBorder="1" applyFont="1">
      <alignment horizontal="center" vertical="center"/>
    </xf>
    <xf borderId="294" fillId="34" fontId="8" numFmtId="0" xfId="0" applyAlignment="1" applyBorder="1" applyFont="1">
      <alignment horizontal="center" vertical="center"/>
    </xf>
    <xf borderId="293" fillId="34" fontId="8" numFmtId="0" xfId="0" applyAlignment="1" applyBorder="1" applyFont="1">
      <alignment horizontal="center" vertical="center"/>
    </xf>
    <xf borderId="295" fillId="34" fontId="8" numFmtId="0" xfId="0" applyAlignment="1" applyBorder="1" applyFont="1">
      <alignment horizontal="center" vertical="center"/>
    </xf>
    <xf borderId="296" fillId="34" fontId="17" numFmtId="0" xfId="0" applyAlignment="1" applyBorder="1" applyFont="1">
      <alignment horizontal="right" readingOrder="0" vertical="center"/>
    </xf>
    <xf borderId="297" fillId="0" fontId="5" numFmtId="0" xfId="0" applyBorder="1" applyFont="1"/>
    <xf borderId="298" fillId="34" fontId="17" numFmtId="0" xfId="0" applyAlignment="1" applyBorder="1" applyFont="1">
      <alignment horizontal="center" readingOrder="0" vertical="center"/>
    </xf>
    <xf borderId="299" fillId="34" fontId="17" numFmtId="0" xfId="0" applyAlignment="1" applyBorder="1" applyFont="1">
      <alignment horizontal="center" vertical="center"/>
    </xf>
    <xf borderId="300" fillId="34" fontId="8" numFmtId="0" xfId="0" applyAlignment="1" applyBorder="1" applyFont="1">
      <alignment horizontal="center" vertical="center"/>
    </xf>
    <xf borderId="301" fillId="34" fontId="8" numFmtId="0" xfId="0" applyAlignment="1" applyBorder="1" applyFont="1">
      <alignment horizontal="center" vertical="center"/>
    </xf>
    <xf borderId="302" fillId="34" fontId="8" numFmtId="0" xfId="0" applyAlignment="1" applyBorder="1" applyFont="1">
      <alignment horizontal="center" vertical="center"/>
    </xf>
    <xf borderId="303" fillId="0" fontId="5" numFmtId="0" xfId="0" applyBorder="1" applyFont="1"/>
    <xf borderId="304" fillId="0" fontId="5" numFmtId="0" xfId="0" applyBorder="1" applyFont="1"/>
    <xf borderId="305" fillId="34" fontId="8" numFmtId="0" xfId="0" applyAlignment="1" applyBorder="1" applyFont="1">
      <alignment horizontal="center" vertical="center"/>
    </xf>
    <xf borderId="305" fillId="34" fontId="8" numFmtId="0" xfId="0" applyAlignment="1" applyBorder="1" applyFont="1">
      <alignment horizontal="center" vertical="bottom"/>
    </xf>
    <xf borderId="306" fillId="0" fontId="5" numFmtId="0" xfId="0" applyBorder="1" applyFont="1"/>
    <xf borderId="307" fillId="0" fontId="5" numFmtId="0" xfId="0" applyBorder="1" applyFont="1"/>
    <xf borderId="308" fillId="0" fontId="5" numFmtId="0" xfId="0" applyBorder="1" applyFont="1"/>
    <xf borderId="300" fillId="34" fontId="8" numFmtId="0" xfId="0" applyAlignment="1" applyBorder="1" applyFont="1">
      <alignment horizontal="center" vertical="bottom"/>
    </xf>
    <xf borderId="308" fillId="34" fontId="8" numFmtId="0" xfId="0" applyAlignment="1" applyBorder="1" applyFont="1">
      <alignment horizontal="center" vertical="bottom"/>
    </xf>
    <xf borderId="308" fillId="34" fontId="8" numFmtId="0" xfId="0" applyAlignment="1" applyBorder="1" applyFont="1">
      <alignment horizontal="center" vertical="center"/>
    </xf>
    <xf borderId="309" fillId="34" fontId="17" numFmtId="0" xfId="0" applyAlignment="1" applyBorder="1" applyFont="1">
      <alignment horizontal="right" readingOrder="0" vertical="center"/>
    </xf>
    <xf borderId="310" fillId="34" fontId="17" numFmtId="0" xfId="0" applyAlignment="1" applyBorder="1" applyFont="1">
      <alignment horizontal="center" readingOrder="0" vertical="center"/>
    </xf>
    <xf borderId="310" fillId="34" fontId="17" numFmtId="0" xfId="0" applyAlignment="1" applyBorder="1" applyFont="1">
      <alignment horizontal="center" vertical="center"/>
    </xf>
    <xf borderId="311" fillId="34" fontId="8" numFmtId="0" xfId="0" applyAlignment="1" applyBorder="1" applyFont="1">
      <alignment horizontal="center" vertical="center"/>
    </xf>
    <xf borderId="311" fillId="34" fontId="18" numFmtId="0" xfId="0" applyAlignment="1" applyBorder="1" applyFont="1">
      <alignment horizontal="center" vertical="center"/>
    </xf>
    <xf borderId="311" fillId="34" fontId="8" numFmtId="0" xfId="0" applyAlignment="1" applyBorder="1" applyFont="1">
      <alignment horizontal="center" vertical="bottom"/>
    </xf>
    <xf borderId="310" fillId="34" fontId="8" numFmtId="0" xfId="0" applyAlignment="1" applyBorder="1" applyFont="1">
      <alignment horizontal="center" vertical="bottom"/>
    </xf>
    <xf borderId="310" fillId="34" fontId="8" numFmtId="0" xfId="0" applyAlignment="1" applyBorder="1" applyFont="1">
      <alignment horizontal="center" vertical="center"/>
    </xf>
    <xf borderId="212" fillId="28" fontId="18" numFmtId="0" xfId="0" applyAlignment="1" applyBorder="1" applyFont="1">
      <alignment horizontal="center" readingOrder="0" vertical="center"/>
    </xf>
    <xf borderId="117" fillId="4" fontId="8" numFmtId="0" xfId="0" applyAlignment="1" applyBorder="1" applyFont="1">
      <alignment horizontal="center" vertical="center"/>
    </xf>
    <xf borderId="312" fillId="3" fontId="6" numFmtId="0" xfId="0" applyAlignment="1" applyBorder="1" applyFont="1">
      <alignment horizontal="center" readingOrder="0" vertical="center"/>
    </xf>
    <xf borderId="313" fillId="35" fontId="17" numFmtId="0" xfId="0" applyAlignment="1" applyBorder="1" applyFill="1" applyFont="1">
      <alignment horizontal="right" readingOrder="0" vertical="center"/>
    </xf>
    <xf borderId="314" fillId="35" fontId="17" numFmtId="0" xfId="0" applyAlignment="1" applyBorder="1" applyFont="1">
      <alignment horizontal="center" readingOrder="0" vertical="center"/>
    </xf>
    <xf borderId="314" fillId="35" fontId="17" numFmtId="0" xfId="0" applyAlignment="1" applyBorder="1" applyFont="1">
      <alignment horizontal="center" vertical="center"/>
    </xf>
    <xf borderId="315" fillId="35" fontId="8" numFmtId="0" xfId="0" applyAlignment="1" applyBorder="1" applyFont="1">
      <alignment horizontal="center" vertical="center"/>
    </xf>
    <xf borderId="314" fillId="35" fontId="8" numFmtId="0" xfId="0" applyAlignment="1" applyBorder="1" applyFont="1">
      <alignment horizontal="center" vertical="center"/>
    </xf>
    <xf borderId="316" fillId="35" fontId="17" numFmtId="0" xfId="0" applyAlignment="1" applyBorder="1" applyFont="1">
      <alignment horizontal="right" readingOrder="0" vertical="center"/>
    </xf>
    <xf borderId="317" fillId="0" fontId="5" numFmtId="0" xfId="0" applyBorder="1" applyFont="1"/>
    <xf borderId="318" fillId="35" fontId="17" numFmtId="0" xfId="0" applyAlignment="1" applyBorder="1" applyFont="1">
      <alignment horizontal="center" readingOrder="0" vertical="center"/>
    </xf>
    <xf borderId="319" fillId="35" fontId="17" numFmtId="0" xfId="0" applyAlignment="1" applyBorder="1" applyFont="1">
      <alignment horizontal="center" vertical="center"/>
    </xf>
    <xf borderId="320" fillId="35" fontId="8" numFmtId="0" xfId="0" applyAlignment="1" applyBorder="1" applyFont="1">
      <alignment horizontal="center" vertical="center"/>
    </xf>
    <xf borderId="318" fillId="35" fontId="8" numFmtId="0" xfId="0" applyAlignment="1" applyBorder="1" applyFont="1">
      <alignment horizontal="center" vertical="center"/>
    </xf>
    <xf borderId="321" fillId="35" fontId="8" numFmtId="0" xfId="0" applyAlignment="1" applyBorder="1" applyFont="1">
      <alignment horizontal="center" vertical="center"/>
    </xf>
    <xf borderId="322" fillId="0" fontId="5" numFmtId="0" xfId="0" applyBorder="1" applyFont="1"/>
    <xf borderId="323" fillId="0" fontId="5" numFmtId="0" xfId="0" applyBorder="1" applyFont="1"/>
    <xf borderId="324" fillId="35" fontId="8" numFmtId="0" xfId="0" applyAlignment="1" applyBorder="1" applyFont="1">
      <alignment horizontal="center" vertical="center"/>
    </xf>
    <xf borderId="324" fillId="35" fontId="8" numFmtId="0" xfId="0" applyAlignment="1" applyBorder="1" applyFont="1">
      <alignment horizontal="center" vertical="bottom"/>
    </xf>
    <xf borderId="325" fillId="0" fontId="5" numFmtId="0" xfId="0" applyBorder="1" applyFont="1"/>
    <xf borderId="326" fillId="0" fontId="5" numFmtId="0" xfId="0" applyBorder="1" applyFont="1"/>
    <xf borderId="327" fillId="0" fontId="5" numFmtId="0" xfId="0" applyBorder="1" applyFont="1"/>
    <xf borderId="320" fillId="35" fontId="8" numFmtId="0" xfId="0" applyAlignment="1" applyBorder="1" applyFont="1">
      <alignment horizontal="center" vertical="bottom"/>
    </xf>
    <xf borderId="327" fillId="35" fontId="8" numFmtId="0" xfId="0" applyAlignment="1" applyBorder="1" applyFont="1">
      <alignment horizontal="center" vertical="bottom"/>
    </xf>
    <xf borderId="327" fillId="35" fontId="8" numFmtId="0" xfId="0" applyAlignment="1" applyBorder="1" applyFont="1">
      <alignment horizontal="center" vertical="center"/>
    </xf>
    <xf borderId="328" fillId="35" fontId="17" numFmtId="0" xfId="0" applyAlignment="1" applyBorder="1" applyFont="1">
      <alignment horizontal="right" readingOrder="0" vertical="center"/>
    </xf>
    <xf borderId="329" fillId="35" fontId="17" numFmtId="0" xfId="0" applyAlignment="1" applyBorder="1" applyFont="1">
      <alignment horizontal="center" readingOrder="0" vertical="center"/>
    </xf>
    <xf borderId="329" fillId="35" fontId="17" numFmtId="0" xfId="0" applyAlignment="1" applyBorder="1" applyFont="1">
      <alignment horizontal="center" vertical="center"/>
    </xf>
    <xf borderId="330" fillId="35" fontId="8" numFmtId="0" xfId="0" applyAlignment="1" applyBorder="1" applyFont="1">
      <alignment horizontal="center" vertical="center"/>
    </xf>
    <xf borderId="330" fillId="35" fontId="18" numFmtId="0" xfId="0" applyAlignment="1" applyBorder="1" applyFont="1">
      <alignment horizontal="center" vertical="center"/>
    </xf>
    <xf borderId="330" fillId="35" fontId="8" numFmtId="0" xfId="0" applyAlignment="1" applyBorder="1" applyFont="1">
      <alignment horizontal="center" vertical="bottom"/>
    </xf>
    <xf borderId="329" fillId="35" fontId="8" numFmtId="0" xfId="0" applyAlignment="1" applyBorder="1" applyFont="1">
      <alignment horizontal="center" vertical="bottom"/>
    </xf>
    <xf borderId="329" fillId="35" fontId="8" numFmtId="0" xfId="0" applyAlignment="1" applyBorder="1" applyFont="1">
      <alignment horizontal="center" vertical="center"/>
    </xf>
    <xf borderId="175" fillId="29" fontId="8" numFmtId="0" xfId="0" applyAlignment="1" applyBorder="1" applyFont="1">
      <alignment horizontal="center" vertical="center"/>
    </xf>
    <xf borderId="331" fillId="29" fontId="8" numFmtId="0" xfId="0" applyAlignment="1" applyBorder="1" applyFont="1">
      <alignment horizontal="center" vertical="center"/>
    </xf>
    <xf borderId="331" fillId="29" fontId="8" numFmtId="0" xfId="0" applyAlignment="1" applyBorder="1" applyFont="1">
      <alignment horizontal="center" vertical="bottom"/>
    </xf>
    <xf borderId="201" fillId="30" fontId="17" numFmtId="0" xfId="0" applyAlignment="1" applyBorder="1" applyFont="1">
      <alignment horizontal="right" readingOrder="0" vertical="center"/>
    </xf>
    <xf borderId="213" fillId="30" fontId="8" numFmtId="0" xfId="0" applyAlignment="1" applyBorder="1" applyFont="1">
      <alignment horizontal="center" vertical="center"/>
    </xf>
    <xf borderId="203" fillId="30" fontId="8" numFmtId="0" xfId="0" applyAlignment="1" applyBorder="1" applyFont="1">
      <alignment horizontal="center" vertical="center"/>
    </xf>
    <xf borderId="210" fillId="30" fontId="8" numFmtId="0" xfId="0" applyAlignment="1" applyBorder="1" applyFont="1">
      <alignment horizontal="center" vertical="center"/>
    </xf>
    <xf borderId="219" fillId="30" fontId="17" numFmtId="0" xfId="0" applyAlignment="1" applyBorder="1" applyFont="1">
      <alignment horizontal="center" vertical="center"/>
    </xf>
    <xf borderId="332" fillId="30" fontId="8" numFmtId="0" xfId="0" applyAlignment="1" applyBorder="1" applyFont="1">
      <alignment horizontal="center" vertical="center"/>
    </xf>
    <xf borderId="332" fillId="30" fontId="18" numFmtId="0" xfId="0" applyAlignment="1" applyBorder="1" applyFont="1">
      <alignment horizontal="center" vertical="center"/>
    </xf>
    <xf borderId="332" fillId="30" fontId="8" numFmtId="0" xfId="0" applyAlignment="1" applyBorder="1" applyFont="1">
      <alignment horizontal="center" vertical="bottom"/>
    </xf>
    <xf borderId="333" fillId="30" fontId="8" numFmtId="0" xfId="0" applyAlignment="1" applyBorder="1" applyFont="1">
      <alignment horizontal="center" vertical="center"/>
    </xf>
    <xf borderId="226" fillId="4" fontId="21" numFmtId="0" xfId="0" applyAlignment="1" applyBorder="1" applyFont="1">
      <alignment horizontal="center" vertical="center"/>
    </xf>
    <xf borderId="116" fillId="3" fontId="6" numFmtId="0" xfId="0" applyAlignment="1" applyBorder="1" applyFont="1">
      <alignment horizontal="center" readingOrder="0" vertical="bottom"/>
    </xf>
    <xf borderId="13" fillId="3" fontId="6" numFmtId="0" xfId="0" applyAlignment="1" applyBorder="1" applyFont="1">
      <alignment horizontal="center" readingOrder="0" vertical="bottom"/>
    </xf>
    <xf borderId="24" fillId="4" fontId="6" numFmtId="0" xfId="0" applyAlignment="1" applyBorder="1" applyFont="1">
      <alignment horizontal="left" readingOrder="0" vertical="bottom"/>
    </xf>
    <xf borderId="136" fillId="4" fontId="22" numFmtId="0" xfId="0" applyAlignment="1" applyBorder="1" applyFont="1">
      <alignment horizontal="center" vertical="center"/>
    </xf>
    <xf borderId="111" fillId="4" fontId="23" numFmtId="0" xfId="0" applyAlignment="1" applyBorder="1" applyFont="1">
      <alignment horizontal="left" readingOrder="0" vertical="center"/>
    </xf>
    <xf borderId="77" fillId="4" fontId="24" numFmtId="0" xfId="0" applyAlignment="1" applyBorder="1" applyFont="1">
      <alignment horizontal="center" readingOrder="0" vertical="bottom"/>
    </xf>
    <xf borderId="116" fillId="4" fontId="22" numFmtId="0" xfId="0" applyAlignment="1" applyBorder="1" applyFont="1">
      <alignment horizontal="right" vertical="center"/>
    </xf>
    <xf borderId="334" fillId="36" fontId="22" numFmtId="0" xfId="0" applyAlignment="1" applyBorder="1" applyFill="1" applyFont="1">
      <alignment horizontal="center" vertical="center"/>
    </xf>
    <xf borderId="335" fillId="2" fontId="22" numFmtId="0" xfId="0" applyAlignment="1" applyBorder="1" applyFont="1">
      <alignment horizontal="left" readingOrder="0" vertical="center"/>
    </xf>
    <xf borderId="336" fillId="2" fontId="22" numFmtId="0" xfId="0" applyAlignment="1" applyBorder="1" applyFont="1">
      <alignment horizontal="center" readingOrder="0" vertical="center"/>
    </xf>
    <xf borderId="336" fillId="2" fontId="22" numFmtId="0" xfId="0" applyAlignment="1" applyBorder="1" applyFont="1">
      <alignment horizontal="left" vertical="center"/>
    </xf>
    <xf borderId="97" fillId="2" fontId="22" numFmtId="0" xfId="0" applyAlignment="1" applyBorder="1" applyFont="1">
      <alignment horizontal="left" readingOrder="0" vertical="center"/>
    </xf>
    <xf borderId="337" fillId="0" fontId="5" numFmtId="0" xfId="0" applyBorder="1" applyFont="1"/>
    <xf borderId="116" fillId="3" fontId="7" numFmtId="0" xfId="0" applyAlignment="1" applyBorder="1" applyFont="1">
      <alignment horizontal="center" vertical="center"/>
    </xf>
    <xf borderId="14" fillId="3" fontId="7" numFmtId="0" xfId="0" applyAlignment="1" applyBorder="1" applyFont="1">
      <alignment horizontal="center" vertical="center"/>
    </xf>
    <xf borderId="13" fillId="3" fontId="7" numFmtId="0" xfId="0" applyAlignment="1" applyBorder="1" applyFont="1">
      <alignment horizontal="center" vertical="center"/>
    </xf>
    <xf borderId="15" fillId="3" fontId="7" numFmtId="0" xfId="0" applyAlignment="1" applyBorder="1" applyFont="1">
      <alignment horizontal="center" vertical="center"/>
    </xf>
    <xf borderId="338" fillId="8" fontId="22" numFmtId="0" xfId="0" applyAlignment="1" applyBorder="1" applyFont="1">
      <alignment horizontal="left" readingOrder="0" vertical="center"/>
    </xf>
    <xf borderId="339" fillId="8" fontId="22" numFmtId="0" xfId="0" applyAlignment="1" applyBorder="1" applyFont="1">
      <alignment horizontal="center" readingOrder="0" vertical="center"/>
    </xf>
    <xf borderId="339" fillId="8" fontId="22" numFmtId="0" xfId="0" applyAlignment="1" applyBorder="1" applyFont="1">
      <alignment horizontal="left" vertical="center"/>
    </xf>
    <xf borderId="34" fillId="8" fontId="22" numFmtId="0" xfId="0" applyAlignment="1" applyBorder="1" applyFont="1">
      <alignment horizontal="left" readingOrder="0" vertical="center"/>
    </xf>
    <xf borderId="12" fillId="3" fontId="7" numFmtId="0" xfId="0" applyAlignment="1" applyBorder="1" applyFont="1">
      <alignment horizontal="center" vertical="center"/>
    </xf>
    <xf borderId="336" fillId="2" fontId="22" numFmtId="0" xfId="0" applyAlignment="1" applyBorder="1" applyFont="1">
      <alignment horizontal="center" vertical="center"/>
    </xf>
    <xf borderId="100" fillId="2" fontId="22" numFmtId="0" xfId="0" applyAlignment="1" applyBorder="1" applyFont="1">
      <alignment horizontal="left" readingOrder="0" vertical="center"/>
    </xf>
    <xf borderId="24" fillId="4" fontId="22" numFmtId="0" xfId="0" applyAlignment="1" applyBorder="1" applyFont="1">
      <alignment horizontal="left" readingOrder="0" vertical="center"/>
    </xf>
    <xf borderId="109" fillId="8" fontId="22" numFmtId="0" xfId="0" applyAlignment="1" applyBorder="1" applyFont="1">
      <alignment horizontal="left" readingOrder="0" vertical="center"/>
    </xf>
    <xf borderId="340" fillId="4" fontId="22" numFmtId="0" xfId="0" applyAlignment="1" applyBorder="1" applyFont="1">
      <alignment horizontal="center" vertical="center"/>
    </xf>
    <xf borderId="341" fillId="4" fontId="22" numFmtId="0" xfId="0" applyAlignment="1" applyBorder="1" applyFont="1">
      <alignment horizontal="center" vertical="center"/>
    </xf>
    <xf borderId="24" fillId="4" fontId="22" numFmtId="0" xfId="0" applyAlignment="1" applyBorder="1" applyFont="1">
      <alignment horizontal="center" vertical="center"/>
    </xf>
    <xf borderId="226" fillId="4" fontId="22" numFmtId="0" xfId="0" applyAlignment="1" applyBorder="1" applyFont="1">
      <alignment horizontal="center" vertical="center"/>
    </xf>
    <xf borderId="342" fillId="3" fontId="22" numFmtId="0" xfId="0" applyAlignment="1" applyBorder="1" applyFont="1">
      <alignment horizontal="center" vertical="center"/>
    </xf>
    <xf borderId="343" fillId="3" fontId="22" numFmtId="0" xfId="0" applyAlignment="1" applyBorder="1" applyFont="1">
      <alignment horizontal="center" vertical="center"/>
    </xf>
    <xf borderId="119" fillId="4" fontId="25" numFmtId="0" xfId="0" applyAlignment="1" applyBorder="1" applyFont="1">
      <alignment horizontal="left" readingOrder="0" vertical="center"/>
    </xf>
    <xf borderId="21" fillId="2" fontId="22" numFmtId="0" xfId="0" applyAlignment="1" applyBorder="1" applyFont="1">
      <alignment horizontal="left" readingOrder="0" vertical="center"/>
    </xf>
    <xf borderId="119" fillId="4" fontId="26" numFmtId="0" xfId="0" applyAlignment="1" applyBorder="1" applyFont="1">
      <alignment horizontal="left" readingOrder="0" vertical="center"/>
    </xf>
    <xf borderId="336" fillId="2" fontId="22" numFmtId="0" xfId="0" applyAlignment="1" applyBorder="1" applyFont="1">
      <alignment horizontal="center" vertical="center"/>
    </xf>
    <xf borderId="77" fillId="4" fontId="7" numFmtId="0" xfId="0" applyAlignment="1" applyBorder="1" applyFont="1">
      <alignment horizontal="center" vertical="center"/>
    </xf>
    <xf borderId="223" fillId="4" fontId="24" numFmtId="0" xfId="0" applyAlignment="1" applyBorder="1" applyFont="1">
      <alignment horizontal="center" readingOrder="0" vertical="bottom"/>
    </xf>
    <xf borderId="344" fillId="4" fontId="22" numFmtId="0" xfId="0" applyAlignment="1" applyBorder="1" applyFont="1">
      <alignment horizontal="right" vertical="center"/>
    </xf>
    <xf borderId="345" fillId="36" fontId="22" numFmtId="0" xfId="0" applyAlignment="1" applyBorder="1" applyFont="1">
      <alignment horizontal="center" vertical="center"/>
    </xf>
    <xf borderId="346" fillId="8" fontId="22" numFmtId="0" xfId="0" applyAlignment="1" applyBorder="1" applyFont="1">
      <alignment horizontal="left" readingOrder="0" vertical="center"/>
    </xf>
    <xf borderId="347" fillId="8" fontId="22" numFmtId="0" xfId="0" applyAlignment="1" applyBorder="1" applyFont="1">
      <alignment horizontal="center" vertical="center"/>
    </xf>
    <xf borderId="347" fillId="8" fontId="22" numFmtId="0" xfId="0" applyAlignment="1" applyBorder="1" applyFont="1">
      <alignment horizontal="left" vertical="center"/>
    </xf>
    <xf borderId="312" fillId="3" fontId="7" numFmtId="0" xfId="0" applyAlignment="1" applyBorder="1" applyFont="1">
      <alignment horizontal="center" vertical="center"/>
    </xf>
    <xf borderId="15" fillId="2" fontId="22" numFmtId="0" xfId="0" applyAlignment="1" applyBorder="1" applyFont="1">
      <alignment horizontal="left" readingOrder="0" vertical="center"/>
    </xf>
    <xf borderId="21" fillId="2" fontId="22" numFmtId="0" xfId="0" applyAlignment="1" applyBorder="1" applyFont="1">
      <alignment horizontal="center" readingOrder="0" vertical="center"/>
    </xf>
    <xf borderId="15" fillId="8" fontId="22" numFmtId="0" xfId="0" applyAlignment="1" applyBorder="1" applyFont="1">
      <alignment horizontal="left" readingOrder="0" vertical="center"/>
    </xf>
    <xf borderId="34" fillId="8" fontId="22" numFmtId="0" xfId="0" applyAlignment="1" applyBorder="1" applyFont="1">
      <alignment horizontal="center" vertical="center"/>
    </xf>
    <xf borderId="339" fillId="8" fontId="22" numFmtId="0" xfId="0" applyAlignment="1" applyBorder="1" applyFont="1">
      <alignment horizontal="center" vertical="center"/>
    </xf>
    <xf borderId="339" fillId="8" fontId="22" numFmtId="0" xfId="0" applyAlignment="1" applyBorder="1" applyFont="1">
      <alignment horizontal="center" vertical="center"/>
    </xf>
    <xf borderId="348" fillId="3" fontId="7" numFmtId="0" xfId="0" applyAlignment="1" applyBorder="1" applyFont="1">
      <alignment horizontal="center" vertical="center"/>
    </xf>
    <xf borderId="21" fillId="2" fontId="22" numFmtId="0" xfId="0" applyAlignment="1" applyBorder="1" applyFont="1">
      <alignment horizontal="left" vertical="center"/>
    </xf>
    <xf borderId="119" fillId="4" fontId="27" numFmtId="0" xfId="0" applyAlignment="1" applyBorder="1" applyFont="1">
      <alignment horizontal="left" vertical="center"/>
    </xf>
    <xf borderId="336" fillId="2" fontId="28" numFmtId="0" xfId="0" applyAlignment="1" applyBorder="1" applyFont="1">
      <alignment horizontal="center" readingOrder="0" vertical="center"/>
    </xf>
    <xf borderId="119" fillId="4" fontId="29" numFmtId="0" xfId="0" applyAlignment="1" applyBorder="1" applyFont="1">
      <alignment horizontal="left" readingOrder="0" vertical="center"/>
    </xf>
    <xf borderId="34" fillId="8" fontId="22" numFmtId="0" xfId="0" applyAlignment="1" applyBorder="1" applyFont="1">
      <alignment horizontal="left" vertical="center"/>
    </xf>
    <xf borderId="21" fillId="2" fontId="28" numFmtId="0" xfId="0" applyAlignment="1" applyBorder="1" applyFont="1">
      <alignment horizontal="left" readingOrder="0" vertical="center"/>
    </xf>
    <xf borderId="34" fillId="8" fontId="22" numFmtId="0" xfId="0" applyAlignment="1" applyBorder="1" applyFont="1">
      <alignment horizontal="left" vertical="center"/>
    </xf>
    <xf borderId="349" fillId="4" fontId="22" numFmtId="0" xfId="0" applyAlignment="1" applyBorder="1" applyFont="1">
      <alignment horizontal="right" vertical="center"/>
    </xf>
    <xf borderId="350" fillId="36" fontId="22" numFmtId="0" xfId="0" applyAlignment="1" applyBorder="1" applyFont="1">
      <alignment horizontal="center" vertical="center"/>
    </xf>
    <xf borderId="351" fillId="2" fontId="22" numFmtId="0" xfId="0" applyAlignment="1" applyBorder="1" applyFont="1">
      <alignment horizontal="left" readingOrder="0" vertical="center"/>
    </xf>
    <xf borderId="352" fillId="2" fontId="22" numFmtId="0" xfId="0" applyAlignment="1" applyBorder="1" applyFont="1">
      <alignment horizontal="center" vertical="center"/>
    </xf>
    <xf borderId="352" fillId="2" fontId="22" numFmtId="0" xfId="0" applyAlignment="1" applyBorder="1" applyFont="1">
      <alignment horizontal="left" vertical="center"/>
    </xf>
    <xf borderId="353" fillId="0" fontId="5" numFmtId="0" xfId="0" applyBorder="1" applyFont="1"/>
    <xf borderId="354" fillId="0" fontId="5" numFmtId="0" xfId="0" applyBorder="1" applyFont="1"/>
    <xf borderId="355" fillId="0" fontId="5" numFmtId="0" xfId="0" applyBorder="1" applyFont="1"/>
    <xf borderId="356" fillId="0" fontId="5" numFmtId="0" xfId="0" applyBorder="1" applyFont="1"/>
    <xf borderId="357" fillId="0" fontId="5" numFmtId="0" xfId="0" applyBorder="1" applyFont="1"/>
    <xf borderId="358" fillId="0" fontId="5" numFmtId="0" xfId="0" applyBorder="1" applyFont="1"/>
    <xf borderId="359" fillId="8" fontId="22" numFmtId="0" xfId="0" applyAlignment="1" applyBorder="1" applyFont="1">
      <alignment horizontal="left" readingOrder="0" vertical="center"/>
    </xf>
    <xf borderId="360" fillId="8" fontId="22" numFmtId="0" xfId="0" applyAlignment="1" applyBorder="1" applyFont="1">
      <alignment horizontal="center" readingOrder="0" vertical="center"/>
    </xf>
    <xf borderId="360" fillId="8" fontId="22" numFmtId="0" xfId="0" applyAlignment="1" applyBorder="1" applyFont="1">
      <alignment horizontal="left" vertical="center"/>
    </xf>
    <xf borderId="103" fillId="8" fontId="22" numFmtId="0" xfId="0" applyAlignment="1" applyBorder="1" applyFont="1">
      <alignment horizontal="left" readingOrder="0" vertical="center"/>
    </xf>
    <xf borderId="361" fillId="0" fontId="5" numFmtId="0" xfId="0" applyBorder="1" applyFont="1"/>
    <xf borderId="362" fillId="0" fontId="5" numFmtId="0" xfId="0" applyBorder="1" applyFont="1"/>
    <xf borderId="363" fillId="0" fontId="5" numFmtId="0" xfId="0" applyBorder="1" applyFont="1"/>
    <xf borderId="34" fillId="8" fontId="28" numFmtId="0" xfId="0" applyAlignment="1" applyBorder="1" applyFont="1">
      <alignment horizontal="left" readingOrder="0" vertical="center"/>
    </xf>
    <xf borderId="352" fillId="2" fontId="22" numFmtId="0" xfId="0" applyAlignment="1" applyBorder="1" applyFont="1">
      <alignment horizontal="center" readingOrder="0" vertical="center"/>
    </xf>
    <xf borderId="349" fillId="3" fontId="7" numFmtId="0" xfId="0" applyAlignment="1" applyBorder="1" applyFont="1">
      <alignment horizontal="center" vertical="center"/>
    </xf>
    <xf borderId="98" fillId="3" fontId="7" numFmtId="0" xfId="0" applyAlignment="1" applyBorder="1" applyFont="1">
      <alignment horizontal="center" vertical="center"/>
    </xf>
    <xf borderId="116" fillId="3" fontId="7" numFmtId="0" xfId="0" applyAlignment="1" applyBorder="1" applyFont="1">
      <alignment horizontal="center" vertical="center"/>
    </xf>
    <xf borderId="15" fillId="3" fontId="7" numFmtId="0" xfId="0" applyAlignment="1" applyBorder="1" applyFont="1">
      <alignment horizontal="center" vertical="center"/>
    </xf>
    <xf borderId="336" fillId="2" fontId="22" numFmtId="0" xfId="0" applyAlignment="1" applyBorder="1" applyFont="1">
      <alignment horizontal="left" readingOrder="0" vertical="center"/>
    </xf>
    <xf borderId="335" fillId="0" fontId="5" numFmtId="0" xfId="0" applyBorder="1" applyFont="1"/>
    <xf borderId="116" fillId="3" fontId="7" numFmtId="0" xfId="0" applyAlignment="1" applyBorder="1" applyFont="1">
      <alignment horizontal="center" readingOrder="0" vertical="center"/>
    </xf>
    <xf borderId="15" fillId="3" fontId="7" numFmtId="0" xfId="0" applyAlignment="1" applyBorder="1" applyFont="1">
      <alignment horizontal="center" readingOrder="0" vertical="center"/>
    </xf>
    <xf borderId="360" fillId="8" fontId="22" numFmtId="0" xfId="0" applyAlignment="1" applyBorder="1" applyFont="1">
      <alignment horizontal="center" vertical="center"/>
    </xf>
    <xf borderId="103" fillId="8" fontId="22" numFmtId="0" xfId="0" applyAlignment="1" applyBorder="1" applyFont="1">
      <alignment horizontal="left" vertical="center"/>
    </xf>
    <xf borderId="339" fillId="8" fontId="28" numFmtId="0" xfId="0" applyAlignment="1" applyBorder="1" applyFont="1">
      <alignment horizontal="center" vertical="center"/>
    </xf>
    <xf borderId="339" fillId="8" fontId="22" numFmtId="0" xfId="0" applyAlignment="1" applyBorder="1" applyFont="1">
      <alignment horizontal="left" readingOrder="0" vertical="center"/>
    </xf>
    <xf borderId="103" fillId="8" fontId="28" numFmtId="0" xfId="0" applyAlignment="1" applyBorder="1" applyFont="1">
      <alignment horizontal="left" readingOrder="0" vertical="center"/>
    </xf>
    <xf borderId="352" fillId="2" fontId="22" numFmtId="0" xfId="0" applyAlignment="1" applyBorder="1" applyFont="1">
      <alignment horizontal="left" readingOrder="0" vertical="center"/>
    </xf>
    <xf borderId="339" fillId="8" fontId="28" numFmtId="0" xfId="0" applyAlignment="1" applyBorder="1" applyFont="1">
      <alignment horizontal="center" readingOrder="0" vertical="center"/>
    </xf>
    <xf borderId="117" fillId="4" fontId="22" numFmtId="0" xfId="0" applyAlignment="1" applyBorder="1" applyFont="1">
      <alignment horizontal="center" vertical="center"/>
    </xf>
    <xf borderId="77" fillId="4" fontId="22" numFmtId="0" xfId="0" applyAlignment="1" applyBorder="1" applyFont="1">
      <alignment horizontal="center" vertical="center"/>
    </xf>
    <xf borderId="228" fillId="4" fontId="22" numFmtId="0" xfId="0" applyAlignment="1" applyBorder="1" applyFont="1">
      <alignment horizontal="center" vertical="center"/>
    </xf>
    <xf borderId="364" fillId="3" fontId="30" numFmtId="0" xfId="0" applyAlignment="1" applyBorder="1" applyFont="1">
      <alignment horizontal="center" vertical="center"/>
    </xf>
    <xf borderId="365" fillId="3" fontId="30" numFmtId="0" xfId="0" applyAlignment="1" applyBorder="1" applyFont="1">
      <alignment horizontal="center" vertical="center"/>
    </xf>
    <xf borderId="366" fillId="3" fontId="30" numFmtId="0" xfId="0" applyAlignment="1" applyBorder="1" applyFont="1">
      <alignment horizontal="center" vertical="center"/>
    </xf>
    <xf borderId="367" fillId="3" fontId="30" numFmtId="0" xfId="0" applyAlignment="1" applyBorder="1" applyFont="1">
      <alignment horizontal="center" vertical="center"/>
    </xf>
    <xf borderId="368" fillId="3" fontId="30" numFmtId="0" xfId="0" applyAlignment="1" applyBorder="1" applyFont="1">
      <alignment horizontal="center" vertical="center"/>
    </xf>
    <xf borderId="369" fillId="3" fontId="30" numFmtId="0" xfId="0" applyAlignment="1" applyBorder="1" applyFont="1">
      <alignment horizontal="center" vertical="center"/>
    </xf>
    <xf borderId="370" fillId="37" fontId="30" numFmtId="0" xfId="0" applyAlignment="1" applyBorder="1" applyFill="1" applyFont="1">
      <alignment horizontal="center" vertical="center"/>
    </xf>
    <xf borderId="371" fillId="0" fontId="5" numFmtId="0" xfId="0" applyBorder="1" applyFont="1"/>
    <xf borderId="372" fillId="0" fontId="5" numFmtId="0" xfId="0" applyBorder="1" applyFont="1"/>
    <xf borderId="373" fillId="37" fontId="30" numFmtId="0" xfId="0" applyAlignment="1" applyBorder="1" applyFont="1">
      <alignment horizontal="center" vertical="center"/>
    </xf>
    <xf borderId="374" fillId="37" fontId="31" numFmtId="0" xfId="0" applyAlignment="1" applyBorder="1" applyFont="1">
      <alignment horizontal="left" readingOrder="0" vertical="center"/>
    </xf>
    <xf borderId="375" fillId="0" fontId="5" numFmtId="0" xfId="0" applyBorder="1" applyFont="1"/>
    <xf borderId="375" fillId="38" fontId="32" numFmtId="0" xfId="0" applyAlignment="1" applyBorder="1" applyFill="1" applyFont="1">
      <alignment horizontal="left" readingOrder="0" vertical="center"/>
    </xf>
    <xf borderId="35" fillId="0" fontId="5" numFmtId="0" xfId="0" applyBorder="1" applyFont="1"/>
    <xf borderId="375" fillId="3" fontId="30" numFmtId="0" xfId="0" applyAlignment="1" applyBorder="1" applyFont="1">
      <alignment horizontal="center" vertical="center"/>
    </xf>
    <xf borderId="370" fillId="39" fontId="30" numFmtId="0" xfId="0" applyAlignment="1" applyBorder="1" applyFill="1" applyFont="1">
      <alignment horizontal="center" vertical="center"/>
    </xf>
    <xf borderId="376" fillId="0" fontId="5" numFmtId="0" xfId="0" applyBorder="1" applyFont="1"/>
    <xf borderId="377" fillId="39" fontId="30" numFmtId="0" xfId="0" applyAlignment="1" applyBorder="1" applyFont="1">
      <alignment horizontal="center" vertical="center"/>
    </xf>
    <xf borderId="378" fillId="39" fontId="33" numFmtId="0" xfId="0" applyAlignment="1" applyBorder="1" applyFont="1">
      <alignment horizontal="left" readingOrder="0" vertical="center"/>
    </xf>
    <xf borderId="375" fillId="40" fontId="34" numFmtId="0" xfId="0" applyAlignment="1" applyBorder="1" applyFill="1" applyFont="1">
      <alignment horizontal="left" readingOrder="0" vertical="center"/>
    </xf>
    <xf borderId="24" fillId="4" fontId="30" numFmtId="0" xfId="0" applyAlignment="1" applyBorder="1" applyFont="1">
      <alignment horizontal="center" vertical="center"/>
    </xf>
    <xf borderId="379" fillId="0" fontId="5" numFmtId="0" xfId="0" applyBorder="1" applyFont="1"/>
    <xf borderId="380" fillId="0" fontId="5" numFmtId="0" xfId="0" applyBorder="1" applyFont="1"/>
    <xf borderId="370" fillId="4" fontId="8" numFmtId="0" xfId="0" applyAlignment="1" applyBorder="1" applyFont="1">
      <alignment horizontal="left" readingOrder="0" vertical="top"/>
    </xf>
    <xf borderId="381" fillId="0" fontId="5" numFmtId="0" xfId="0" applyBorder="1" applyFont="1"/>
    <xf borderId="29" fillId="0" fontId="5" numFmtId="0" xfId="0" applyBorder="1" applyFont="1"/>
    <xf borderId="382" fillId="0" fontId="5" numFmtId="0" xfId="0" applyBorder="1" applyFont="1"/>
    <xf borderId="383" fillId="0" fontId="5" numFmtId="0" xfId="0" applyBorder="1" applyFont="1"/>
    <xf borderId="384" fillId="0" fontId="5" numFmtId="0" xfId="0" applyBorder="1" applyFont="1"/>
    <xf borderId="385" fillId="3" fontId="30" numFmtId="0" xfId="0" applyAlignment="1" applyBorder="1" applyFont="1">
      <alignment horizontal="center" vertical="center"/>
    </xf>
    <xf borderId="386" fillId="3" fontId="30" numFmtId="0" xfId="0" applyAlignment="1" applyBorder="1" applyFont="1">
      <alignment horizontal="center" vertical="center"/>
    </xf>
    <xf borderId="387" fillId="3" fontId="30" numFmtId="0" xfId="0" applyAlignment="1" applyBorder="1" applyFont="1">
      <alignment horizontal="center" vertical="center"/>
    </xf>
    <xf borderId="370" fillId="41" fontId="30" numFmtId="0" xfId="0" applyAlignment="1" applyBorder="1" applyFill="1" applyFont="1">
      <alignment horizontal="center" vertical="center"/>
    </xf>
    <xf borderId="388" fillId="41" fontId="30" numFmtId="0" xfId="0" applyAlignment="1" applyBorder="1" applyFont="1">
      <alignment horizontal="center" vertical="center"/>
    </xf>
    <xf borderId="389" fillId="41" fontId="35" numFmtId="0" xfId="0" applyAlignment="1" applyBorder="1" applyFont="1">
      <alignment horizontal="left" readingOrder="0" vertical="center"/>
    </xf>
    <xf borderId="375" fillId="42" fontId="36" numFmtId="0" xfId="0" applyAlignment="1" applyBorder="1" applyFill="1" applyFont="1">
      <alignment horizontal="left" readingOrder="0" vertical="center"/>
    </xf>
    <xf borderId="370" fillId="43" fontId="30" numFmtId="0" xfId="0" applyAlignment="1" applyBorder="1" applyFill="1" applyFont="1">
      <alignment horizontal="center" vertical="center"/>
    </xf>
    <xf borderId="390" fillId="43" fontId="30" numFmtId="0" xfId="0" applyAlignment="1" applyBorder="1" applyFont="1">
      <alignment horizontal="center" vertical="center"/>
    </xf>
    <xf borderId="391" fillId="43" fontId="37" numFmtId="0" xfId="0" applyAlignment="1" applyBorder="1" applyFont="1">
      <alignment horizontal="left" readingOrder="0" vertical="center"/>
    </xf>
    <xf borderId="375" fillId="44" fontId="38" numFmtId="0" xfId="0" applyAlignment="1" applyBorder="1" applyFill="1" applyFont="1">
      <alignment horizontal="left" readingOrder="0" vertical="center"/>
    </xf>
    <xf borderId="370" fillId="45" fontId="30" numFmtId="0" xfId="0" applyAlignment="1" applyBorder="1" applyFill="1" applyFont="1">
      <alignment horizontal="center" vertical="center"/>
    </xf>
    <xf borderId="392" fillId="45" fontId="30" numFmtId="0" xfId="0" applyAlignment="1" applyBorder="1" applyFont="1">
      <alignment horizontal="center" vertical="center"/>
    </xf>
    <xf borderId="393" fillId="45" fontId="39" numFmtId="0" xfId="0" applyAlignment="1" applyBorder="1" applyFont="1">
      <alignment horizontal="left" readingOrder="0" vertical="center"/>
    </xf>
    <xf borderId="371" fillId="46" fontId="40" numFmtId="0" xfId="0" applyAlignment="1" applyBorder="1" applyFill="1" applyFont="1">
      <alignment horizontal="left" readingOrder="0" vertical="center"/>
    </xf>
    <xf borderId="394" fillId="0" fontId="5" numFmtId="0" xfId="0" applyBorder="1" applyFont="1"/>
    <xf borderId="370" fillId="47" fontId="30" numFmtId="0" xfId="0" applyAlignment="1" applyBorder="1" applyFill="1" applyFont="1">
      <alignment horizontal="center" vertical="center"/>
    </xf>
    <xf borderId="395" fillId="47" fontId="30" numFmtId="0" xfId="0" applyAlignment="1" applyBorder="1" applyFont="1">
      <alignment horizontal="center" vertical="center"/>
    </xf>
    <xf borderId="396" fillId="47" fontId="41" numFmtId="0" xfId="0" applyAlignment="1" applyBorder="1" applyFont="1">
      <alignment horizontal="left" readingOrder="0" vertical="center"/>
    </xf>
    <xf borderId="375" fillId="48" fontId="42" numFmtId="0" xfId="0" applyAlignment="1" applyBorder="1" applyFill="1" applyFont="1">
      <alignment horizontal="left" readingOrder="0" vertical="center"/>
    </xf>
    <xf borderId="370" fillId="49" fontId="30" numFmtId="0" xfId="0" applyAlignment="1" applyBorder="1" applyFill="1" applyFont="1">
      <alignment horizontal="center" vertical="center"/>
    </xf>
    <xf borderId="397" fillId="49" fontId="30" numFmtId="0" xfId="0" applyAlignment="1" applyBorder="1" applyFont="1">
      <alignment horizontal="center" vertical="center"/>
    </xf>
    <xf borderId="398" fillId="49" fontId="43" numFmtId="0" xfId="0" applyAlignment="1" applyBorder="1" applyFont="1">
      <alignment horizontal="left" readingOrder="0" vertical="center"/>
    </xf>
    <xf borderId="371" fillId="50" fontId="44" numFmtId="0" xfId="0" applyAlignment="1" applyBorder="1" applyFill="1" applyFont="1">
      <alignment horizontal="left" readingOrder="0" vertical="center"/>
    </xf>
    <xf borderId="370" fillId="51" fontId="30" numFmtId="0" xfId="0" applyAlignment="1" applyBorder="1" applyFill="1" applyFont="1">
      <alignment horizontal="center" vertical="center"/>
    </xf>
    <xf borderId="399" fillId="0" fontId="5" numFmtId="0" xfId="0" applyBorder="1" applyFont="1"/>
    <xf borderId="400" fillId="51" fontId="30" numFmtId="0" xfId="0" applyAlignment="1" applyBorder="1" applyFont="1">
      <alignment horizontal="center" vertical="center"/>
    </xf>
    <xf borderId="401" fillId="51" fontId="45" numFmtId="0" xfId="0" applyAlignment="1" applyBorder="1" applyFont="1">
      <alignment horizontal="left" readingOrder="0" vertical="center"/>
    </xf>
    <xf borderId="371" fillId="52" fontId="46" numFmtId="0" xfId="0" applyAlignment="1" applyBorder="1" applyFill="1" applyFont="1">
      <alignment horizontal="left" readingOrder="0" vertical="center"/>
    </xf>
    <xf borderId="402" fillId="0" fontId="5" numFmtId="0" xfId="0" applyBorder="1" applyFont="1"/>
    <xf borderId="403" fillId="4" fontId="8" numFmtId="0" xfId="0" applyAlignment="1" applyBorder="1" applyFont="1">
      <alignment horizontal="left" readingOrder="0" vertical="top"/>
    </xf>
    <xf borderId="404" fillId="0" fontId="5" numFmtId="0" xfId="0" applyBorder="1" applyFont="1"/>
    <xf borderId="405" fillId="0" fontId="5" numFmtId="0" xfId="0" applyBorder="1" applyFont="1"/>
    <xf borderId="406" fillId="0" fontId="5" numFmtId="0" xfId="0" applyBorder="1" applyFont="1"/>
    <xf borderId="370" fillId="53" fontId="30" numFmtId="0" xfId="0" applyAlignment="1" applyBorder="1" applyFill="1" applyFont="1">
      <alignment horizontal="center" vertical="center"/>
    </xf>
    <xf borderId="407" fillId="53" fontId="30" numFmtId="0" xfId="0" applyAlignment="1" applyBorder="1" applyFont="1">
      <alignment horizontal="center" vertical="center"/>
    </xf>
    <xf borderId="408" fillId="53" fontId="47" numFmtId="0" xfId="0" applyAlignment="1" applyBorder="1" applyFont="1">
      <alignment horizontal="left" readingOrder="0" vertical="center"/>
    </xf>
    <xf borderId="371" fillId="54" fontId="48" numFmtId="0" xfId="0" applyAlignment="1" applyBorder="1" applyFill="1" applyFont="1">
      <alignment horizontal="left" readingOrder="0" vertical="center"/>
    </xf>
    <xf borderId="370" fillId="55" fontId="30" numFmtId="0" xfId="0" applyAlignment="1" applyBorder="1" applyFill="1" applyFont="1">
      <alignment horizontal="center" vertical="center"/>
    </xf>
    <xf borderId="409" fillId="55" fontId="30" numFmtId="0" xfId="0" applyAlignment="1" applyBorder="1" applyFont="1">
      <alignment horizontal="center" vertical="center"/>
    </xf>
    <xf borderId="410" fillId="55" fontId="49" numFmtId="0" xfId="0" applyAlignment="1" applyBorder="1" applyFont="1">
      <alignment horizontal="left" readingOrder="0" vertical="center"/>
    </xf>
    <xf borderId="371" fillId="56" fontId="50" numFmtId="0" xfId="0" applyAlignment="1" applyBorder="1" applyFill="1" applyFont="1">
      <alignment horizontal="left" readingOrder="0" vertical="center"/>
    </xf>
    <xf borderId="370" fillId="57" fontId="30" numFmtId="0" xfId="0" applyAlignment="1" applyBorder="1" applyFill="1" applyFont="1">
      <alignment horizontal="center" vertical="center"/>
    </xf>
    <xf borderId="411" fillId="0" fontId="5" numFmtId="0" xfId="0" applyBorder="1" applyFont="1"/>
    <xf borderId="412" fillId="57" fontId="30" numFmtId="0" xfId="0" applyAlignment="1" applyBorder="1" applyFont="1">
      <alignment horizontal="center" vertical="center"/>
    </xf>
    <xf borderId="413" fillId="57" fontId="51" numFmtId="0" xfId="0" applyAlignment="1" applyBorder="1" applyFont="1">
      <alignment horizontal="left" readingOrder="0" vertical="center"/>
    </xf>
    <xf borderId="371" fillId="58" fontId="52" numFmtId="0" xfId="0" applyAlignment="1" applyBorder="1" applyFill="1" applyFont="1">
      <alignment horizontal="left" readingOrder="0" vertical="center"/>
    </xf>
    <xf borderId="370" fillId="59" fontId="30" numFmtId="0" xfId="0" applyAlignment="1" applyBorder="1" applyFill="1" applyFont="1">
      <alignment horizontal="center" vertical="center"/>
    </xf>
    <xf borderId="414" fillId="59" fontId="30" numFmtId="0" xfId="0" applyAlignment="1" applyBorder="1" applyFont="1">
      <alignment horizontal="center" vertical="center"/>
    </xf>
    <xf borderId="415" fillId="59" fontId="53" numFmtId="0" xfId="0" applyAlignment="1" applyBorder="1" applyFont="1">
      <alignment horizontal="left" readingOrder="0" vertical="center"/>
    </xf>
    <xf borderId="371" fillId="60" fontId="54" numFmtId="0" xfId="0" applyAlignment="1" applyBorder="1" applyFill="1" applyFont="1">
      <alignment horizontal="left" readingOrder="0" vertical="center"/>
    </xf>
    <xf borderId="416" fillId="0" fontId="5" numFmtId="0" xfId="0" applyBorder="1" applyFont="1"/>
    <xf borderId="417" fillId="0" fontId="5" numFmtId="0" xfId="0" applyBorder="1" applyFont="1"/>
    <xf borderId="418" fillId="0" fontId="5" numFmtId="0" xfId="0" applyBorder="1" applyFont="1"/>
    <xf borderId="419" fillId="0" fontId="5" numFmtId="0" xfId="0" applyBorder="1" applyFont="1"/>
    <xf borderId="420" fillId="0" fontId="5" numFmtId="0" xfId="0" applyBorder="1" applyFont="1"/>
    <xf borderId="421" fillId="0" fontId="5" numFmtId="0" xfId="0" applyBorder="1" applyFont="1"/>
    <xf borderId="370" fillId="61" fontId="30" numFmtId="0" xfId="0" applyAlignment="1" applyBorder="1" applyFill="1" applyFont="1">
      <alignment horizontal="center" vertical="center"/>
    </xf>
    <xf borderId="422" fillId="0" fontId="5" numFmtId="0" xfId="0" applyBorder="1" applyFont="1"/>
    <xf borderId="423" fillId="61" fontId="30" numFmtId="0" xfId="0" applyAlignment="1" applyBorder="1" applyFont="1">
      <alignment horizontal="center" vertical="center"/>
    </xf>
    <xf borderId="424" fillId="61" fontId="55" numFmtId="0" xfId="0" applyAlignment="1" applyBorder="1" applyFont="1">
      <alignment horizontal="left" readingOrder="0" vertical="center"/>
    </xf>
    <xf borderId="371" fillId="28" fontId="56" numFmtId="0" xfId="0" applyAlignment="1" applyBorder="1" applyFont="1">
      <alignment horizontal="left" readingOrder="0" vertical="center"/>
    </xf>
    <xf borderId="370" fillId="58" fontId="30" numFmtId="0" xfId="0" applyAlignment="1" applyBorder="1" applyFont="1">
      <alignment horizontal="center" vertical="center"/>
    </xf>
    <xf borderId="425" fillId="0" fontId="5" numFmtId="0" xfId="0" applyBorder="1" applyFont="1"/>
    <xf borderId="426" fillId="58" fontId="30" numFmtId="0" xfId="0" applyAlignment="1" applyBorder="1" applyFont="1">
      <alignment horizontal="center" vertical="center"/>
    </xf>
    <xf borderId="427" fillId="58" fontId="57" numFmtId="0" xfId="0" applyAlignment="1" applyBorder="1" applyFont="1">
      <alignment horizontal="left" readingOrder="0" vertical="center"/>
    </xf>
    <xf borderId="371" fillId="62" fontId="58" numFmtId="0" xfId="0" applyAlignment="1" applyBorder="1" applyFill="1" applyFont="1">
      <alignment horizontal="left" readingOrder="0" vertical="center"/>
    </xf>
    <xf borderId="428" fillId="0" fontId="5" numFmtId="0" xfId="0" applyBorder="1" applyFont="1"/>
    <xf borderId="403" fillId="4" fontId="59" numFmtId="0" xfId="0" applyAlignment="1" applyBorder="1" applyFont="1">
      <alignment horizontal="left" readingOrder="0" vertical="center"/>
    </xf>
    <xf borderId="152" fillId="0" fontId="5" numFmtId="0" xfId="0" applyBorder="1" applyFont="1"/>
    <xf borderId="429" fillId="0" fontId="5" numFmtId="0" xfId="0" applyBorder="1" applyFont="1"/>
    <xf borderId="430" fillId="0" fontId="5" numFmtId="0" xfId="0" applyBorder="1" applyFont="1"/>
    <xf borderId="370" fillId="63" fontId="30" numFmtId="0" xfId="0" applyAlignment="1" applyBorder="1" applyFill="1" applyFont="1">
      <alignment horizontal="center" vertical="center"/>
    </xf>
    <xf borderId="431" fillId="63" fontId="30" numFmtId="0" xfId="0" applyAlignment="1" applyBorder="1" applyFont="1">
      <alignment horizontal="center" vertical="center"/>
    </xf>
    <xf borderId="432" fillId="63" fontId="60" numFmtId="0" xfId="0" applyAlignment="1" applyBorder="1" applyFont="1">
      <alignment horizontal="left" readingOrder="0" vertical="center"/>
    </xf>
    <xf borderId="370" fillId="64" fontId="30" numFmtId="0" xfId="0" applyAlignment="1" applyBorder="1" applyFill="1" applyFont="1">
      <alignment horizontal="center" vertical="center"/>
    </xf>
    <xf borderId="433" fillId="64" fontId="30" numFmtId="0" xfId="0" applyAlignment="1" applyBorder="1" applyFont="1">
      <alignment horizontal="center" vertical="center"/>
    </xf>
    <xf borderId="434" fillId="64" fontId="61" numFmtId="0" xfId="0" applyAlignment="1" applyBorder="1" applyFont="1">
      <alignment horizontal="left" readingOrder="0" vertical="center"/>
    </xf>
    <xf borderId="370" fillId="65" fontId="30" numFmtId="0" xfId="0" applyAlignment="1" applyBorder="1" applyFill="1" applyFont="1">
      <alignment horizontal="center" vertical="center"/>
    </xf>
    <xf borderId="435" fillId="65" fontId="30" numFmtId="0" xfId="0" applyAlignment="1" applyBorder="1" applyFont="1">
      <alignment horizontal="center" vertical="center"/>
    </xf>
    <xf borderId="436" fillId="65" fontId="62" numFmtId="0" xfId="0" applyAlignment="1" applyBorder="1" applyFont="1">
      <alignment horizontal="left" readingOrder="0" vertical="center"/>
    </xf>
    <xf borderId="371" fillId="66" fontId="63" numFmtId="0" xfId="0" applyAlignment="1" applyBorder="1" applyFill="1" applyFont="1">
      <alignment horizontal="left" readingOrder="0" vertical="center"/>
    </xf>
    <xf borderId="370" fillId="67" fontId="30" numFmtId="0" xfId="0" applyAlignment="1" applyBorder="1" applyFill="1" applyFont="1">
      <alignment horizontal="center" vertical="center"/>
    </xf>
    <xf borderId="437" fillId="67" fontId="30" numFmtId="0" xfId="0" applyAlignment="1" applyBorder="1" applyFont="1">
      <alignment horizontal="center" vertical="center"/>
    </xf>
    <xf borderId="438" fillId="67" fontId="64" numFmtId="0" xfId="0" applyAlignment="1" applyBorder="1" applyFont="1">
      <alignment horizontal="left" readingOrder="0" vertical="center"/>
    </xf>
    <xf borderId="371" fillId="68" fontId="65" numFmtId="0" xfId="0" applyAlignment="1" applyBorder="1" applyFill="1" applyFont="1">
      <alignment horizontal="left" readingOrder="0" vertical="center"/>
    </xf>
    <xf borderId="370" fillId="69" fontId="30" numFmtId="0" xfId="0" applyAlignment="1" applyBorder="1" applyFill="1" applyFont="1">
      <alignment horizontal="center" vertical="center"/>
    </xf>
    <xf borderId="439" fillId="69" fontId="30" numFmtId="0" xfId="0" applyAlignment="1" applyBorder="1" applyFont="1">
      <alignment horizontal="center" vertical="center"/>
    </xf>
    <xf borderId="440" fillId="69" fontId="66" numFmtId="0" xfId="0" applyAlignment="1" applyBorder="1" applyFont="1">
      <alignment horizontal="left" readingOrder="0" vertical="center"/>
    </xf>
    <xf borderId="371" fillId="70" fontId="67" numFmtId="0" xfId="0" applyAlignment="1" applyBorder="1" applyFill="1" applyFont="1">
      <alignment horizontal="left" readingOrder="0" vertical="center"/>
    </xf>
    <xf borderId="370" fillId="71" fontId="30" numFmtId="0" xfId="0" applyAlignment="1" applyBorder="1" applyFill="1" applyFont="1">
      <alignment horizontal="center" vertical="center"/>
    </xf>
    <xf borderId="441" fillId="71" fontId="30" numFmtId="0" xfId="0" applyAlignment="1" applyBorder="1" applyFont="1">
      <alignment horizontal="center" vertical="center"/>
    </xf>
    <xf borderId="442" fillId="71" fontId="68" numFmtId="0" xfId="0" applyAlignment="1" applyBorder="1" applyFont="1">
      <alignment horizontal="left" readingOrder="0" vertical="center"/>
    </xf>
    <xf borderId="371" fillId="72" fontId="69" numFmtId="0" xfId="0" applyAlignment="1" applyBorder="1" applyFill="1" applyFont="1">
      <alignment horizontal="left" readingOrder="0" vertical="center"/>
    </xf>
    <xf borderId="370" fillId="73" fontId="30" numFmtId="0" xfId="0" applyAlignment="1" applyBorder="1" applyFill="1" applyFont="1">
      <alignment horizontal="center" vertical="center"/>
    </xf>
    <xf borderId="443" fillId="73" fontId="30" numFmtId="0" xfId="0" applyAlignment="1" applyBorder="1" applyFont="1">
      <alignment horizontal="center" vertical="center"/>
    </xf>
    <xf borderId="444" fillId="73" fontId="70" numFmtId="0" xfId="0" applyAlignment="1" applyBorder="1" applyFont="1">
      <alignment horizontal="left" readingOrder="0" vertical="center"/>
    </xf>
    <xf borderId="371" fillId="74" fontId="71" numFmtId="0" xfId="0" applyAlignment="1" applyBorder="1" applyFill="1" applyFont="1">
      <alignment horizontal="left" readingOrder="0" vertical="center"/>
    </xf>
    <xf borderId="370" fillId="75" fontId="30" numFmtId="0" xfId="0" applyAlignment="1" applyBorder="1" applyFill="1" applyFont="1">
      <alignment horizontal="center" vertical="center"/>
    </xf>
    <xf borderId="445" fillId="75" fontId="30" numFmtId="0" xfId="0" applyAlignment="1" applyBorder="1" applyFont="1">
      <alignment horizontal="center" vertical="center"/>
    </xf>
    <xf borderId="446" fillId="75" fontId="72" numFmtId="0" xfId="0" applyAlignment="1" applyBorder="1" applyFont="1">
      <alignment horizontal="left" readingOrder="0" vertical="center"/>
    </xf>
    <xf borderId="371" fillId="76" fontId="73" numFmtId="0" xfId="0" applyAlignment="1" applyBorder="1" applyFill="1" applyFont="1">
      <alignment horizontal="left" readingOrder="0" vertical="center"/>
    </xf>
    <xf borderId="370" fillId="77" fontId="30" numFmtId="0" xfId="0" applyAlignment="1" applyBorder="1" applyFill="1" applyFont="1">
      <alignment horizontal="center" vertical="center"/>
    </xf>
    <xf borderId="447" fillId="77" fontId="30" numFmtId="0" xfId="0" applyAlignment="1" applyBorder="1" applyFont="1">
      <alignment horizontal="center" vertical="center"/>
    </xf>
    <xf borderId="448" fillId="77" fontId="74" numFmtId="0" xfId="0" applyAlignment="1" applyBorder="1" applyFont="1">
      <alignment horizontal="left" readingOrder="0" vertical="center"/>
    </xf>
    <xf borderId="448" fillId="78" fontId="75" numFmtId="0" xfId="0" applyAlignment="1" applyBorder="1" applyFill="1" applyFont="1">
      <alignment horizontal="left" readingOrder="0" vertical="center"/>
    </xf>
    <xf borderId="370" fillId="79" fontId="30" numFmtId="0" xfId="0" applyAlignment="1" applyBorder="1" applyFill="1" applyFont="1">
      <alignment horizontal="center" vertical="center"/>
    </xf>
    <xf borderId="449" fillId="79" fontId="30" numFmtId="0" xfId="0" applyAlignment="1" applyBorder="1" applyFont="1">
      <alignment horizontal="center" vertical="center"/>
    </xf>
    <xf borderId="450" fillId="79" fontId="76" numFmtId="0" xfId="0" applyAlignment="1" applyBorder="1" applyFont="1">
      <alignment horizontal="left" readingOrder="0" vertical="center"/>
    </xf>
    <xf borderId="450" fillId="80" fontId="77" numFmtId="0" xfId="0" applyAlignment="1" applyBorder="1" applyFill="1" applyFont="1">
      <alignment horizontal="left" readingOrder="0" vertical="center"/>
    </xf>
    <xf borderId="371" fillId="81" fontId="78" numFmtId="0" xfId="0" applyAlignment="1" applyBorder="1" applyFill="1" applyFont="1">
      <alignment horizontal="left" readingOrder="0" vertical="center"/>
    </xf>
    <xf borderId="370" fillId="82" fontId="30" numFmtId="0" xfId="0" applyAlignment="1" applyBorder="1" applyFill="1" applyFont="1">
      <alignment horizontal="center" vertical="center"/>
    </xf>
    <xf borderId="451" fillId="82" fontId="30" numFmtId="0" xfId="0" applyAlignment="1" applyBorder="1" applyFont="1">
      <alignment horizontal="center" vertical="center"/>
    </xf>
    <xf borderId="371" fillId="82" fontId="79" numFmtId="0" xfId="0" applyAlignment="1" applyBorder="1" applyFont="1">
      <alignment horizontal="left" readingOrder="0" vertical="center"/>
    </xf>
    <xf borderId="371" fillId="83" fontId="80" numFmtId="0" xfId="0" applyAlignment="1" applyBorder="1" applyFill="1" applyFont="1">
      <alignment horizontal="left" readingOrder="0" vertical="center"/>
    </xf>
    <xf borderId="370" fillId="84" fontId="30" numFmtId="0" xfId="0" applyAlignment="1" applyBorder="1" applyFill="1" applyFont="1">
      <alignment horizontal="center" vertical="center"/>
    </xf>
    <xf borderId="452" fillId="84" fontId="30" numFmtId="0" xfId="0" applyAlignment="1" applyBorder="1" applyFont="1">
      <alignment horizontal="center" vertical="center"/>
    </xf>
    <xf borderId="371" fillId="84" fontId="81" numFmtId="0" xfId="0" applyAlignment="1" applyBorder="1" applyFont="1">
      <alignment horizontal="left" readingOrder="0" vertical="center"/>
    </xf>
    <xf borderId="371" fillId="85" fontId="82" numFmtId="0" xfId="0" applyAlignment="1" applyBorder="1" applyFill="1" applyFont="1">
      <alignment horizontal="left" readingOrder="0" vertical="center"/>
    </xf>
    <xf borderId="371" fillId="86" fontId="83" numFmtId="0" xfId="0" applyAlignment="1" applyBorder="1" applyFill="1" applyFont="1">
      <alignment horizontal="left" readingOrder="0" vertical="center"/>
    </xf>
    <xf borderId="370" fillId="87" fontId="30" numFmtId="0" xfId="0" applyAlignment="1" applyBorder="1" applyFill="1" applyFont="1">
      <alignment horizontal="center" vertical="center"/>
    </xf>
    <xf borderId="453" fillId="87" fontId="30" numFmtId="0" xfId="0" applyAlignment="1" applyBorder="1" applyFont="1">
      <alignment horizontal="center" vertical="center"/>
    </xf>
    <xf borderId="371" fillId="87" fontId="84" numFmtId="0" xfId="0" applyAlignment="1" applyBorder="1" applyFont="1">
      <alignment horizontal="left" readingOrder="0" vertical="center"/>
    </xf>
    <xf borderId="371" fillId="49" fontId="85" numFmtId="0" xfId="0" applyAlignment="1" applyBorder="1" applyFont="1">
      <alignment horizontal="left" readingOrder="0" vertical="center"/>
    </xf>
    <xf borderId="371" fillId="88" fontId="86" numFmtId="0" xfId="0" applyAlignment="1" applyBorder="1" applyFill="1" applyFont="1">
      <alignment horizontal="left" readingOrder="0" vertical="center"/>
    </xf>
    <xf borderId="370" fillId="89" fontId="30" numFmtId="0" xfId="0" applyAlignment="1" applyBorder="1" applyFill="1" applyFont="1">
      <alignment horizontal="center" vertical="center"/>
    </xf>
    <xf borderId="454" fillId="89" fontId="30" numFmtId="0" xfId="0" applyAlignment="1" applyBorder="1" applyFont="1">
      <alignment horizontal="center" vertical="center"/>
    </xf>
    <xf borderId="371" fillId="89" fontId="87" numFmtId="0" xfId="0" applyAlignment="1" applyBorder="1" applyFont="1">
      <alignment horizontal="left" readingOrder="0" vertical="center"/>
    </xf>
    <xf borderId="371" fillId="90" fontId="88" numFmtId="0" xfId="0" applyAlignment="1" applyBorder="1" applyFill="1" applyFont="1">
      <alignment horizontal="left" readingOrder="0" vertical="center"/>
    </xf>
    <xf borderId="370" fillId="91" fontId="30" numFmtId="0" xfId="0" applyAlignment="1" applyBorder="1" applyFill="1" applyFont="1">
      <alignment horizontal="center" vertical="center"/>
    </xf>
    <xf borderId="455" fillId="91" fontId="30" numFmtId="0" xfId="0" applyAlignment="1" applyBorder="1" applyFont="1">
      <alignment horizontal="center" vertical="center"/>
    </xf>
    <xf borderId="371" fillId="91" fontId="89" numFmtId="0" xfId="0" applyAlignment="1" applyBorder="1" applyFont="1">
      <alignment horizontal="left" readingOrder="0" vertical="center"/>
    </xf>
    <xf borderId="371" fillId="92" fontId="90" numFmtId="0" xfId="0" applyAlignment="1" applyBorder="1" applyFill="1" applyFont="1">
      <alignment horizontal="left" readingOrder="0" vertical="center"/>
    </xf>
    <xf borderId="370" fillId="93" fontId="30" numFmtId="0" xfId="0" applyAlignment="1" applyBorder="1" applyFill="1" applyFont="1">
      <alignment horizontal="center" vertical="center"/>
    </xf>
    <xf borderId="456" fillId="93" fontId="30" numFmtId="0" xfId="0" applyAlignment="1" applyBorder="1" applyFont="1">
      <alignment horizontal="center" vertical="center"/>
    </xf>
    <xf borderId="371" fillId="93" fontId="91" numFmtId="0" xfId="0" applyAlignment="1" applyBorder="1" applyFont="1">
      <alignment horizontal="left" readingOrder="0" vertical="center"/>
    </xf>
    <xf borderId="371" fillId="94" fontId="92" numFmtId="0" xfId="0" applyAlignment="1" applyBorder="1" applyFill="1" applyFont="1">
      <alignment horizontal="left" readingOrder="0" vertical="center"/>
    </xf>
    <xf borderId="370" fillId="95" fontId="30" numFmtId="0" xfId="0" applyAlignment="1" applyBorder="1" applyFill="1" applyFont="1">
      <alignment horizontal="center" vertical="center"/>
    </xf>
    <xf borderId="457" fillId="95" fontId="30" numFmtId="0" xfId="0" applyAlignment="1" applyBorder="1" applyFont="1">
      <alignment horizontal="center" vertical="center"/>
    </xf>
    <xf borderId="371" fillId="95" fontId="93" numFmtId="0" xfId="0" applyAlignment="1" applyBorder="1" applyFont="1">
      <alignment horizontal="left" readingOrder="0" vertical="center"/>
    </xf>
    <xf borderId="371" fillId="96" fontId="94" numFmtId="0" xfId="0" applyAlignment="1" applyBorder="1" applyFill="1" applyFont="1">
      <alignment horizontal="left" readingOrder="0" vertical="center"/>
    </xf>
    <xf borderId="403" fillId="4" fontId="59" numFmtId="0" xfId="0" applyAlignment="1" applyBorder="1" applyFont="1">
      <alignment horizontal="left" readingOrder="0" vertical="top"/>
    </xf>
    <xf borderId="370" fillId="97" fontId="30" numFmtId="0" xfId="0" applyAlignment="1" applyBorder="1" applyFill="1" applyFont="1">
      <alignment horizontal="center" vertical="center"/>
    </xf>
    <xf borderId="458" fillId="97" fontId="30" numFmtId="0" xfId="0" applyAlignment="1" applyBorder="1" applyFont="1">
      <alignment horizontal="center" vertical="center"/>
    </xf>
    <xf borderId="371" fillId="97" fontId="95" numFmtId="0" xfId="0" applyAlignment="1" applyBorder="1" applyFont="1">
      <alignment horizontal="left" readingOrder="0" vertical="center"/>
    </xf>
    <xf borderId="371" fillId="98" fontId="96" numFmtId="0" xfId="0" applyAlignment="1" applyBorder="1" applyFill="1" applyFont="1">
      <alignment horizontal="left" readingOrder="0" vertical="center"/>
    </xf>
    <xf borderId="370" fillId="99" fontId="30" numFmtId="0" xfId="0" applyAlignment="1" applyBorder="1" applyFill="1" applyFont="1">
      <alignment horizontal="center" vertical="center"/>
    </xf>
    <xf borderId="459" fillId="99" fontId="30" numFmtId="0" xfId="0" applyAlignment="1" applyBorder="1" applyFont="1">
      <alignment horizontal="center" vertical="center"/>
    </xf>
    <xf borderId="371" fillId="99" fontId="97" numFmtId="0" xfId="0" applyAlignment="1" applyBorder="1" applyFont="1">
      <alignment horizontal="left" readingOrder="0" vertical="center"/>
    </xf>
    <xf borderId="371" fillId="100" fontId="98" numFmtId="0" xfId="0" applyAlignment="1" applyBorder="1" applyFill="1" applyFont="1">
      <alignment horizontal="left" readingOrder="0" vertical="center"/>
    </xf>
    <xf borderId="370" fillId="101" fontId="30" numFmtId="0" xfId="0" applyAlignment="1" applyBorder="1" applyFill="1" applyFont="1">
      <alignment horizontal="center" vertical="center"/>
    </xf>
    <xf borderId="460" fillId="101" fontId="30" numFmtId="0" xfId="0" applyAlignment="1" applyBorder="1" applyFont="1">
      <alignment horizontal="center" vertical="center"/>
    </xf>
    <xf borderId="371" fillId="101" fontId="99" numFmtId="0" xfId="0" applyAlignment="1" applyBorder="1" applyFont="1">
      <alignment horizontal="left" readingOrder="0" vertical="center"/>
    </xf>
    <xf borderId="371" fillId="102" fontId="100" numFmtId="0" xfId="0" applyAlignment="1" applyBorder="1" applyFill="1" applyFont="1">
      <alignment horizontal="left" readingOrder="0" vertical="center"/>
    </xf>
    <xf borderId="370" fillId="103" fontId="30" numFmtId="0" xfId="0" applyAlignment="1" applyBorder="1" applyFill="1" applyFont="1">
      <alignment horizontal="center" vertical="center"/>
    </xf>
    <xf borderId="461" fillId="103" fontId="30" numFmtId="0" xfId="0" applyAlignment="1" applyBorder="1" applyFont="1">
      <alignment horizontal="center" vertical="center"/>
    </xf>
    <xf borderId="371" fillId="103" fontId="101" numFmtId="0" xfId="0" applyAlignment="1" applyBorder="1" applyFont="1">
      <alignment horizontal="left" readingOrder="0" vertical="center"/>
    </xf>
    <xf borderId="371" fillId="104" fontId="102" numFmtId="0" xfId="0" applyAlignment="1" applyBorder="1" applyFill="1" applyFont="1">
      <alignment horizontal="left" readingOrder="0" vertical="center"/>
    </xf>
    <xf borderId="370" fillId="105" fontId="30" numFmtId="0" xfId="0" applyAlignment="1" applyBorder="1" applyFill="1" applyFont="1">
      <alignment horizontal="center" vertical="center"/>
    </xf>
    <xf borderId="462" fillId="0" fontId="5" numFmtId="0" xfId="0" applyBorder="1" applyFont="1"/>
    <xf borderId="463" fillId="105" fontId="30" numFmtId="0" xfId="0" applyAlignment="1" applyBorder="1" applyFont="1">
      <alignment horizontal="center" vertical="center"/>
    </xf>
    <xf borderId="371" fillId="105" fontId="103" numFmtId="0" xfId="0" applyAlignment="1" applyBorder="1" applyFont="1">
      <alignment horizontal="left" readingOrder="0" vertical="center"/>
    </xf>
    <xf borderId="370" fillId="106" fontId="30" numFmtId="0" xfId="0" applyAlignment="1" applyBorder="1" applyFill="1" applyFont="1">
      <alignment horizontal="center" vertical="center"/>
    </xf>
    <xf borderId="464" fillId="106" fontId="30" numFmtId="0" xfId="0" applyAlignment="1" applyBorder="1" applyFont="1">
      <alignment horizontal="center" vertical="center"/>
    </xf>
    <xf borderId="371" fillId="106" fontId="104" numFmtId="0" xfId="0" applyAlignment="1" applyBorder="1" applyFont="1">
      <alignment horizontal="left" readingOrder="0" vertical="center"/>
    </xf>
    <xf borderId="371" fillId="107" fontId="105" numFmtId="0" xfId="0" applyAlignment="1" applyBorder="1" applyFill="1" applyFont="1">
      <alignment horizontal="left" readingOrder="0" vertical="center"/>
    </xf>
    <xf borderId="465" fillId="0" fontId="5" numFmtId="0" xfId="0" applyBorder="1" applyFont="1"/>
    <xf borderId="466" fillId="0" fontId="5" numFmtId="0" xfId="0" applyBorder="1" applyFont="1"/>
    <xf borderId="370" fillId="108" fontId="30" numFmtId="0" xfId="0" applyAlignment="1" applyBorder="1" applyFill="1" applyFont="1">
      <alignment horizontal="center" vertical="center"/>
    </xf>
    <xf borderId="467" fillId="108" fontId="30" numFmtId="0" xfId="0" applyAlignment="1" applyBorder="1" applyFont="1">
      <alignment horizontal="center" vertical="center"/>
    </xf>
    <xf borderId="371" fillId="108" fontId="106" numFmtId="0" xfId="0" applyAlignment="1" applyBorder="1" applyFont="1">
      <alignment horizontal="left" readingOrder="0" vertical="center"/>
    </xf>
    <xf borderId="371" fillId="109" fontId="107" numFmtId="0" xfId="0" applyAlignment="1" applyBorder="1" applyFill="1" applyFont="1">
      <alignment horizontal="left" readingOrder="0" vertical="center"/>
    </xf>
    <xf borderId="370" fillId="110" fontId="30" numFmtId="0" xfId="0" applyAlignment="1" applyBorder="1" applyFill="1" applyFont="1">
      <alignment horizontal="center" vertical="center"/>
    </xf>
    <xf borderId="468" fillId="110" fontId="30" numFmtId="0" xfId="0" applyAlignment="1" applyBorder="1" applyFont="1">
      <alignment horizontal="center" vertical="center"/>
    </xf>
    <xf borderId="371" fillId="110" fontId="108" numFmtId="0" xfId="0" applyAlignment="1" applyBorder="1" applyFont="1">
      <alignment horizontal="left" readingOrder="0" vertical="center"/>
    </xf>
    <xf borderId="469" fillId="111" fontId="109" numFmtId="0" xfId="0" applyAlignment="1" applyBorder="1" applyFill="1" applyFont="1">
      <alignment horizontal="left" readingOrder="0" vertical="center"/>
    </xf>
    <xf borderId="370" fillId="112" fontId="30" numFmtId="0" xfId="0" applyAlignment="1" applyBorder="1" applyFill="1" applyFont="1">
      <alignment horizontal="center" vertical="center"/>
    </xf>
    <xf borderId="470" fillId="112" fontId="30" numFmtId="0" xfId="0" applyAlignment="1" applyBorder="1" applyFont="1">
      <alignment horizontal="center" vertical="center"/>
    </xf>
    <xf borderId="371" fillId="112" fontId="110" numFmtId="0" xfId="0" applyAlignment="1" applyBorder="1" applyFont="1">
      <alignment horizontal="left" readingOrder="0" vertical="center"/>
    </xf>
    <xf borderId="371" fillId="113" fontId="111" numFmtId="0" xfId="0" applyAlignment="1" applyBorder="1" applyFill="1" applyFont="1">
      <alignment horizontal="left" readingOrder="0" vertical="center"/>
    </xf>
    <xf borderId="370" fillId="114" fontId="30" numFmtId="0" xfId="0" applyAlignment="1" applyBorder="1" applyFill="1" applyFont="1">
      <alignment horizontal="center" vertical="center"/>
    </xf>
    <xf borderId="471" fillId="114" fontId="30" numFmtId="0" xfId="0" applyAlignment="1" applyBorder="1" applyFont="1">
      <alignment horizontal="center" vertical="center"/>
    </xf>
    <xf borderId="371" fillId="114" fontId="112" numFmtId="0" xfId="0" applyAlignment="1" applyBorder="1" applyFont="1">
      <alignment horizontal="left" readingOrder="0" vertical="center"/>
    </xf>
    <xf borderId="371" fillId="115" fontId="113" numFmtId="0" xfId="0" applyAlignment="1" applyBorder="1" applyFill="1" applyFont="1">
      <alignment horizontal="left" readingOrder="0" vertical="center"/>
    </xf>
    <xf borderId="370" fillId="116" fontId="30" numFmtId="0" xfId="0" applyAlignment="1" applyBorder="1" applyFill="1" applyFont="1">
      <alignment horizontal="center" vertical="center"/>
    </xf>
    <xf borderId="472" fillId="116" fontId="30" numFmtId="0" xfId="0" applyAlignment="1" applyBorder="1" applyFont="1">
      <alignment horizontal="center" vertical="center"/>
    </xf>
    <xf borderId="371" fillId="116" fontId="114" numFmtId="0" xfId="0" applyAlignment="1" applyBorder="1" applyFont="1">
      <alignment horizontal="left" readingOrder="0" vertical="center"/>
    </xf>
    <xf borderId="371" fillId="117" fontId="115" numFmtId="0" xfId="0" applyAlignment="1" applyBorder="1" applyFill="1" applyFont="1">
      <alignment horizontal="left" readingOrder="0" vertical="center"/>
    </xf>
    <xf borderId="370" fillId="118" fontId="30" numFmtId="0" xfId="0" applyAlignment="1" applyBorder="1" applyFill="1" applyFont="1">
      <alignment horizontal="center" vertical="center"/>
    </xf>
    <xf borderId="473" fillId="118" fontId="30" numFmtId="0" xfId="0" applyAlignment="1" applyBorder="1" applyFont="1">
      <alignment horizontal="center" vertical="center"/>
    </xf>
    <xf borderId="371" fillId="118" fontId="116" numFmtId="0" xfId="0" applyAlignment="1" applyBorder="1" applyFont="1">
      <alignment horizontal="left" readingOrder="0" vertical="center"/>
    </xf>
    <xf borderId="371" fillId="119" fontId="117" numFmtId="0" xfId="0" applyAlignment="1" applyBorder="1" applyFill="1" applyFont="1">
      <alignment horizontal="left" readingOrder="0" vertical="center"/>
    </xf>
    <xf borderId="370" fillId="120" fontId="30" numFmtId="0" xfId="0" applyAlignment="1" applyBorder="1" applyFill="1" applyFont="1">
      <alignment horizontal="center" vertical="center"/>
    </xf>
    <xf borderId="474" fillId="120" fontId="30" numFmtId="0" xfId="0" applyAlignment="1" applyBorder="1" applyFont="1">
      <alignment horizontal="center" vertical="center"/>
    </xf>
    <xf borderId="371" fillId="120" fontId="118" numFmtId="0" xfId="0" applyAlignment="1" applyBorder="1" applyFont="1">
      <alignment horizontal="left" readingOrder="0" vertical="center"/>
    </xf>
    <xf borderId="371" fillId="121" fontId="119" numFmtId="0" xfId="0" applyAlignment="1" applyBorder="1" applyFill="1" applyFont="1">
      <alignment horizontal="left" readingOrder="0" vertical="center"/>
    </xf>
    <xf borderId="370" fillId="122" fontId="30" numFmtId="0" xfId="0" applyAlignment="1" applyBorder="1" applyFill="1" applyFont="1">
      <alignment horizontal="center" vertical="center"/>
    </xf>
    <xf borderId="475" fillId="122" fontId="30" numFmtId="0" xfId="0" applyAlignment="1" applyBorder="1" applyFont="1">
      <alignment horizontal="center" vertical="center"/>
    </xf>
    <xf borderId="371" fillId="122" fontId="120" numFmtId="0" xfId="0" applyAlignment="1" applyBorder="1" applyFont="1">
      <alignment horizontal="left" readingOrder="0" vertical="center"/>
    </xf>
    <xf borderId="371" fillId="123" fontId="121" numFmtId="0" xfId="0" applyAlignment="1" applyBorder="1" applyFill="1" applyFont="1">
      <alignment horizontal="left" readingOrder="0" vertical="center"/>
    </xf>
    <xf borderId="370" fillId="124" fontId="30" numFmtId="0" xfId="0" applyAlignment="1" applyBorder="1" applyFill="1" applyFont="1">
      <alignment horizontal="center" vertical="center"/>
    </xf>
    <xf borderId="476" fillId="124" fontId="30" numFmtId="0" xfId="0" applyAlignment="1" applyBorder="1" applyFont="1">
      <alignment horizontal="center" vertical="center"/>
    </xf>
    <xf borderId="371" fillId="124" fontId="122" numFmtId="0" xfId="0" applyAlignment="1" applyBorder="1" applyFont="1">
      <alignment horizontal="left" readingOrder="0" vertical="center"/>
    </xf>
    <xf borderId="371" fillId="125" fontId="123" numFmtId="0" xfId="0" applyAlignment="1" applyBorder="1" applyFill="1" applyFont="1">
      <alignment horizontal="left" readingOrder="0" vertical="center"/>
    </xf>
    <xf borderId="370" fillId="126" fontId="30" numFmtId="0" xfId="0" applyAlignment="1" applyBorder="1" applyFill="1" applyFont="1">
      <alignment horizontal="center" vertical="center"/>
    </xf>
    <xf borderId="477" fillId="126" fontId="30" numFmtId="0" xfId="0" applyAlignment="1" applyBorder="1" applyFont="1">
      <alignment horizontal="center" vertical="center"/>
    </xf>
    <xf borderId="371" fillId="126" fontId="124" numFmtId="0" xfId="0" applyAlignment="1" applyBorder="1" applyFont="1">
      <alignment horizontal="left" readingOrder="0" vertical="center"/>
    </xf>
    <xf borderId="371" fillId="127" fontId="125" numFmtId="0" xfId="0" applyAlignment="1" applyBorder="1" applyFill="1" applyFont="1">
      <alignment horizontal="left" readingOrder="0" vertical="center"/>
    </xf>
    <xf borderId="370" fillId="128" fontId="30" numFmtId="0" xfId="0" applyAlignment="1" applyBorder="1" applyFill="1" applyFont="1">
      <alignment horizontal="center" vertical="center"/>
    </xf>
    <xf borderId="478" fillId="128" fontId="30" numFmtId="0" xfId="0" applyAlignment="1" applyBorder="1" applyFont="1">
      <alignment horizontal="center" vertical="center"/>
    </xf>
    <xf borderId="371" fillId="128" fontId="126" numFmtId="0" xfId="0" applyAlignment="1" applyBorder="1" applyFont="1">
      <alignment horizontal="left" readingOrder="0" vertical="center"/>
    </xf>
    <xf borderId="371" fillId="57" fontId="127" numFmtId="0" xfId="0" applyAlignment="1" applyBorder="1" applyFont="1">
      <alignment horizontal="left" readingOrder="0" vertical="center"/>
    </xf>
    <xf borderId="370" fillId="129" fontId="30" numFmtId="0" xfId="0" applyAlignment="1" applyBorder="1" applyFill="1" applyFont="1">
      <alignment horizontal="center" vertical="center"/>
    </xf>
    <xf borderId="479" fillId="129" fontId="30" numFmtId="0" xfId="0" applyAlignment="1" applyBorder="1" applyFont="1">
      <alignment horizontal="center" vertical="center"/>
    </xf>
    <xf borderId="371" fillId="129" fontId="128" numFmtId="0" xfId="0" applyAlignment="1" applyBorder="1" applyFont="1">
      <alignment horizontal="left" readingOrder="0" vertical="center"/>
    </xf>
    <xf borderId="371" fillId="130" fontId="129" numFmtId="0" xfId="0" applyAlignment="1" applyBorder="1" applyFill="1" applyFont="1">
      <alignment horizontal="left" readingOrder="0" vertical="center"/>
    </xf>
    <xf borderId="370" fillId="131" fontId="30" numFmtId="0" xfId="0" applyAlignment="1" applyBorder="1" applyFill="1" applyFont="1">
      <alignment horizontal="center" vertical="center"/>
    </xf>
    <xf borderId="480" fillId="131" fontId="30" numFmtId="0" xfId="0" applyAlignment="1" applyBorder="1" applyFont="1">
      <alignment horizontal="center" vertical="center"/>
    </xf>
    <xf borderId="371" fillId="131" fontId="130" numFmtId="0" xfId="0" applyAlignment="1" applyBorder="1" applyFont="1">
      <alignment horizontal="left" readingOrder="0" vertical="center"/>
    </xf>
    <xf borderId="370" fillId="132" fontId="30" numFmtId="0" xfId="0" applyAlignment="1" applyBorder="1" applyFill="1" applyFont="1">
      <alignment horizontal="center" vertical="center"/>
    </xf>
    <xf borderId="481" fillId="132" fontId="30" numFmtId="0" xfId="0" applyAlignment="1" applyBorder="1" applyFont="1">
      <alignment horizontal="center" vertical="center"/>
    </xf>
    <xf borderId="371" fillId="132" fontId="131" numFmtId="0" xfId="0" applyAlignment="1" applyBorder="1" applyFont="1">
      <alignment horizontal="left" readingOrder="0" vertical="center"/>
    </xf>
    <xf borderId="371" fillId="133" fontId="132" numFmtId="0" xfId="0" applyAlignment="1" applyBorder="1" applyFill="1" applyFont="1">
      <alignment horizontal="left" readingOrder="0" vertical="center"/>
    </xf>
    <xf borderId="370" fillId="134" fontId="30" numFmtId="0" xfId="0" applyAlignment="1" applyBorder="1" applyFill="1" applyFont="1">
      <alignment horizontal="center" vertical="center"/>
    </xf>
    <xf borderId="482" fillId="134" fontId="30" numFmtId="0" xfId="0" applyAlignment="1" applyBorder="1" applyFont="1">
      <alignment horizontal="center" vertical="center"/>
    </xf>
    <xf borderId="483" fillId="134" fontId="133" numFmtId="0" xfId="0" applyAlignment="1" applyBorder="1" applyFont="1">
      <alignment horizontal="left" readingOrder="0" vertical="center"/>
    </xf>
    <xf borderId="371" fillId="135" fontId="134" numFmtId="0" xfId="0" applyAlignment="1" applyBorder="1" applyFill="1" applyFont="1">
      <alignment horizontal="left" readingOrder="0" vertical="center"/>
    </xf>
    <xf borderId="370" fillId="136" fontId="30" numFmtId="0" xfId="0" applyAlignment="1" applyBorder="1" applyFill="1" applyFont="1">
      <alignment horizontal="center" vertical="center"/>
    </xf>
    <xf borderId="484" fillId="136" fontId="30" numFmtId="0" xfId="0" applyAlignment="1" applyBorder="1" applyFont="1">
      <alignment horizontal="center" vertical="center"/>
    </xf>
    <xf borderId="371" fillId="136" fontId="135" numFmtId="0" xfId="0" applyAlignment="1" applyBorder="1" applyFont="1">
      <alignment horizontal="left" readingOrder="0" vertical="center"/>
    </xf>
    <xf borderId="371" fillId="137" fontId="136" numFmtId="0" xfId="0" applyAlignment="1" applyBorder="1" applyFill="1" applyFont="1">
      <alignment horizontal="left" readingOrder="0" vertical="center"/>
    </xf>
    <xf borderId="370" fillId="138" fontId="30" numFmtId="0" xfId="0" applyAlignment="1" applyBorder="1" applyFill="1" applyFont="1">
      <alignment horizontal="center" vertical="center"/>
    </xf>
    <xf borderId="485" fillId="138" fontId="30" numFmtId="0" xfId="0" applyAlignment="1" applyBorder="1" applyFont="1">
      <alignment horizontal="center" vertical="center"/>
    </xf>
    <xf borderId="371" fillId="138" fontId="137" numFmtId="0" xfId="0" applyAlignment="1" applyBorder="1" applyFont="1">
      <alignment horizontal="left" readingOrder="0" vertical="center"/>
    </xf>
    <xf borderId="371" fillId="139" fontId="138" numFmtId="0" xfId="0" applyAlignment="1" applyBorder="1" applyFill="1" applyFont="1">
      <alignment horizontal="left" readingOrder="0" vertical="center"/>
    </xf>
    <xf borderId="370" fillId="140" fontId="30" numFmtId="0" xfId="0" applyAlignment="1" applyBorder="1" applyFill="1" applyFont="1">
      <alignment horizontal="center" vertical="center"/>
    </xf>
    <xf borderId="486" fillId="140" fontId="30" numFmtId="0" xfId="0" applyAlignment="1" applyBorder="1" applyFont="1">
      <alignment horizontal="center" vertical="center"/>
    </xf>
    <xf borderId="371" fillId="140" fontId="139" numFmtId="0" xfId="0" applyAlignment="1" applyBorder="1" applyFont="1">
      <alignment horizontal="left" readingOrder="0" vertical="center"/>
    </xf>
    <xf borderId="371" fillId="141" fontId="140" numFmtId="0" xfId="0" applyAlignment="1" applyBorder="1" applyFill="1" applyFont="1">
      <alignment horizontal="left" readingOrder="0" vertical="center"/>
    </xf>
    <xf borderId="370" fillId="142" fontId="30" numFmtId="0" xfId="0" applyAlignment="1" applyBorder="1" applyFill="1" applyFont="1">
      <alignment horizontal="center" vertical="center"/>
    </xf>
    <xf borderId="487" fillId="0" fontId="5" numFmtId="0" xfId="0" applyBorder="1" applyFont="1"/>
    <xf borderId="488" fillId="142" fontId="30" numFmtId="0" xfId="0" applyAlignment="1" applyBorder="1" applyFont="1">
      <alignment horizontal="center" vertical="center"/>
    </xf>
    <xf borderId="371" fillId="142" fontId="141" numFmtId="0" xfId="0" applyAlignment="1" applyBorder="1" applyFont="1">
      <alignment horizontal="left" readingOrder="0" vertical="center"/>
    </xf>
    <xf borderId="371" fillId="143" fontId="142" numFmtId="0" xfId="0" applyAlignment="1" applyBorder="1" applyFill="1" applyFont="1">
      <alignment horizontal="left" readingOrder="0" vertical="center"/>
    </xf>
    <xf borderId="370" fillId="144" fontId="30" numFmtId="0" xfId="0" applyAlignment="1" applyBorder="1" applyFill="1" applyFont="1">
      <alignment horizontal="center" vertical="center"/>
    </xf>
    <xf borderId="489" fillId="144" fontId="30" numFmtId="0" xfId="0" applyAlignment="1" applyBorder="1" applyFont="1">
      <alignment horizontal="center" vertical="center"/>
    </xf>
    <xf borderId="371" fillId="144" fontId="143" numFmtId="0" xfId="0" applyAlignment="1" applyBorder="1" applyFont="1">
      <alignment horizontal="left" readingOrder="0" vertical="center"/>
    </xf>
    <xf borderId="371" fillId="145" fontId="144" numFmtId="0" xfId="0" applyAlignment="1" applyBorder="1" applyFill="1" applyFont="1">
      <alignment horizontal="left" readingOrder="0" vertical="center"/>
    </xf>
    <xf borderId="490" fillId="0" fontId="5" numFmtId="0" xfId="0" applyBorder="1" applyFont="1"/>
    <xf borderId="491" fillId="0" fontId="5" numFmtId="0" xfId="0" applyBorder="1" applyFont="1"/>
    <xf borderId="492" fillId="3" fontId="30" numFmtId="0" xfId="0" applyAlignment="1" applyBorder="1" applyFont="1">
      <alignment horizontal="center" vertical="center"/>
    </xf>
    <xf borderId="370" fillId="146" fontId="30" numFmtId="0" xfId="0" applyAlignment="1" applyBorder="1" applyFill="1" applyFont="1">
      <alignment horizontal="center" vertical="center"/>
    </xf>
    <xf borderId="493" fillId="146" fontId="30" numFmtId="0" xfId="0" applyAlignment="1" applyBorder="1" applyFont="1">
      <alignment horizontal="center" vertical="center"/>
    </xf>
    <xf borderId="371" fillId="146" fontId="145" numFmtId="0" xfId="0" applyAlignment="1" applyBorder="1" applyFont="1">
      <alignment horizontal="left" readingOrder="0" vertical="center"/>
    </xf>
    <xf borderId="371" fillId="147" fontId="146" numFmtId="0" xfId="0" applyAlignment="1" applyBorder="1" applyFill="1" applyFont="1">
      <alignment horizontal="left" readingOrder="0" vertical="center"/>
    </xf>
    <xf borderId="35" fillId="3" fontId="30" numFmtId="0" xfId="0" applyAlignment="1" applyBorder="1" applyFont="1">
      <alignment horizontal="center" vertical="center"/>
    </xf>
    <xf borderId="494" fillId="101" fontId="30" numFmtId="0" xfId="0" applyAlignment="1" applyBorder="1" applyFont="1">
      <alignment horizontal="center" vertical="center"/>
    </xf>
    <xf borderId="494" fillId="101" fontId="147" numFmtId="0" xfId="0" applyAlignment="1" applyBorder="1" applyFont="1">
      <alignment horizontal="left" readingOrder="0" vertical="center"/>
    </xf>
    <xf borderId="495" fillId="0" fontId="5" numFmtId="0" xfId="0" applyBorder="1" applyFont="1"/>
    <xf borderId="496" fillId="3" fontId="30" numFmtId="0" xfId="0" applyAlignment="1" applyBorder="1" applyFont="1">
      <alignment horizontal="center" vertical="center"/>
    </xf>
    <xf borderId="497" fillId="3" fontId="30" numFmtId="0" xfId="0" applyAlignment="1" applyBorder="1" applyFont="1">
      <alignment horizontal="center" vertical="center"/>
    </xf>
    <xf borderId="498" fillId="23" fontId="22" numFmtId="0" xfId="0" applyAlignment="1" applyBorder="1" applyFont="1">
      <alignment horizontal="left" readingOrder="0" vertical="center"/>
    </xf>
    <xf borderId="95" fillId="23" fontId="22" numFmtId="0" xfId="0" applyAlignment="1" applyBorder="1" applyFont="1">
      <alignment horizontal="center" readingOrder="0" vertical="center"/>
    </xf>
    <xf borderId="95" fillId="23" fontId="22" numFmtId="0" xfId="0" applyAlignment="1" applyBorder="1" applyFont="1">
      <alignment horizontal="left" vertical="center"/>
    </xf>
    <xf borderId="96" fillId="23" fontId="22" numFmtId="0" xfId="0" applyAlignment="1" applyBorder="1" applyFont="1">
      <alignment horizontal="left" readingOrder="0" vertical="center"/>
    </xf>
    <xf borderId="499" fillId="22" fontId="22" numFmtId="0" xfId="0" applyAlignment="1" applyBorder="1" applyFont="1">
      <alignment horizontal="left" readingOrder="0" vertical="center"/>
    </xf>
    <xf borderId="92" fillId="22" fontId="22" numFmtId="0" xfId="0" applyAlignment="1" applyBorder="1" applyFont="1">
      <alignment horizontal="center" readingOrder="0" vertical="center"/>
    </xf>
    <xf borderId="92" fillId="22" fontId="22" numFmtId="0" xfId="0" applyAlignment="1" applyBorder="1" applyFont="1">
      <alignment horizontal="left" vertical="center"/>
    </xf>
    <xf borderId="93" fillId="22" fontId="22" numFmtId="0" xfId="0" applyAlignment="1" applyBorder="1" applyFont="1">
      <alignment horizontal="left" readingOrder="0" vertical="center"/>
    </xf>
    <xf borderId="500" fillId="5" fontId="22" numFmtId="0" xfId="0" applyAlignment="1" applyBorder="1" applyFont="1">
      <alignment horizontal="left" readingOrder="0" vertical="center"/>
    </xf>
    <xf borderId="19" fillId="5" fontId="22" numFmtId="0" xfId="0" applyAlignment="1" applyBorder="1" applyFont="1">
      <alignment horizontal="center" readingOrder="0" vertical="center"/>
    </xf>
    <xf borderId="19" fillId="5" fontId="22" numFmtId="0" xfId="0" applyAlignment="1" applyBorder="1" applyFont="1">
      <alignment horizontal="left" vertical="center"/>
    </xf>
    <xf borderId="501" fillId="5" fontId="22" numFmtId="0" xfId="0" applyAlignment="1" applyBorder="1" applyFont="1">
      <alignment horizontal="left" readingOrder="0" vertical="center"/>
    </xf>
    <xf borderId="77" fillId="4" fontId="22" numFmtId="0" xfId="0" applyAlignment="1" applyBorder="1" applyFont="1">
      <alignment horizontal="left" readingOrder="0" vertical="center"/>
    </xf>
    <xf borderId="502" fillId="9" fontId="22" numFmtId="0" xfId="0" applyAlignment="1" applyBorder="1" applyFont="1">
      <alignment horizontal="left" readingOrder="0" vertical="center"/>
    </xf>
    <xf borderId="38" fillId="9" fontId="22" numFmtId="0" xfId="0" applyAlignment="1" applyBorder="1" applyFont="1">
      <alignment horizontal="center" readingOrder="0" vertical="center"/>
    </xf>
    <xf borderId="38" fillId="9" fontId="22" numFmtId="0" xfId="0" applyAlignment="1" applyBorder="1" applyFont="1">
      <alignment horizontal="left" vertical="center"/>
    </xf>
    <xf borderId="39" fillId="9" fontId="22" numFmtId="0" xfId="0" applyAlignment="1" applyBorder="1" applyFont="1">
      <alignment horizontal="left" readingOrder="0" vertical="center"/>
    </xf>
    <xf borderId="503" fillId="20" fontId="22" numFmtId="0" xfId="0" applyAlignment="1" applyBorder="1" applyFont="1">
      <alignment horizontal="left" readingOrder="0" vertical="center"/>
    </xf>
    <xf borderId="86" fillId="20" fontId="22" numFmtId="0" xfId="0" applyAlignment="1" applyBorder="1" applyFont="1">
      <alignment horizontal="center" readingOrder="0" vertical="center"/>
    </xf>
    <xf borderId="86" fillId="20" fontId="22" numFmtId="0" xfId="0" applyAlignment="1" applyBorder="1" applyFont="1">
      <alignment horizontal="left" vertical="center"/>
    </xf>
    <xf borderId="504" fillId="20" fontId="22" numFmtId="0" xfId="0" applyAlignment="1" applyBorder="1" applyFont="1">
      <alignment horizontal="left" readingOrder="0" vertical="center"/>
    </xf>
    <xf borderId="505" fillId="19" fontId="22" numFmtId="0" xfId="0" applyAlignment="1" applyBorder="1" applyFont="1">
      <alignment horizontal="left" readingOrder="0" vertical="center"/>
    </xf>
    <xf borderId="83" fillId="19" fontId="22" numFmtId="0" xfId="0" applyAlignment="1" applyBorder="1" applyFont="1">
      <alignment horizontal="center" readingOrder="0" vertical="center"/>
    </xf>
    <xf borderId="83" fillId="19" fontId="22" numFmtId="0" xfId="0" applyAlignment="1" applyBorder="1" applyFont="1">
      <alignment horizontal="left" vertical="center"/>
    </xf>
    <xf borderId="84" fillId="19" fontId="22" numFmtId="0" xfId="0" applyAlignment="1" applyBorder="1" applyFont="1">
      <alignment horizontal="left" readingOrder="0" vertical="center"/>
    </xf>
    <xf borderId="506" fillId="18" fontId="22" numFmtId="0" xfId="0" applyAlignment="1" applyBorder="1" applyFont="1">
      <alignment horizontal="left" readingOrder="0" vertical="center"/>
    </xf>
    <xf borderId="80" fillId="18" fontId="22" numFmtId="0" xfId="0" applyAlignment="1" applyBorder="1" applyFont="1">
      <alignment horizontal="center" readingOrder="0" vertical="center"/>
    </xf>
    <xf borderId="80" fillId="18" fontId="22" numFmtId="0" xfId="0" applyAlignment="1" applyBorder="1" applyFont="1">
      <alignment horizontal="left" vertical="center"/>
    </xf>
    <xf borderId="507" fillId="18" fontId="22" numFmtId="0" xfId="0" applyAlignment="1" applyBorder="1" applyFont="1">
      <alignment horizontal="left" readingOrder="0" vertical="center"/>
    </xf>
    <xf borderId="508" fillId="12" fontId="22" numFmtId="0" xfId="0" applyAlignment="1" applyBorder="1" applyFont="1">
      <alignment horizontal="left" readingOrder="0" vertical="center"/>
    </xf>
    <xf borderId="50" fillId="12" fontId="22" numFmtId="0" xfId="0" applyAlignment="1" applyBorder="1" applyFont="1">
      <alignment horizontal="center" readingOrder="0" vertical="center"/>
    </xf>
    <xf borderId="50" fillId="12" fontId="22" numFmtId="0" xfId="0" applyAlignment="1" applyBorder="1" applyFont="1">
      <alignment horizontal="left" vertical="center"/>
    </xf>
    <xf borderId="509" fillId="12" fontId="22" numFmtId="0" xfId="0" applyAlignment="1" applyBorder="1" applyFont="1">
      <alignment horizontal="left" readingOrder="0" vertical="center"/>
    </xf>
    <xf borderId="510" fillId="16" fontId="22" numFmtId="0" xfId="0" applyAlignment="1" applyBorder="1" applyFont="1">
      <alignment horizontal="left" readingOrder="0" vertical="center"/>
    </xf>
    <xf borderId="65" fillId="16" fontId="22" numFmtId="0" xfId="0" applyAlignment="1" applyBorder="1" applyFont="1">
      <alignment horizontal="center" readingOrder="0" vertical="center"/>
    </xf>
    <xf borderId="65" fillId="16" fontId="22" numFmtId="0" xfId="0" applyAlignment="1" applyBorder="1" applyFont="1">
      <alignment horizontal="left" vertical="center"/>
    </xf>
    <xf borderId="511" fillId="16" fontId="22" numFmtId="0" xfId="0" applyAlignment="1" applyBorder="1" applyFont="1">
      <alignment horizontal="left" readingOrder="0" vertical="center"/>
    </xf>
    <xf borderId="512" fillId="6" fontId="22" numFmtId="0" xfId="0" applyAlignment="1" applyBorder="1" applyFont="1">
      <alignment horizontal="left" readingOrder="0" vertical="center"/>
    </xf>
    <xf borderId="26" fillId="6" fontId="22" numFmtId="0" xfId="0" applyAlignment="1" applyBorder="1" applyFont="1">
      <alignment horizontal="center" readingOrder="0" vertical="center"/>
    </xf>
    <xf borderId="26" fillId="6" fontId="22" numFmtId="0" xfId="0" applyAlignment="1" applyBorder="1" applyFont="1">
      <alignment horizontal="left" vertical="center"/>
    </xf>
    <xf borderId="27" fillId="6" fontId="22" numFmtId="0" xfId="0" applyAlignment="1" applyBorder="1" applyFont="1">
      <alignment horizontal="left" readingOrder="0" vertical="center"/>
    </xf>
    <xf borderId="513" fillId="10" fontId="22" numFmtId="0" xfId="0" applyAlignment="1" applyBorder="1" applyFont="1">
      <alignment horizontal="left" readingOrder="0" vertical="center"/>
    </xf>
    <xf borderId="43" fillId="10" fontId="22" numFmtId="0" xfId="0" applyAlignment="1" applyBorder="1" applyFont="1">
      <alignment horizontal="center" readingOrder="0" vertical="center"/>
    </xf>
    <xf borderId="43" fillId="10" fontId="22" numFmtId="0" xfId="0" applyAlignment="1" applyBorder="1" applyFont="1">
      <alignment horizontal="left" vertical="center"/>
    </xf>
    <xf borderId="514" fillId="10" fontId="22" numFmtId="0" xfId="0" applyAlignment="1" applyBorder="1" applyFont="1">
      <alignment horizontal="left" readingOrder="0" vertical="center"/>
    </xf>
    <xf borderId="515" fillId="148" fontId="22" numFmtId="0" xfId="0" applyAlignment="1" applyBorder="1" applyFill="1" applyFont="1">
      <alignment horizontal="left" readingOrder="0" vertical="center"/>
    </xf>
    <xf borderId="516" fillId="148" fontId="22" numFmtId="0" xfId="0" applyAlignment="1" applyBorder="1" applyFont="1">
      <alignment horizontal="center" readingOrder="0" vertical="center"/>
    </xf>
    <xf borderId="516" fillId="148" fontId="22" numFmtId="0" xfId="0" applyAlignment="1" applyBorder="1" applyFont="1">
      <alignment horizontal="left" vertical="center"/>
    </xf>
    <xf borderId="517" fillId="148" fontId="22" numFmtId="0" xfId="0" applyAlignment="1" applyBorder="1" applyFont="1">
      <alignment horizontal="left" readingOrder="0" vertical="center"/>
    </xf>
    <xf borderId="518" fillId="149" fontId="22" numFmtId="0" xfId="0" applyAlignment="1" applyBorder="1" applyFill="1" applyFont="1">
      <alignment horizontal="left" readingOrder="0" vertical="center"/>
    </xf>
    <xf borderId="519" fillId="149" fontId="22" numFmtId="0" xfId="0" applyAlignment="1" applyBorder="1" applyFont="1">
      <alignment horizontal="center" readingOrder="0" vertical="center"/>
    </xf>
    <xf borderId="519" fillId="149" fontId="22" numFmtId="0" xfId="0" applyAlignment="1" applyBorder="1" applyFont="1">
      <alignment horizontal="left" vertical="center"/>
    </xf>
    <xf borderId="520" fillId="149" fontId="22" numFmtId="0" xfId="0" applyAlignment="1" applyBorder="1" applyFont="1">
      <alignment horizontal="left" readingOrder="0" vertical="center"/>
    </xf>
    <xf borderId="521" fillId="150" fontId="22" numFmtId="0" xfId="0" applyAlignment="1" applyBorder="1" applyFill="1" applyFont="1">
      <alignment horizontal="left" readingOrder="0" vertical="center"/>
    </xf>
    <xf borderId="522" fillId="150" fontId="22" numFmtId="0" xfId="0" applyAlignment="1" applyBorder="1" applyFont="1">
      <alignment horizontal="center" readingOrder="0" vertical="center"/>
    </xf>
    <xf borderId="522" fillId="150" fontId="22" numFmtId="0" xfId="0" applyAlignment="1" applyBorder="1" applyFont="1">
      <alignment horizontal="left" vertical="center"/>
    </xf>
    <xf borderId="523" fillId="150" fontId="22" numFmtId="0" xfId="0" applyAlignment="1" applyBorder="1" applyFont="1">
      <alignment horizontal="left" readingOrder="0" vertical="center"/>
    </xf>
    <xf borderId="524" fillId="151" fontId="22" numFmtId="0" xfId="0" applyAlignment="1" applyBorder="1" applyFill="1" applyFont="1">
      <alignment horizontal="left" readingOrder="0" vertical="center"/>
    </xf>
    <xf borderId="525" fillId="151" fontId="22" numFmtId="0" xfId="0" applyAlignment="1" applyBorder="1" applyFont="1">
      <alignment horizontal="center" readingOrder="0" vertical="center"/>
    </xf>
    <xf borderId="525" fillId="151" fontId="22" numFmtId="0" xfId="0" applyAlignment="1" applyBorder="1" applyFont="1">
      <alignment horizontal="left" vertical="center"/>
    </xf>
    <xf borderId="526" fillId="151" fontId="22" numFmtId="0" xfId="0" applyAlignment="1" applyBorder="1" applyFont="1">
      <alignment horizontal="left" readingOrder="0" vertical="center"/>
    </xf>
    <xf borderId="527" fillId="152" fontId="22" numFmtId="0" xfId="0" applyAlignment="1" applyBorder="1" applyFill="1" applyFont="1">
      <alignment horizontal="left" readingOrder="0" vertical="center"/>
    </xf>
    <xf borderId="528" fillId="152" fontId="22" numFmtId="0" xfId="0" applyAlignment="1" applyBorder="1" applyFont="1">
      <alignment horizontal="center" readingOrder="0" vertical="center"/>
    </xf>
    <xf borderId="528" fillId="152" fontId="22" numFmtId="0" xfId="0" applyAlignment="1" applyBorder="1" applyFont="1">
      <alignment horizontal="left" vertical="center"/>
    </xf>
    <xf borderId="529" fillId="152" fontId="22" numFmtId="0" xfId="0" applyAlignment="1" applyBorder="1" applyFont="1">
      <alignment horizontal="left" readingOrder="0" vertical="center"/>
    </xf>
    <xf borderId="530" fillId="153" fontId="22" numFmtId="0" xfId="0" applyAlignment="1" applyBorder="1" applyFill="1" applyFont="1">
      <alignment horizontal="left" readingOrder="0" vertical="center"/>
    </xf>
    <xf borderId="531" fillId="153" fontId="22" numFmtId="0" xfId="0" applyAlignment="1" applyBorder="1" applyFont="1">
      <alignment horizontal="center" readingOrder="0" vertical="center"/>
    </xf>
    <xf borderId="531" fillId="153" fontId="22" numFmtId="0" xfId="0" applyAlignment="1" applyBorder="1" applyFont="1">
      <alignment horizontal="left" vertical="center"/>
    </xf>
    <xf borderId="532" fillId="153" fontId="22" numFmtId="0" xfId="0" applyAlignment="1" applyBorder="1" applyFont="1">
      <alignment horizontal="left" readingOrder="0" vertical="center"/>
    </xf>
    <xf borderId="533" fillId="154" fontId="22" numFmtId="0" xfId="0" applyAlignment="1" applyBorder="1" applyFill="1" applyFont="1">
      <alignment horizontal="left" readingOrder="0" vertical="center"/>
    </xf>
    <xf borderId="534" fillId="154" fontId="22" numFmtId="0" xfId="0" applyAlignment="1" applyBorder="1" applyFont="1">
      <alignment horizontal="center" readingOrder="0" vertical="center"/>
    </xf>
    <xf borderId="534" fillId="154" fontId="22" numFmtId="0" xfId="0" applyAlignment="1" applyBorder="1" applyFont="1">
      <alignment horizontal="left" vertical="center"/>
    </xf>
    <xf borderId="535" fillId="154" fontId="22" numFmtId="0" xfId="0" applyAlignment="1" applyBorder="1" applyFont="1">
      <alignment horizontal="left" readingOrder="0" vertical="center"/>
    </xf>
    <xf borderId="536" fillId="155" fontId="22" numFmtId="0" xfId="0" applyAlignment="1" applyBorder="1" applyFill="1" applyFont="1">
      <alignment horizontal="left" readingOrder="0" vertical="center"/>
    </xf>
    <xf borderId="537" fillId="155" fontId="22" numFmtId="0" xfId="0" applyAlignment="1" applyBorder="1" applyFont="1">
      <alignment horizontal="center" readingOrder="0" vertical="center"/>
    </xf>
    <xf borderId="537" fillId="155" fontId="22" numFmtId="0" xfId="0" applyAlignment="1" applyBorder="1" applyFont="1">
      <alignment horizontal="left" vertical="center"/>
    </xf>
    <xf borderId="538" fillId="155" fontId="22" numFmtId="0" xfId="0" applyAlignment="1" applyBorder="1" applyFont="1">
      <alignment horizontal="left" readingOrder="0" vertical="center"/>
    </xf>
    <xf borderId="539" fillId="156" fontId="22" numFmtId="0" xfId="0" applyAlignment="1" applyBorder="1" applyFill="1" applyFont="1">
      <alignment horizontal="left" readingOrder="0" vertical="center"/>
    </xf>
    <xf borderId="540" fillId="156" fontId="22" numFmtId="0" xfId="0" applyAlignment="1" applyBorder="1" applyFont="1">
      <alignment horizontal="center" readingOrder="0" vertical="center"/>
    </xf>
    <xf borderId="540" fillId="156" fontId="22" numFmtId="0" xfId="0" applyAlignment="1" applyBorder="1" applyFont="1">
      <alignment horizontal="left" vertical="center"/>
    </xf>
    <xf borderId="541" fillId="156" fontId="22" numFmtId="0" xfId="0" applyAlignment="1" applyBorder="1" applyFont="1">
      <alignment horizontal="left" readingOrder="0" vertical="center"/>
    </xf>
    <xf borderId="542" fillId="157" fontId="22" numFmtId="0" xfId="0" applyAlignment="1" applyBorder="1" applyFill="1" applyFont="1">
      <alignment horizontal="left" readingOrder="0" vertical="center"/>
    </xf>
    <xf borderId="543" fillId="157" fontId="22" numFmtId="0" xfId="0" applyAlignment="1" applyBorder="1" applyFont="1">
      <alignment horizontal="center" readingOrder="0" vertical="center"/>
    </xf>
    <xf borderId="543" fillId="157" fontId="22" numFmtId="0" xfId="0" applyAlignment="1" applyBorder="1" applyFont="1">
      <alignment horizontal="left" vertical="center"/>
    </xf>
    <xf borderId="544" fillId="157" fontId="22" numFmtId="0" xfId="0" applyAlignment="1" applyBorder="1" applyFont="1">
      <alignment horizontal="left" readingOrder="0" vertical="center"/>
    </xf>
    <xf borderId="545" fillId="158" fontId="22" numFmtId="0" xfId="0" applyAlignment="1" applyBorder="1" applyFill="1" applyFont="1">
      <alignment horizontal="left" readingOrder="0" vertical="center"/>
    </xf>
    <xf borderId="546" fillId="158" fontId="22" numFmtId="0" xfId="0" applyAlignment="1" applyBorder="1" applyFont="1">
      <alignment horizontal="center" readingOrder="0" vertical="center"/>
    </xf>
    <xf borderId="546" fillId="158" fontId="22" numFmtId="0" xfId="0" applyAlignment="1" applyBorder="1" applyFont="1">
      <alignment horizontal="left" vertical="center"/>
    </xf>
    <xf borderId="547" fillId="158" fontId="22" numFmtId="0" xfId="0" applyAlignment="1" applyBorder="1" applyFont="1">
      <alignment horizontal="left" readingOrder="0" vertical="center"/>
    </xf>
    <xf borderId="548" fillId="159" fontId="22" numFmtId="0" xfId="0" applyAlignment="1" applyBorder="1" applyFill="1" applyFont="1">
      <alignment horizontal="left" readingOrder="0" vertical="center"/>
    </xf>
    <xf borderId="549" fillId="159" fontId="22" numFmtId="0" xfId="0" applyAlignment="1" applyBorder="1" applyFont="1">
      <alignment horizontal="center" readingOrder="0" vertical="center"/>
    </xf>
    <xf borderId="549" fillId="159" fontId="22" numFmtId="0" xfId="0" applyAlignment="1" applyBorder="1" applyFont="1">
      <alignment horizontal="left" vertical="center"/>
    </xf>
    <xf borderId="550" fillId="159" fontId="22" numFmtId="0" xfId="0" applyAlignment="1" applyBorder="1" applyFont="1">
      <alignment horizontal="left" readingOrder="0" vertical="center"/>
    </xf>
    <xf borderId="551" fillId="160" fontId="22" numFmtId="0" xfId="0" applyAlignment="1" applyBorder="1" applyFill="1" applyFont="1">
      <alignment horizontal="left" readingOrder="0" vertical="center"/>
    </xf>
    <xf borderId="552" fillId="160" fontId="22" numFmtId="0" xfId="0" applyAlignment="1" applyBorder="1" applyFont="1">
      <alignment horizontal="center" readingOrder="0" vertical="center"/>
    </xf>
    <xf borderId="552" fillId="160" fontId="22" numFmtId="0" xfId="0" applyAlignment="1" applyBorder="1" applyFont="1">
      <alignment horizontal="left" vertical="center"/>
    </xf>
    <xf borderId="553" fillId="160" fontId="22" numFmtId="0" xfId="0" applyAlignment="1" applyBorder="1" applyFont="1">
      <alignment horizontal="left" readingOrder="0" vertical="center"/>
    </xf>
    <xf borderId="554" fillId="161" fontId="22" numFmtId="0" xfId="0" applyAlignment="1" applyBorder="1" applyFill="1" applyFont="1">
      <alignment horizontal="left" readingOrder="0" vertical="center"/>
    </xf>
    <xf borderId="555" fillId="161" fontId="22" numFmtId="0" xfId="0" applyAlignment="1" applyBorder="1" applyFont="1">
      <alignment horizontal="center" readingOrder="0" vertical="center"/>
    </xf>
    <xf borderId="555" fillId="161" fontId="22" numFmtId="0" xfId="0" applyAlignment="1" applyBorder="1" applyFont="1">
      <alignment horizontal="left" vertical="center"/>
    </xf>
    <xf borderId="556" fillId="161" fontId="22" numFmtId="0" xfId="0" applyAlignment="1" applyBorder="1" applyFont="1">
      <alignment horizontal="left" readingOrder="0" vertical="center"/>
    </xf>
    <xf borderId="24" fillId="4" fontId="148" numFmtId="0" xfId="0" applyAlignment="1" applyBorder="1" applyFont="1">
      <alignment horizontal="center" vertical="center"/>
    </xf>
    <xf borderId="67" fillId="4" fontId="148" numFmtId="0" xfId="0" applyAlignment="1" applyBorder="1" applyFont="1">
      <alignment horizontal="center" vertical="center"/>
    </xf>
    <xf borderId="111" fillId="4" fontId="148" numFmtId="0" xfId="0" applyAlignment="1" applyBorder="1" applyFont="1">
      <alignment horizontal="center" vertical="center"/>
    </xf>
    <xf borderId="557" fillId="162" fontId="148" numFmtId="0" xfId="0" applyAlignment="1" applyBorder="1" applyFill="1" applyFont="1">
      <alignment horizontal="center" vertical="center"/>
    </xf>
    <xf borderId="558" fillId="163" fontId="148" numFmtId="0" xfId="0" applyAlignment="1" applyBorder="1" applyFill="1" applyFont="1">
      <alignment horizontal="center" vertical="center"/>
    </xf>
    <xf borderId="559" fillId="163" fontId="148" numFmtId="0" xfId="0" applyAlignment="1" applyBorder="1" applyFont="1">
      <alignment horizontal="center" vertical="center"/>
    </xf>
    <xf borderId="560" fillId="163" fontId="148" numFmtId="0" xfId="0" applyAlignment="1" applyBorder="1" applyFont="1">
      <alignment horizontal="center" vertical="center"/>
    </xf>
    <xf borderId="561" fillId="163" fontId="148" numFmtId="0" xfId="0" applyAlignment="1" applyBorder="1" applyFont="1">
      <alignment horizontal="center" vertical="center"/>
    </xf>
    <xf borderId="562" fillId="163" fontId="148" numFmtId="0" xfId="0" applyAlignment="1" applyBorder="1" applyFont="1">
      <alignment horizontal="center" vertical="center"/>
    </xf>
    <xf borderId="563" fillId="164" fontId="148" numFmtId="0" xfId="0" applyAlignment="1" applyBorder="1" applyFill="1" applyFont="1">
      <alignment horizontal="center" vertical="center"/>
    </xf>
    <xf borderId="564" fillId="164" fontId="148" numFmtId="0" xfId="0" applyAlignment="1" applyBorder="1" applyFont="1">
      <alignment horizontal="center" vertical="center"/>
    </xf>
    <xf borderId="565" fillId="164" fontId="148" numFmtId="0" xfId="0" applyAlignment="1" applyBorder="1" applyFont="1">
      <alignment horizontal="center" vertical="center"/>
    </xf>
    <xf borderId="566" fillId="165" fontId="148" numFmtId="0" xfId="0" applyAlignment="1" applyBorder="1" applyFill="1" applyFont="1">
      <alignment horizontal="center" vertical="center"/>
    </xf>
    <xf borderId="567" fillId="163" fontId="148" numFmtId="0" xfId="0" applyAlignment="1" applyBorder="1" applyFont="1">
      <alignment horizontal="center" vertical="center"/>
    </xf>
    <xf borderId="568" fillId="163" fontId="148" numFmtId="0" xfId="0" applyAlignment="1" applyBorder="1" applyFont="1">
      <alignment horizontal="center" vertical="center"/>
    </xf>
    <xf borderId="569" fillId="166" fontId="148" numFmtId="0" xfId="0" applyAlignment="1" applyBorder="1" applyFill="1" applyFont="1">
      <alignment horizontal="center" vertical="center"/>
    </xf>
    <xf borderId="570" fillId="166" fontId="148" numFmtId="0" xfId="0" applyAlignment="1" applyBorder="1" applyFont="1">
      <alignment horizontal="center" vertical="center"/>
    </xf>
    <xf borderId="571" fillId="166" fontId="148" numFmtId="0" xfId="0" applyAlignment="1" applyBorder="1" applyFont="1">
      <alignment horizontal="center" vertical="center"/>
    </xf>
    <xf borderId="572" fillId="164" fontId="148" numFmtId="0" xfId="0" applyAlignment="1" applyBorder="1" applyFont="1">
      <alignment horizontal="center" vertical="center"/>
    </xf>
    <xf borderId="573" fillId="166" fontId="148" numFmtId="0" xfId="0" applyAlignment="1" applyBorder="1" applyFont="1">
      <alignment horizontal="center" vertical="center"/>
    </xf>
    <xf borderId="574" fillId="166" fontId="149" numFmtId="0" xfId="0" applyAlignment="1" applyBorder="1" applyFont="1">
      <alignment horizontal="center" readingOrder="0" vertical="center"/>
    </xf>
    <xf borderId="575" fillId="0" fontId="5" numFmtId="0" xfId="0" applyBorder="1" applyFont="1"/>
    <xf borderId="576" fillId="0" fontId="5" numFmtId="0" xfId="0" applyBorder="1" applyFont="1"/>
    <xf borderId="577" fillId="166" fontId="148" numFmtId="0" xfId="0" applyAlignment="1" applyBorder="1" applyFont="1">
      <alignment horizontal="center" vertical="center"/>
    </xf>
    <xf borderId="578" fillId="166" fontId="148" numFmtId="0" xfId="0" applyAlignment="1" applyBorder="1" applyFont="1">
      <alignment horizontal="center" vertical="center"/>
    </xf>
    <xf borderId="578" fillId="166" fontId="148" numFmtId="0" xfId="0" applyAlignment="1" applyBorder="1" applyFont="1">
      <alignment horizontal="center" readingOrder="0" vertical="center"/>
    </xf>
    <xf borderId="574" fillId="166" fontId="148" numFmtId="0" xfId="0" applyAlignment="1" applyBorder="1" applyFont="1">
      <alignment horizontal="left" readingOrder="0" vertical="center"/>
    </xf>
    <xf borderId="574" fillId="166" fontId="148" numFmtId="0" xfId="0" applyAlignment="1" applyBorder="1" applyFont="1">
      <alignment horizontal="center" readingOrder="0" vertical="center"/>
    </xf>
    <xf borderId="574" fillId="166" fontId="148" numFmtId="0" xfId="0" applyAlignment="1" applyBorder="1" applyFont="1">
      <alignment horizontal="left" readingOrder="0" vertical="top"/>
    </xf>
    <xf borderId="578" fillId="167" fontId="148" numFmtId="0" xfId="0" applyAlignment="1" applyBorder="1" applyFill="1" applyFont="1">
      <alignment horizontal="left" readingOrder="0" vertical="center"/>
    </xf>
    <xf borderId="578" fillId="166" fontId="148" numFmtId="0" xfId="0" applyAlignment="1" applyBorder="1" applyFont="1">
      <alignment horizontal="left" readingOrder="0" vertical="center"/>
    </xf>
    <xf borderId="579" fillId="166" fontId="148" numFmtId="0" xfId="0" applyAlignment="1" applyBorder="1" applyFont="1">
      <alignment horizontal="center" vertical="center"/>
    </xf>
    <xf borderId="580" fillId="166" fontId="148" numFmtId="0" xfId="0" applyAlignment="1" applyBorder="1" applyFont="1">
      <alignment horizontal="center" vertical="center"/>
    </xf>
    <xf borderId="581" fillId="166" fontId="148" numFmtId="0" xfId="0" applyAlignment="1" applyBorder="1" applyFont="1">
      <alignment horizontal="center" vertical="center"/>
    </xf>
    <xf borderId="582" fillId="163" fontId="148" numFmtId="0" xfId="0" applyAlignment="1" applyBorder="1" applyFont="1">
      <alignment horizontal="center" vertical="center"/>
    </xf>
    <xf borderId="583" fillId="164" fontId="148" numFmtId="0" xfId="0" applyAlignment="1" applyBorder="1" applyFont="1">
      <alignment horizontal="center" vertical="center"/>
    </xf>
    <xf borderId="584" fillId="164" fontId="148" numFmtId="0" xfId="0" applyAlignment="1" applyBorder="1" applyFont="1">
      <alignment horizontal="center" vertical="center"/>
    </xf>
    <xf borderId="585" fillId="163" fontId="148" numFmtId="0" xfId="0" applyAlignment="1" applyBorder="1" applyFont="1">
      <alignment horizontal="center" vertical="center"/>
    </xf>
    <xf borderId="586" fillId="164" fontId="148" numFmtId="0" xfId="0" applyAlignment="1" applyBorder="1" applyFont="1">
      <alignment horizontal="center" vertical="center"/>
    </xf>
    <xf borderId="574" fillId="166" fontId="150" numFmtId="0" xfId="0" applyAlignment="1" applyBorder="1" applyFont="1">
      <alignment horizontal="center" readingOrder="0" vertical="center"/>
    </xf>
    <xf borderId="574" fillId="166" fontId="148" numFmtId="0" xfId="0" applyAlignment="1" applyBorder="1" applyFont="1">
      <alignment horizontal="left" vertical="center"/>
    </xf>
    <xf borderId="574" fillId="166" fontId="148" numFmtId="0" xfId="0" applyAlignment="1" applyBorder="1" applyFont="1">
      <alignment horizontal="left" vertical="center"/>
    </xf>
    <xf borderId="574" fillId="166" fontId="151" numFmtId="0" xfId="0" applyAlignment="1" applyBorder="1" applyFont="1">
      <alignment horizontal="left" readingOrder="0" vertical="center"/>
    </xf>
    <xf borderId="587" fillId="168" fontId="18" numFmtId="0" xfId="0" applyAlignment="1" applyBorder="1" applyFill="1" applyFont="1">
      <alignment horizontal="center" vertical="center"/>
    </xf>
    <xf borderId="588" fillId="169" fontId="18" numFmtId="0" xfId="0" applyAlignment="1" applyBorder="1" applyFill="1" applyFont="1">
      <alignment horizontal="center" vertical="center"/>
    </xf>
    <xf borderId="589" fillId="169" fontId="18" numFmtId="0" xfId="0" applyAlignment="1" applyBorder="1" applyFont="1">
      <alignment horizontal="center" vertical="center"/>
    </xf>
    <xf borderId="590" fillId="169" fontId="18" numFmtId="0" xfId="0" applyAlignment="1" applyBorder="1" applyFont="1">
      <alignment horizontal="center" vertical="center"/>
    </xf>
    <xf borderId="591" fillId="169" fontId="18" numFmtId="0" xfId="0" applyAlignment="1" applyBorder="1" applyFont="1">
      <alignment horizontal="center" vertical="center"/>
    </xf>
    <xf borderId="592" fillId="170" fontId="18" numFmtId="0" xfId="0" applyAlignment="1" applyBorder="1" applyFill="1" applyFont="1">
      <alignment horizontal="center" vertical="center"/>
    </xf>
    <xf borderId="593" fillId="170" fontId="18" numFmtId="0" xfId="0" applyAlignment="1" applyBorder="1" applyFont="1">
      <alignment horizontal="center" vertical="center"/>
    </xf>
    <xf borderId="594" fillId="170" fontId="18" numFmtId="0" xfId="0" applyAlignment="1" applyBorder="1" applyFont="1">
      <alignment horizontal="center" vertical="center"/>
    </xf>
    <xf borderId="595" fillId="170" fontId="18" numFmtId="0" xfId="0" applyAlignment="1" applyBorder="1" applyFont="1">
      <alignment horizontal="center" vertical="center"/>
    </xf>
    <xf borderId="596" fillId="170" fontId="152" numFmtId="0" xfId="0" applyAlignment="1" applyBorder="1" applyFont="1">
      <alignment horizontal="center" readingOrder="0" vertical="center"/>
    </xf>
    <xf borderId="597" fillId="0" fontId="5" numFmtId="0" xfId="0" applyBorder="1" applyFont="1"/>
    <xf borderId="598" fillId="0" fontId="5" numFmtId="0" xfId="0" applyBorder="1" applyFont="1"/>
    <xf borderId="599" fillId="170" fontId="18" numFmtId="0" xfId="0" applyAlignment="1" applyBorder="1" applyFont="1">
      <alignment horizontal="center" vertical="center"/>
    </xf>
    <xf borderId="596" fillId="170" fontId="153" numFmtId="0" xfId="0" applyAlignment="1" applyBorder="1" applyFont="1">
      <alignment horizontal="center" readingOrder="0" vertical="top"/>
    </xf>
    <xf borderId="600" fillId="0" fontId="5" numFmtId="0" xfId="0" applyBorder="1" applyFont="1"/>
    <xf borderId="601" fillId="0" fontId="5" numFmtId="0" xfId="0" applyBorder="1" applyFont="1"/>
    <xf borderId="602" fillId="170" fontId="153" numFmtId="0" xfId="0" applyAlignment="1" applyBorder="1" applyFont="1">
      <alignment horizontal="center" readingOrder="0" vertical="top"/>
    </xf>
    <xf borderId="596" fillId="170" fontId="10" numFmtId="0" xfId="0" applyAlignment="1" applyBorder="1" applyFont="1">
      <alignment horizontal="center" readingOrder="0" vertical="top"/>
    </xf>
    <xf borderId="596" fillId="170" fontId="154" numFmtId="0" xfId="0" applyAlignment="1" applyBorder="1" applyFont="1">
      <alignment horizontal="center" readingOrder="0" vertical="top"/>
    </xf>
    <xf borderId="603" fillId="170" fontId="18" numFmtId="0" xfId="0" applyAlignment="1" applyBorder="1" applyFont="1">
      <alignment horizontal="center" vertical="center"/>
    </xf>
    <xf borderId="602" fillId="170" fontId="18" numFmtId="0" xfId="0" applyAlignment="1" applyBorder="1" applyFont="1">
      <alignment horizontal="center" vertical="center"/>
    </xf>
    <xf borderId="604" fillId="170" fontId="18" numFmtId="0" xfId="0" applyAlignment="1" applyBorder="1" applyFont="1">
      <alignment horizontal="center" vertical="center"/>
    </xf>
    <xf borderId="605" fillId="171" fontId="155" numFmtId="0" xfId="0" applyAlignment="1" applyBorder="1" applyFill="1" applyFont="1">
      <alignment horizontal="center" readingOrder="0" vertical="center"/>
    </xf>
    <xf borderId="606" fillId="0" fontId="5" numFmtId="0" xfId="0" applyBorder="1" applyFont="1"/>
    <xf borderId="607" fillId="0" fontId="5" numFmtId="0" xfId="0" applyBorder="1" applyFont="1"/>
    <xf borderId="608" fillId="168" fontId="18" numFmtId="0" xfId="0" applyAlignment="1" applyBorder="1" applyFont="1">
      <alignment horizontal="center" vertical="center"/>
    </xf>
    <xf borderId="609" fillId="168" fontId="18" numFmtId="0" xfId="0" applyAlignment="1" applyBorder="1" applyFont="1">
      <alignment horizontal="center" vertical="center"/>
    </xf>
    <xf borderId="610" fillId="168" fontId="18" numFmtId="0" xfId="0" applyAlignment="1" applyBorder="1" applyFont="1">
      <alignment horizontal="center" vertical="center"/>
    </xf>
    <xf borderId="611" fillId="168" fontId="18" numFmtId="0" xfId="0" applyAlignment="1" applyBorder="1" applyFont="1">
      <alignment horizontal="center" vertical="center"/>
    </xf>
    <xf borderId="612" fillId="171" fontId="12" numFmtId="0" xfId="0" applyAlignment="1" applyBorder="1" applyFont="1">
      <alignment horizontal="center" vertical="center"/>
    </xf>
    <xf borderId="613" fillId="171" fontId="8" numFmtId="0" xfId="0" applyAlignment="1" applyBorder="1" applyFont="1">
      <alignment vertical="center"/>
    </xf>
    <xf borderId="614" fillId="0" fontId="5" numFmtId="0" xfId="0" applyBorder="1" applyFont="1"/>
    <xf borderId="615" fillId="0" fontId="5" numFmtId="0" xfId="0" applyBorder="1" applyFont="1"/>
    <xf borderId="616" fillId="168" fontId="8" numFmtId="0" xfId="0" applyAlignment="1" applyBorder="1" applyFont="1">
      <alignment horizontal="center" vertical="center"/>
    </xf>
    <xf borderId="617" fillId="168" fontId="8" numFmtId="0" xfId="0" applyAlignment="1" applyBorder="1" applyFont="1">
      <alignment horizontal="center" vertical="center"/>
    </xf>
    <xf borderId="618" fillId="170" fontId="12" numFmtId="0" xfId="0" applyAlignment="1" applyBorder="1" applyFont="1">
      <alignment horizontal="center" vertical="center"/>
    </xf>
    <xf borderId="614" fillId="170" fontId="8" numFmtId="0" xfId="0" applyAlignment="1" applyBorder="1" applyFont="1">
      <alignment vertical="center"/>
    </xf>
    <xf borderId="619" fillId="0" fontId="5" numFmtId="0" xfId="0" applyBorder="1" applyFont="1"/>
    <xf borderId="620" fillId="168" fontId="18" numFmtId="0" xfId="0" applyAlignment="1" applyBorder="1" applyFont="1">
      <alignment horizontal="center" vertical="center"/>
    </xf>
    <xf borderId="621" fillId="168" fontId="18" numFmtId="0" xfId="0" applyAlignment="1" applyBorder="1" applyFont="1">
      <alignment horizontal="center" vertical="center"/>
    </xf>
    <xf borderId="621" fillId="168" fontId="8" numFmtId="0" xfId="0" applyAlignment="1" applyBorder="1" applyFont="1">
      <alignment horizontal="center" vertical="center"/>
    </xf>
    <xf borderId="587" fillId="168" fontId="8" numFmtId="0" xfId="0" applyAlignment="1" applyBorder="1" applyFont="1">
      <alignment horizontal="center" vertical="center"/>
    </xf>
    <xf borderId="622" fillId="168" fontId="18" numFmtId="0" xfId="0" applyAlignment="1" applyBorder="1" applyFont="1">
      <alignment horizontal="center" vertical="center"/>
    </xf>
    <xf borderId="623" fillId="168" fontId="18" numFmtId="0" xfId="0" applyAlignment="1" applyBorder="1" applyFont="1">
      <alignment horizontal="center" vertical="center"/>
    </xf>
    <xf borderId="623" fillId="168" fontId="8" numFmtId="0" xfId="0" applyAlignment="1" applyBorder="1" applyFont="1">
      <alignment horizontal="center" vertical="center"/>
    </xf>
    <xf borderId="624" fillId="171" fontId="12" numFmtId="0" xfId="0" applyAlignment="1" applyBorder="1" applyFont="1">
      <alignment horizontal="center" vertical="center"/>
    </xf>
    <xf borderId="613" fillId="171" fontId="8" numFmtId="0" xfId="0" applyAlignment="1" applyBorder="1" applyFont="1">
      <alignment readingOrder="0" vertical="center"/>
    </xf>
    <xf borderId="625" fillId="168" fontId="8" numFmtId="0" xfId="0" applyAlignment="1" applyBorder="1" applyFont="1">
      <alignment horizontal="center" vertical="center"/>
    </xf>
    <xf borderId="626" fillId="168" fontId="18" numFmtId="0" xfId="0" applyAlignment="1" applyBorder="1" applyFont="1">
      <alignment horizontal="center" vertical="center"/>
    </xf>
    <xf borderId="627" fillId="168" fontId="18" numFmtId="0" xfId="0" applyAlignment="1" applyBorder="1" applyFont="1">
      <alignment horizontal="center" vertical="center"/>
    </xf>
    <xf borderId="628" fillId="168" fontId="18" numFmtId="0" xfId="0" applyAlignment="1" applyBorder="1" applyFont="1">
      <alignment horizontal="center" vertical="center"/>
    </xf>
    <xf borderId="628" fillId="168" fontId="8" numFmtId="0" xfId="0" applyAlignment="1" applyBorder="1" applyFont="1">
      <alignment horizontal="center" vertical="center"/>
    </xf>
    <xf borderId="629" fillId="168" fontId="18" numFmtId="0" xfId="0" applyAlignment="1" applyBorder="1" applyFont="1">
      <alignment horizontal="center" vertical="center"/>
    </xf>
    <xf borderId="630" fillId="170" fontId="18" numFmtId="0" xfId="0" applyAlignment="1" applyBorder="1" applyFont="1">
      <alignment horizontal="center" vertical="center"/>
    </xf>
    <xf borderId="631" fillId="168" fontId="18" numFmtId="0" xfId="0" applyAlignment="1" applyBorder="1" applyFont="1">
      <alignment horizontal="center" vertical="center"/>
    </xf>
    <xf borderId="632" fillId="168" fontId="18" numFmtId="0" xfId="0" applyAlignment="1" applyBorder="1" applyFont="1">
      <alignment horizontal="center" vertical="center"/>
    </xf>
    <xf borderId="633" fillId="168" fontId="18" numFmtId="0" xfId="0" applyAlignment="1" applyBorder="1" applyFont="1">
      <alignment horizontal="center" vertical="center"/>
    </xf>
    <xf borderId="634" fillId="172" fontId="12" numFmtId="0" xfId="0" applyAlignment="1" applyBorder="1" applyFill="1" applyFont="1">
      <alignment horizontal="center" vertical="center"/>
    </xf>
    <xf borderId="635" fillId="172" fontId="8" numFmtId="0" xfId="0" applyAlignment="1" applyBorder="1" applyFont="1">
      <alignment vertical="center"/>
    </xf>
    <xf borderId="636" fillId="168" fontId="18" numFmtId="0" xfId="0" applyAlignment="1" applyBorder="1" applyFont="1">
      <alignment horizontal="center" vertical="center"/>
    </xf>
    <xf borderId="627" fillId="168" fontId="8" numFmtId="0" xfId="0" applyAlignment="1" applyBorder="1" applyFont="1">
      <alignment horizontal="center" vertical="center"/>
    </xf>
    <xf borderId="637" fillId="168" fontId="18" numFmtId="0" xfId="0" applyAlignment="1" applyBorder="1" applyFont="1">
      <alignment horizontal="center" vertical="center"/>
    </xf>
    <xf borderId="638" fillId="168" fontId="18" numFmtId="0" xfId="0" applyAlignment="1" applyBorder="1" applyFont="1">
      <alignment horizontal="center" vertical="center"/>
    </xf>
    <xf borderId="639" fillId="168" fontId="18" numFmtId="0" xfId="0" applyAlignment="1" applyBorder="1" applyFont="1">
      <alignment horizontal="center" vertical="center"/>
    </xf>
    <xf borderId="640" fillId="168" fontId="18" numFmtId="0" xfId="0" applyAlignment="1" applyBorder="1" applyFont="1">
      <alignment horizontal="center" vertical="center"/>
    </xf>
    <xf borderId="641" fillId="168" fontId="18" numFmtId="0" xfId="0" applyAlignment="1" applyBorder="1" applyFont="1">
      <alignment horizontal="center" vertical="center"/>
    </xf>
    <xf borderId="642" fillId="168" fontId="18" numFmtId="0" xfId="0" applyAlignment="1" applyBorder="1" applyFont="1">
      <alignment horizontal="center" vertical="center"/>
    </xf>
    <xf borderId="643" fillId="173" fontId="12" numFmtId="0" xfId="0" applyAlignment="1" applyBorder="1" applyFill="1" applyFont="1">
      <alignment horizontal="center" vertical="center"/>
    </xf>
    <xf borderId="644" fillId="173" fontId="8" numFmtId="0" xfId="0" applyAlignment="1" applyBorder="1" applyFont="1">
      <alignment vertical="center"/>
    </xf>
    <xf borderId="614" fillId="170" fontId="8" numFmtId="0" xfId="0" applyAlignment="1" applyBorder="1" applyFont="1">
      <alignment readingOrder="0" vertical="center"/>
    </xf>
    <xf borderId="645" fillId="168" fontId="18" numFmtId="0" xfId="0" applyAlignment="1" applyBorder="1" applyFont="1">
      <alignment horizontal="center" vertical="center"/>
    </xf>
    <xf borderId="622" fillId="168" fontId="8" numFmtId="0" xfId="0" applyAlignment="1" applyBorder="1" applyFont="1">
      <alignment horizontal="center" vertical="center"/>
    </xf>
    <xf borderId="598" fillId="170" fontId="18" numFmtId="0" xfId="0" applyAlignment="1" applyBorder="1" applyFont="1">
      <alignment horizontal="center" vertical="center"/>
    </xf>
    <xf borderId="596" fillId="170" fontId="18" numFmtId="0" xfId="0" applyAlignment="1" applyBorder="1" applyFont="1">
      <alignment horizontal="center" vertical="center"/>
    </xf>
    <xf borderId="646" fillId="169" fontId="18" numFmtId="0" xfId="0" applyAlignment="1" applyBorder="1" applyFont="1">
      <alignment horizontal="center" vertical="center"/>
    </xf>
    <xf borderId="647" fillId="169" fontId="18" numFmtId="0" xfId="0" applyAlignment="1" applyBorder="1" applyFont="1">
      <alignment horizontal="center" vertical="center"/>
    </xf>
    <xf borderId="67" fillId="4" fontId="22" numFmtId="0" xfId="0" applyAlignment="1" applyBorder="1" applyFont="1">
      <alignment horizontal="center" vertical="center"/>
    </xf>
    <xf borderId="648" fillId="174" fontId="22" numFmtId="0" xfId="0" applyAlignment="1" applyBorder="1" applyFill="1" applyFont="1">
      <alignment horizontal="center" vertical="center"/>
    </xf>
    <xf borderId="649" fillId="174" fontId="22" numFmtId="0" xfId="0" applyAlignment="1" applyBorder="1" applyFont="1">
      <alignment horizontal="center" vertical="center"/>
    </xf>
    <xf borderId="650" fillId="174" fontId="22" numFmtId="0" xfId="0" applyAlignment="1" applyBorder="1" applyFont="1">
      <alignment horizontal="center" vertical="center"/>
    </xf>
    <xf borderId="650" fillId="174" fontId="156" numFmtId="0" xfId="0" applyAlignment="1" applyBorder="1" applyFont="1">
      <alignment horizontal="left" readingOrder="0" vertical="center"/>
    </xf>
    <xf borderId="651" fillId="0" fontId="5" numFmtId="0" xfId="0" applyBorder="1" applyFont="1"/>
    <xf borderId="652" fillId="0" fontId="5" numFmtId="0" xfId="0" applyBorder="1" applyFont="1"/>
    <xf borderId="653" fillId="174" fontId="157" numFmtId="0" xfId="0" applyAlignment="1" applyBorder="1" applyFont="1">
      <alignment horizontal="left" vertical="center"/>
    </xf>
    <xf borderId="654" fillId="175" fontId="158" numFmtId="0" xfId="0" applyAlignment="1" applyBorder="1" applyFill="1" applyFont="1">
      <alignment horizontal="center" readingOrder="0" vertical="center"/>
    </xf>
    <xf borderId="655" fillId="176" fontId="159" numFmtId="0" xfId="0" applyAlignment="1" applyBorder="1" applyFill="1" applyFont="1">
      <alignment horizontal="center" readingOrder="0" vertical="center"/>
    </xf>
    <xf borderId="656" fillId="174" fontId="157" numFmtId="0" xfId="0" applyAlignment="1" applyBorder="1" applyFont="1">
      <alignment horizontal="left" vertical="center"/>
    </xf>
    <xf borderId="657" fillId="0" fontId="5" numFmtId="0" xfId="0" applyBorder="1" applyFont="1"/>
    <xf borderId="654" fillId="177" fontId="160" numFmtId="0" xfId="0" applyAlignment="1" applyBorder="1" applyFill="1" applyFont="1">
      <alignment horizontal="center" readingOrder="0" vertical="center"/>
    </xf>
    <xf borderId="658" fillId="178" fontId="161" numFmtId="0" xfId="0" applyAlignment="1" applyBorder="1" applyFill="1" applyFont="1">
      <alignment horizontal="center" readingOrder="0" vertical="center"/>
    </xf>
    <xf borderId="659" fillId="174" fontId="157" numFmtId="0" xfId="0" applyAlignment="1" applyBorder="1" applyFont="1">
      <alignment horizontal="left" vertical="center"/>
    </xf>
    <xf borderId="654" fillId="179" fontId="162" numFmtId="0" xfId="0" applyAlignment="1" applyBorder="1" applyFill="1" applyFont="1">
      <alignment horizontal="center" readingOrder="0" vertical="center"/>
    </xf>
    <xf borderId="655" fillId="180" fontId="163" numFmtId="0" xfId="0" applyAlignment="1" applyBorder="1" applyFill="1" applyFont="1">
      <alignment horizontal="center" readingOrder="0" vertical="center"/>
    </xf>
    <xf borderId="660" fillId="174" fontId="157" numFmtId="0" xfId="0" applyAlignment="1" applyBorder="1" applyFont="1">
      <alignment horizontal="left" vertical="center"/>
    </xf>
    <xf borderId="654" fillId="181" fontId="164" numFmtId="0" xfId="0" applyAlignment="1" applyBorder="1" applyFill="1" applyFont="1">
      <alignment horizontal="center" readingOrder="0" vertical="center"/>
    </xf>
    <xf borderId="655" fillId="182" fontId="165" numFmtId="0" xfId="0" applyAlignment="1" applyBorder="1" applyFill="1" applyFont="1">
      <alignment horizontal="center" readingOrder="0" vertical="center"/>
    </xf>
    <xf borderId="661" fillId="174" fontId="157" numFmtId="0" xfId="0" applyAlignment="1" applyBorder="1" applyFont="1">
      <alignment horizontal="left" vertical="center"/>
    </xf>
    <xf borderId="662" fillId="175" fontId="166" numFmtId="0" xfId="0" applyAlignment="1" applyBorder="1" applyFont="1">
      <alignment horizontal="center" shrinkToFit="0" vertical="center" wrapText="0"/>
    </xf>
    <xf borderId="655" fillId="176" fontId="22" numFmtId="0" xfId="0" applyAlignment="1" applyBorder="1" applyFont="1">
      <alignment horizontal="center" readingOrder="0"/>
    </xf>
    <xf borderId="663" fillId="174" fontId="157" numFmtId="0" xfId="0" applyAlignment="1" applyBorder="1" applyFont="1">
      <alignment horizontal="center" vertical="center"/>
    </xf>
    <xf borderId="664" fillId="174" fontId="22" numFmtId="0" xfId="0" applyAlignment="1" applyBorder="1" applyFont="1">
      <alignment horizontal="center" vertical="center"/>
    </xf>
    <xf borderId="662" fillId="177" fontId="166" numFmtId="0" xfId="0" applyAlignment="1" applyBorder="1" applyFont="1">
      <alignment horizontal="center" shrinkToFit="0" vertical="center" wrapText="0"/>
    </xf>
    <xf borderId="658" fillId="178" fontId="22" numFmtId="0" xfId="0" applyAlignment="1" applyBorder="1" applyFont="1">
      <alignment horizontal="center" readingOrder="0"/>
    </xf>
    <xf borderId="655" fillId="174" fontId="157" numFmtId="0" xfId="0" applyAlignment="1" applyBorder="1" applyFont="1">
      <alignment horizontal="center" vertical="center"/>
    </xf>
    <xf borderId="662" fillId="179" fontId="166" numFmtId="0" xfId="0" applyAlignment="1" applyBorder="1" applyFont="1">
      <alignment horizontal="center" shrinkToFit="0" vertical="center" wrapText="0"/>
    </xf>
    <xf borderId="655" fillId="180" fontId="22" numFmtId="0" xfId="0" applyAlignment="1" applyBorder="1" applyFont="1">
      <alignment horizontal="center" readingOrder="0"/>
    </xf>
    <xf borderId="665" fillId="174" fontId="157" numFmtId="0" xfId="0" applyAlignment="1" applyBorder="1" applyFont="1">
      <alignment horizontal="center" vertical="center"/>
    </xf>
    <xf borderId="662" fillId="181" fontId="166" numFmtId="0" xfId="0" applyAlignment="1" applyBorder="1" applyFont="1">
      <alignment horizontal="center" shrinkToFit="0" vertical="center" wrapText="0"/>
    </xf>
    <xf borderId="655" fillId="182" fontId="22" numFmtId="0" xfId="0" applyAlignment="1" applyBorder="1" applyFont="1">
      <alignment horizontal="center" readingOrder="0"/>
    </xf>
    <xf borderId="666" fillId="174" fontId="22" numFmtId="0" xfId="0" applyAlignment="1" applyBorder="1" applyFont="1">
      <alignment horizontal="center" vertical="center"/>
    </xf>
    <xf borderId="667" fillId="174" fontId="22" numFmtId="0" xfId="0" applyAlignment="1" applyBorder="1" applyFont="1">
      <alignment horizontal="center" vertical="center"/>
    </xf>
    <xf borderId="654" fillId="183" fontId="167" numFmtId="0" xfId="0" applyAlignment="1" applyBorder="1" applyFill="1" applyFont="1">
      <alignment horizontal="center" readingOrder="0" vertical="center"/>
    </xf>
    <xf borderId="668" fillId="184" fontId="168" numFmtId="0" xfId="0" applyAlignment="1" applyBorder="1" applyFill="1" applyFont="1">
      <alignment horizontal="center" readingOrder="0" vertical="center"/>
    </xf>
    <xf borderId="657" fillId="174" fontId="157" numFmtId="0" xfId="0" applyAlignment="1" applyBorder="1" applyFont="1">
      <alignment horizontal="left" vertical="center"/>
    </xf>
    <xf borderId="662" fillId="183" fontId="166" numFmtId="0" xfId="0" applyAlignment="1" applyBorder="1" applyFont="1">
      <alignment horizontal="center" shrinkToFit="0" vertical="center" wrapText="0"/>
    </xf>
    <xf borderId="668" fillId="184" fontId="22" numFmtId="0" xfId="0" applyAlignment="1" applyBorder="1" applyFont="1">
      <alignment horizontal="center" readingOrder="0"/>
    </xf>
    <xf borderId="654" fillId="185" fontId="169" numFmtId="0" xfId="0" applyAlignment="1" applyBorder="1" applyFill="1" applyFont="1">
      <alignment horizontal="center" readingOrder="0" vertical="center"/>
    </xf>
    <xf borderId="669" fillId="186" fontId="170" numFmtId="0" xfId="0" applyAlignment="1" applyBorder="1" applyFill="1" applyFont="1">
      <alignment horizontal="center" readingOrder="0" vertical="center"/>
    </xf>
    <xf borderId="662" fillId="185" fontId="166" numFmtId="0" xfId="0" applyAlignment="1" applyBorder="1" applyFont="1">
      <alignment horizontal="center" shrinkToFit="0" vertical="center" wrapText="0"/>
    </xf>
    <xf borderId="669" fillId="186" fontId="22" numFmtId="0" xfId="0" applyAlignment="1" applyBorder="1" applyFont="1">
      <alignment horizontal="center" readingOrder="0"/>
    </xf>
    <xf borderId="670" fillId="174" fontId="157" numFmtId="0" xfId="0" applyAlignment="1" applyBorder="1" applyFont="1">
      <alignment horizontal="left" vertical="center"/>
    </xf>
    <xf borderId="671" fillId="174" fontId="156" numFmtId="0" xfId="0" applyAlignment="1" applyBorder="1" applyFont="1">
      <alignment horizontal="left" readingOrder="0" vertical="center"/>
    </xf>
    <xf borderId="672" fillId="0" fontId="5" numFmtId="0" xfId="0" applyBorder="1" applyFont="1"/>
    <xf borderId="649" fillId="174" fontId="157" numFmtId="0" xfId="0" applyAlignment="1" applyBorder="1" applyFont="1">
      <alignment horizontal="left" vertical="center"/>
    </xf>
    <xf borderId="654" fillId="187" fontId="171" numFmtId="0" xfId="0" applyAlignment="1" applyBorder="1" applyFill="1" applyFont="1">
      <alignment horizontal="center" readingOrder="0" vertical="center"/>
    </xf>
    <xf borderId="673" fillId="188" fontId="172" numFmtId="0" xfId="0" applyAlignment="1" applyBorder="1" applyFill="1" applyFont="1">
      <alignment horizontal="center" readingOrder="0" vertical="center"/>
    </xf>
    <xf borderId="648" fillId="174" fontId="156" numFmtId="0" xfId="0" applyAlignment="1" applyBorder="1" applyFont="1">
      <alignment horizontal="left" readingOrder="0" vertical="center"/>
    </xf>
    <xf borderId="654" fillId="189" fontId="173" numFmtId="0" xfId="0" applyAlignment="1" applyBorder="1" applyFill="1" applyFont="1">
      <alignment horizontal="center" readingOrder="0" vertical="center"/>
    </xf>
    <xf borderId="662" fillId="189" fontId="166" numFmtId="0" xfId="0" applyAlignment="1" applyBorder="1" applyFont="1">
      <alignment horizontal="center" shrinkToFit="0" vertical="center" wrapText="0"/>
    </xf>
    <xf borderId="654" fillId="190" fontId="174" numFmtId="0" xfId="0" applyAlignment="1" applyBorder="1" applyFill="1" applyFont="1">
      <alignment horizontal="center" readingOrder="0" vertical="center"/>
    </xf>
    <xf borderId="674" fillId="191" fontId="175" numFmtId="0" xfId="0" applyAlignment="1" applyBorder="1" applyFill="1" applyFont="1">
      <alignment horizontal="center" readingOrder="0" vertical="center"/>
    </xf>
    <xf borderId="654" fillId="192" fontId="176" numFmtId="0" xfId="0" applyAlignment="1" applyBorder="1" applyFill="1" applyFont="1">
      <alignment horizontal="center" readingOrder="0" vertical="center"/>
    </xf>
    <xf borderId="675" fillId="193" fontId="177" numFmtId="0" xfId="0" applyAlignment="1" applyBorder="1" applyFill="1" applyFont="1">
      <alignment horizontal="center" readingOrder="0" vertical="center"/>
    </xf>
    <xf borderId="654" fillId="194" fontId="178" numFmtId="0" xfId="0" applyAlignment="1" applyBorder="1" applyFill="1" applyFont="1">
      <alignment horizontal="center" readingOrder="0" vertical="center"/>
    </xf>
    <xf borderId="676" fillId="195" fontId="179" numFmtId="0" xfId="0" applyAlignment="1" applyBorder="1" applyFill="1" applyFont="1">
      <alignment horizontal="center" readingOrder="0" vertical="center"/>
    </xf>
    <xf borderId="662" fillId="190" fontId="166" numFmtId="0" xfId="0" applyAlignment="1" applyBorder="1" applyFont="1">
      <alignment horizontal="center" shrinkToFit="0" vertical="center" wrapText="0"/>
    </xf>
    <xf borderId="674" fillId="191" fontId="22" numFmtId="0" xfId="0" applyAlignment="1" applyBorder="1" applyFont="1">
      <alignment horizontal="center" readingOrder="0"/>
    </xf>
    <xf borderId="662" fillId="192" fontId="166" numFmtId="0" xfId="0" applyAlignment="1" applyBorder="1" applyFont="1">
      <alignment horizontal="center" shrinkToFit="0" vertical="center" wrapText="0"/>
    </xf>
    <xf borderId="675" fillId="193" fontId="22" numFmtId="0" xfId="0" applyAlignment="1" applyBorder="1" applyFont="1">
      <alignment horizontal="center" readingOrder="0"/>
    </xf>
    <xf borderId="662" fillId="194" fontId="166" numFmtId="0" xfId="0" applyAlignment="1" applyBorder="1" applyFont="1">
      <alignment horizontal="center" shrinkToFit="0" vertical="center" wrapText="0"/>
    </xf>
    <xf borderId="676" fillId="195" fontId="22" numFmtId="0" xfId="0" applyAlignment="1" applyBorder="1" applyFont="1">
      <alignment horizontal="center" readingOrder="0"/>
    </xf>
    <xf borderId="654" fillId="196" fontId="180" numFmtId="0" xfId="0" applyAlignment="1" applyBorder="1" applyFill="1" applyFont="1">
      <alignment horizontal="center" readingOrder="0" vertical="center"/>
    </xf>
    <xf borderId="677" fillId="197" fontId="181" numFmtId="0" xfId="0" applyAlignment="1" applyBorder="1" applyFill="1" applyFont="1">
      <alignment horizontal="center" readingOrder="0" vertical="center"/>
    </xf>
    <xf borderId="662" fillId="196" fontId="166" numFmtId="0" xfId="0" applyAlignment="1" applyBorder="1" applyFont="1">
      <alignment horizontal="center" shrinkToFit="0" vertical="center" wrapText="0"/>
    </xf>
    <xf borderId="677" fillId="197" fontId="22" numFmtId="0" xfId="0" applyAlignment="1" applyBorder="1" applyFont="1">
      <alignment horizontal="center" readingOrder="0"/>
    </xf>
    <xf borderId="654" fillId="198" fontId="182" numFmtId="0" xfId="0" applyAlignment="1" applyBorder="1" applyFill="1" applyFont="1">
      <alignment horizontal="center" readingOrder="0" vertical="center"/>
    </xf>
    <xf borderId="678" fillId="150" fontId="183" numFmtId="0" xfId="0" applyAlignment="1" applyBorder="1" applyFont="1">
      <alignment horizontal="center" readingOrder="0" vertical="center"/>
    </xf>
    <xf borderId="654" fillId="199" fontId="184" numFmtId="0" xfId="0" applyAlignment="1" applyBorder="1" applyFill="1" applyFont="1">
      <alignment horizontal="center" readingOrder="0" vertical="center"/>
    </xf>
    <xf borderId="679" fillId="200" fontId="185" numFmtId="0" xfId="0" applyAlignment="1" applyBorder="1" applyFill="1" applyFont="1">
      <alignment horizontal="center" readingOrder="0" vertical="center"/>
    </xf>
    <xf borderId="678" fillId="150" fontId="22" numFmtId="0" xfId="0" applyAlignment="1" applyBorder="1" applyFont="1">
      <alignment horizontal="center" readingOrder="0"/>
    </xf>
    <xf borderId="662" fillId="199" fontId="166" numFmtId="0" xfId="0" applyAlignment="1" applyBorder="1" applyFont="1">
      <alignment horizontal="center" shrinkToFit="0" vertical="center" wrapText="0"/>
    </xf>
    <xf borderId="679" fillId="200" fontId="22" numFmtId="0" xfId="0" applyAlignment="1" applyBorder="1" applyFont="1">
      <alignment horizontal="center" readingOrder="0"/>
    </xf>
    <xf borderId="111" fillId="4" fontId="22" numFmtId="0" xfId="0" applyAlignment="1" applyBorder="1" applyFont="1">
      <alignment horizontal="center" vertical="center"/>
    </xf>
    <xf borderId="680" fillId="174" fontId="22" numFmtId="0" xfId="0" applyAlignment="1" applyBorder="1" applyFont="1">
      <alignment horizontal="center" vertical="center"/>
    </xf>
    <xf borderId="681" fillId="174" fontId="22" numFmtId="0" xfId="0" applyAlignment="1" applyBorder="1" applyFont="1">
      <alignment horizontal="center" vertical="center"/>
    </xf>
    <xf borderId="682" fillId="174" fontId="22" numFmtId="0" xfId="0" applyAlignment="1" applyBorder="1" applyFont="1">
      <alignment horizontal="center" vertical="center"/>
    </xf>
    <xf borderId="683" fillId="8" fontId="7" numFmtId="0" xfId="0" applyAlignment="1" applyBorder="1" applyFont="1">
      <alignment horizontal="center" vertical="center"/>
    </xf>
    <xf borderId="684" fillId="8" fontId="7" numFmtId="0" xfId="0" applyAlignment="1" applyBorder="1" applyFont="1">
      <alignment horizontal="center" vertical="center"/>
    </xf>
    <xf borderId="685" fillId="8" fontId="7" numFmtId="0" xfId="0" applyAlignment="1" applyBorder="1" applyFont="1">
      <alignment horizontal="center" vertical="center"/>
    </xf>
    <xf borderId="686" fillId="8" fontId="7" numFmtId="0" xfId="0" applyAlignment="1" applyBorder="1" applyFont="1">
      <alignment horizontal="center" vertical="center"/>
    </xf>
    <xf borderId="687" fillId="8" fontId="7" numFmtId="0" xfId="0" applyAlignment="1" applyBorder="1" applyFont="1">
      <alignment horizontal="center" vertical="center"/>
    </xf>
    <xf borderId="688" fillId="8" fontId="7" numFmtId="0" xfId="0" applyAlignment="1" applyBorder="1" applyFont="1">
      <alignment horizontal="center" readingOrder="0" vertical="center"/>
    </xf>
    <xf borderId="689" fillId="23" fontId="7" numFmtId="0" xfId="0" applyAlignment="1" applyBorder="1" applyFont="1">
      <alignment horizontal="center" vertical="center"/>
    </xf>
    <xf borderId="690" fillId="23" fontId="18" numFmtId="0" xfId="0" applyAlignment="1" applyBorder="1" applyFont="1">
      <alignment horizontal="left" readingOrder="0" vertical="center"/>
    </xf>
    <xf borderId="689" fillId="12" fontId="7" numFmtId="0" xfId="0" applyAlignment="1" applyBorder="1" applyFont="1">
      <alignment horizontal="center" vertical="center"/>
    </xf>
    <xf borderId="690" fillId="12" fontId="18" numFmtId="0" xfId="0" applyAlignment="1" applyBorder="1" applyFont="1">
      <alignment horizontal="left" readingOrder="0" vertical="center"/>
    </xf>
    <xf borderId="689" fillId="154" fontId="7" numFmtId="0" xfId="0" applyAlignment="1" applyBorder="1" applyFont="1">
      <alignment horizontal="center" vertical="center"/>
    </xf>
    <xf borderId="690" fillId="154" fontId="18" numFmtId="0" xfId="0" applyAlignment="1" applyBorder="1" applyFont="1">
      <alignment horizontal="left" readingOrder="0" vertical="center"/>
    </xf>
    <xf borderId="690" fillId="4" fontId="18" numFmtId="0" xfId="0" applyAlignment="1" applyBorder="1" applyFont="1">
      <alignment horizontal="left" readingOrder="0" vertical="center"/>
    </xf>
    <xf borderId="687" fillId="201" fontId="7" numFmtId="0" xfId="0" applyAlignment="1" applyBorder="1" applyFill="1" applyFont="1">
      <alignment horizontal="center" shrinkToFit="0" vertical="center" wrapText="0"/>
    </xf>
    <xf borderId="691" fillId="201" fontId="18" numFmtId="0" xfId="0" applyAlignment="1" applyBorder="1" applyFont="1">
      <alignment horizontal="left" readingOrder="0" vertical="center"/>
    </xf>
    <xf borderId="687" fillId="202" fontId="7" numFmtId="0" xfId="0" applyAlignment="1" applyBorder="1" applyFill="1" applyFont="1">
      <alignment horizontal="center" shrinkToFit="0" vertical="center" wrapText="0"/>
    </xf>
    <xf borderId="691" fillId="202" fontId="18" numFmtId="0" xfId="0" applyAlignment="1" applyBorder="1" applyFont="1">
      <alignment horizontal="left" readingOrder="0" vertical="center"/>
    </xf>
    <xf borderId="687" fillId="203" fontId="7" numFmtId="0" xfId="0" applyAlignment="1" applyBorder="1" applyFill="1" applyFont="1">
      <alignment horizontal="center" shrinkToFit="0" vertical="center" wrapText="0"/>
    </xf>
    <xf borderId="691" fillId="203" fontId="18" numFmtId="0" xfId="0" applyAlignment="1" applyBorder="1" applyFont="1">
      <alignment horizontal="left" readingOrder="0" vertical="center"/>
    </xf>
    <xf borderId="687" fillId="204" fontId="7" numFmtId="0" xfId="0" applyAlignment="1" applyBorder="1" applyFill="1" applyFont="1">
      <alignment horizontal="center" shrinkToFit="0" vertical="center" wrapText="0"/>
    </xf>
    <xf borderId="691" fillId="204" fontId="18" numFmtId="0" xfId="0" applyAlignment="1" applyBorder="1" applyFont="1">
      <alignment horizontal="left" readingOrder="0" vertical="center"/>
    </xf>
    <xf borderId="687" fillId="205" fontId="7" numFmtId="0" xfId="0" applyAlignment="1" applyBorder="1" applyFill="1" applyFont="1">
      <alignment horizontal="center" shrinkToFit="0" vertical="center" wrapText="0"/>
    </xf>
    <xf borderId="691" fillId="205" fontId="18" numFmtId="0" xfId="0" applyAlignment="1" applyBorder="1" applyFont="1">
      <alignment horizontal="left" readingOrder="0" vertical="center"/>
    </xf>
    <xf borderId="687" fillId="206" fontId="7" numFmtId="0" xfId="0" applyAlignment="1" applyBorder="1" applyFill="1" applyFont="1">
      <alignment horizontal="center" shrinkToFit="0" vertical="center" wrapText="0"/>
    </xf>
    <xf borderId="691" fillId="206" fontId="18" numFmtId="0" xfId="0" applyAlignment="1" applyBorder="1" applyFont="1">
      <alignment horizontal="left" readingOrder="0" vertical="center"/>
    </xf>
    <xf borderId="687" fillId="207" fontId="7" numFmtId="0" xfId="0" applyAlignment="1" applyBorder="1" applyFill="1" applyFont="1">
      <alignment horizontal="center" shrinkToFit="0" vertical="center" wrapText="0"/>
    </xf>
    <xf borderId="691" fillId="207" fontId="18" numFmtId="0" xfId="0" applyAlignment="1" applyBorder="1" applyFont="1">
      <alignment horizontal="left" readingOrder="0" vertical="center"/>
    </xf>
    <xf borderId="687" fillId="208" fontId="7" numFmtId="0" xfId="0" applyAlignment="1" applyBorder="1" applyFill="1" applyFont="1">
      <alignment horizontal="center" shrinkToFit="0" vertical="center" wrapText="0"/>
    </xf>
    <xf borderId="691" fillId="208" fontId="18" numFmtId="0" xfId="0" applyAlignment="1" applyBorder="1" applyFont="1">
      <alignment horizontal="left" readingOrder="0" vertical="center"/>
    </xf>
    <xf borderId="687" fillId="209" fontId="7" numFmtId="0" xfId="0" applyAlignment="1" applyBorder="1" applyFill="1" applyFont="1">
      <alignment horizontal="center" shrinkToFit="0" vertical="center" wrapText="0"/>
    </xf>
    <xf borderId="691" fillId="209" fontId="18" numFmtId="0" xfId="0" applyAlignment="1" applyBorder="1" applyFont="1">
      <alignment horizontal="left" readingOrder="0" vertical="center"/>
    </xf>
    <xf borderId="687" fillId="210" fontId="7" numFmtId="0" xfId="0" applyAlignment="1" applyBorder="1" applyFill="1" applyFont="1">
      <alignment horizontal="center" shrinkToFit="0" vertical="center" wrapText="0"/>
    </xf>
    <xf borderId="691" fillId="210" fontId="18" numFmtId="0" xfId="0" applyAlignment="1" applyBorder="1" applyFont="1">
      <alignment horizontal="left" readingOrder="0" vertical="center"/>
    </xf>
    <xf borderId="687" fillId="211" fontId="7" numFmtId="0" xfId="0" applyAlignment="1" applyBorder="1" applyFill="1" applyFont="1">
      <alignment horizontal="center" shrinkToFit="0" vertical="center" wrapText="0"/>
    </xf>
    <xf borderId="691" fillId="211" fontId="18" numFmtId="0" xfId="0" applyAlignment="1" applyBorder="1" applyFont="1">
      <alignment horizontal="left" readingOrder="0" vertical="center"/>
    </xf>
    <xf borderId="692" fillId="8" fontId="7" numFmtId="0" xfId="0" applyAlignment="1" applyBorder="1" applyFont="1">
      <alignment horizontal="center" vertical="center"/>
    </xf>
    <xf borderId="693" fillId="8" fontId="7" numFmtId="0" xfId="0" applyAlignment="1" applyBorder="1" applyFont="1">
      <alignment horizontal="center" vertical="center"/>
    </xf>
    <xf borderId="694" fillId="17" fontId="7" numFmtId="0" xfId="0" applyAlignment="1" applyBorder="1" applyFont="1">
      <alignment horizontal="center" vertical="center"/>
    </xf>
    <xf borderId="695" fillId="17" fontId="18" numFmtId="0" xfId="0" applyAlignment="1" applyBorder="1" applyFont="1">
      <alignment horizontal="left" readingOrder="0" vertical="center"/>
    </xf>
    <xf borderId="694" fillId="62" fontId="7" numFmtId="0" xfId="0" applyAlignment="1" applyBorder="1" applyFont="1">
      <alignment horizontal="center" vertical="center"/>
    </xf>
    <xf borderId="695" fillId="62" fontId="18" numFmtId="0" xfId="0" applyAlignment="1" applyBorder="1" applyFont="1">
      <alignment horizontal="left" readingOrder="0" vertical="center"/>
    </xf>
    <xf borderId="694" fillId="23" fontId="7" numFmtId="0" xfId="0" applyAlignment="1" applyBorder="1" applyFont="1">
      <alignment horizontal="center" shrinkToFit="0" vertical="center" wrapText="0"/>
    </xf>
    <xf borderId="695" fillId="23" fontId="18" numFmtId="0" xfId="0" applyAlignment="1" applyBorder="1" applyFont="1">
      <alignment horizontal="left" readingOrder="0" vertical="center"/>
    </xf>
    <xf borderId="694" fillId="4" fontId="7" numFmtId="0" xfId="0" applyAlignment="1" applyBorder="1" applyFont="1">
      <alignment horizontal="center" vertical="center"/>
    </xf>
    <xf borderId="695" fillId="4" fontId="18" numFmtId="0" xfId="0" applyAlignment="1" applyBorder="1" applyFont="1">
      <alignment horizontal="left" readingOrder="0" vertical="center"/>
    </xf>
    <xf borderId="696" fillId="212" fontId="12" numFmtId="0" xfId="0" applyAlignment="1" applyBorder="1" applyFill="1" applyFont="1">
      <alignment horizontal="center" vertical="center"/>
    </xf>
    <xf borderId="697" fillId="212" fontId="18" numFmtId="0" xfId="0" applyAlignment="1" applyBorder="1" applyFont="1">
      <alignment horizontal="left" readingOrder="0" vertical="center"/>
    </xf>
    <xf borderId="696" fillId="213" fontId="12" numFmtId="0" xfId="0" applyAlignment="1" applyBorder="1" applyFill="1" applyFont="1">
      <alignment horizontal="center" vertical="center"/>
    </xf>
    <xf borderId="697" fillId="213" fontId="18" numFmtId="0" xfId="0" applyAlignment="1" applyBorder="1" applyFont="1">
      <alignment horizontal="left" readingOrder="0" vertical="center"/>
    </xf>
    <xf borderId="696" fillId="214" fontId="12" numFmtId="0" xfId="0" applyAlignment="1" applyBorder="1" applyFill="1" applyFont="1">
      <alignment horizontal="center" vertical="center"/>
    </xf>
    <xf borderId="697" fillId="214" fontId="18" numFmtId="0" xfId="0" applyAlignment="1" applyBorder="1" applyFont="1">
      <alignment horizontal="left" readingOrder="0" vertical="center"/>
    </xf>
    <xf borderId="696" fillId="215" fontId="12" numFmtId="0" xfId="0" applyAlignment="1" applyBorder="1" applyFill="1" applyFont="1">
      <alignment horizontal="center" vertical="center"/>
    </xf>
    <xf borderId="697" fillId="215" fontId="18" numFmtId="0" xfId="0" applyAlignment="1" applyBorder="1" applyFont="1">
      <alignment horizontal="left" readingOrder="0" vertical="center"/>
    </xf>
    <xf borderId="696" fillId="216" fontId="12" numFmtId="0" xfId="0" applyAlignment="1" applyBorder="1" applyFill="1" applyFont="1">
      <alignment horizontal="center" vertical="center"/>
    </xf>
    <xf borderId="697" fillId="216" fontId="18" numFmtId="0" xfId="0" applyAlignment="1" applyBorder="1" applyFont="1">
      <alignment horizontal="left" readingOrder="0" vertical="center"/>
    </xf>
    <xf borderId="696" fillId="217" fontId="12" numFmtId="0" xfId="0" applyAlignment="1" applyBorder="1" applyFill="1" applyFont="1">
      <alignment horizontal="center" vertical="center"/>
    </xf>
    <xf borderId="697" fillId="217" fontId="18" numFmtId="0" xfId="0" applyAlignment="1" applyBorder="1" applyFont="1">
      <alignment horizontal="left" readingOrder="0" vertical="center"/>
    </xf>
    <xf borderId="696" fillId="218" fontId="12" numFmtId="0" xfId="0" applyAlignment="1" applyBorder="1" applyFill="1" applyFont="1">
      <alignment horizontal="center" vertical="center"/>
    </xf>
    <xf borderId="697" fillId="218" fontId="18" numFmtId="0" xfId="0" applyAlignment="1" applyBorder="1" applyFont="1">
      <alignment horizontal="left" readingOrder="0" vertical="center"/>
    </xf>
    <xf borderId="696" fillId="219" fontId="12" numFmtId="0" xfId="0" applyAlignment="1" applyBorder="1" applyFill="1" applyFont="1">
      <alignment horizontal="center" vertical="center"/>
    </xf>
    <xf borderId="697" fillId="219" fontId="18" numFmtId="0" xfId="0" applyAlignment="1" applyBorder="1" applyFont="1">
      <alignment horizontal="left" readingOrder="0" vertical="center"/>
    </xf>
    <xf borderId="696" fillId="220" fontId="12" numFmtId="0" xfId="0" applyAlignment="1" applyBorder="1" applyFill="1" applyFont="1">
      <alignment horizontal="center" vertical="center"/>
    </xf>
    <xf borderId="697" fillId="220" fontId="18" numFmtId="0" xfId="0" applyAlignment="1" applyBorder="1" applyFont="1">
      <alignment horizontal="left" readingOrder="0" vertical="center"/>
    </xf>
    <xf borderId="696" fillId="221" fontId="12" numFmtId="0" xfId="0" applyAlignment="1" applyBorder="1" applyFill="1" applyFont="1">
      <alignment horizontal="center" vertical="center"/>
    </xf>
    <xf borderId="697" fillId="221" fontId="18" numFmtId="0" xfId="0" applyAlignment="1" applyBorder="1" applyFont="1">
      <alignment horizontal="left" readingOrder="0" vertical="center"/>
    </xf>
    <xf borderId="696" fillId="222" fontId="12" numFmtId="0" xfId="0" applyAlignment="1" applyBorder="1" applyFill="1" applyFont="1">
      <alignment horizontal="center" vertical="center"/>
    </xf>
    <xf borderId="697" fillId="222" fontId="18" numFmtId="0" xfId="0" applyAlignment="1" applyBorder="1" applyFont="1">
      <alignment horizontal="left" readingOrder="0" vertical="center"/>
    </xf>
    <xf borderId="698" fillId="8" fontId="7" numFmtId="0" xfId="0" applyAlignment="1" applyBorder="1" applyFont="1">
      <alignment horizontal="center" vertical="center"/>
    </xf>
    <xf borderId="694" fillId="7" fontId="7" numFmtId="0" xfId="0" applyAlignment="1" applyBorder="1" applyFont="1">
      <alignment horizontal="center" vertical="center"/>
    </xf>
    <xf borderId="695" fillId="7" fontId="18" numFmtId="0" xfId="0" applyAlignment="1" applyBorder="1" applyFont="1">
      <alignment horizontal="left" readingOrder="0" vertical="center"/>
    </xf>
    <xf borderId="694" fillId="20" fontId="7" numFmtId="0" xfId="0" applyAlignment="1" applyBorder="1" applyFont="1">
      <alignment horizontal="center" vertical="center"/>
    </xf>
    <xf borderId="695" fillId="20" fontId="18" numFmtId="0" xfId="0" applyAlignment="1" applyBorder="1" applyFont="1">
      <alignment horizontal="left" readingOrder="0" vertical="center"/>
    </xf>
    <xf borderId="694" fillId="40" fontId="7" numFmtId="0" xfId="0" applyAlignment="1" applyBorder="1" applyFont="1">
      <alignment horizontal="center" vertical="center"/>
    </xf>
    <xf borderId="695" fillId="40" fontId="18" numFmtId="0" xfId="0" applyAlignment="1" applyBorder="1" applyFont="1">
      <alignment horizontal="left" readingOrder="0" vertical="center"/>
    </xf>
    <xf borderId="696" fillId="201" fontId="7" numFmtId="0" xfId="0" applyAlignment="1" applyBorder="1" applyFont="1">
      <alignment horizontal="center" shrinkToFit="0" vertical="center" wrapText="0"/>
    </xf>
    <xf borderId="697" fillId="201" fontId="18" numFmtId="0" xfId="0" applyAlignment="1" applyBorder="1" applyFont="1">
      <alignment horizontal="left" readingOrder="0" vertical="center"/>
    </xf>
    <xf borderId="696" fillId="202" fontId="7" numFmtId="0" xfId="0" applyAlignment="1" applyBorder="1" applyFont="1">
      <alignment horizontal="center" shrinkToFit="0" vertical="center" wrapText="0"/>
    </xf>
    <xf borderId="697" fillId="202" fontId="18" numFmtId="0" xfId="0" applyAlignment="1" applyBorder="1" applyFont="1">
      <alignment horizontal="left" readingOrder="0" vertical="center"/>
    </xf>
    <xf borderId="696" fillId="203" fontId="7" numFmtId="0" xfId="0" applyAlignment="1" applyBorder="1" applyFont="1">
      <alignment horizontal="center" shrinkToFit="0" vertical="center" wrapText="0"/>
    </xf>
    <xf borderId="697" fillId="203" fontId="18" numFmtId="0" xfId="0" applyAlignment="1" applyBorder="1" applyFont="1">
      <alignment horizontal="left" readingOrder="0" vertical="center"/>
    </xf>
    <xf borderId="696" fillId="204" fontId="7" numFmtId="0" xfId="0" applyAlignment="1" applyBorder="1" applyFont="1">
      <alignment horizontal="center" shrinkToFit="0" vertical="center" wrapText="0"/>
    </xf>
    <xf borderId="697" fillId="204" fontId="18" numFmtId="0" xfId="0" applyAlignment="1" applyBorder="1" applyFont="1">
      <alignment horizontal="left" readingOrder="0" vertical="center"/>
    </xf>
    <xf borderId="696" fillId="205" fontId="7" numFmtId="0" xfId="0" applyAlignment="1" applyBorder="1" applyFont="1">
      <alignment horizontal="center" shrinkToFit="0" vertical="center" wrapText="0"/>
    </xf>
    <xf borderId="697" fillId="205" fontId="18" numFmtId="0" xfId="0" applyAlignment="1" applyBorder="1" applyFont="1">
      <alignment horizontal="left" readingOrder="0" vertical="center"/>
    </xf>
    <xf borderId="696" fillId="206" fontId="7" numFmtId="0" xfId="0" applyAlignment="1" applyBorder="1" applyFont="1">
      <alignment horizontal="center" shrinkToFit="0" vertical="center" wrapText="0"/>
    </xf>
    <xf borderId="697" fillId="206" fontId="18" numFmtId="0" xfId="0" applyAlignment="1" applyBorder="1" applyFont="1">
      <alignment horizontal="left" readingOrder="0" vertical="center"/>
    </xf>
    <xf borderId="696" fillId="207" fontId="7" numFmtId="0" xfId="0" applyAlignment="1" applyBorder="1" applyFont="1">
      <alignment horizontal="center" shrinkToFit="0" vertical="center" wrapText="0"/>
    </xf>
    <xf borderId="697" fillId="207" fontId="18" numFmtId="0" xfId="0" applyAlignment="1" applyBorder="1" applyFont="1">
      <alignment horizontal="left" readingOrder="0" vertical="center"/>
    </xf>
    <xf borderId="696" fillId="208" fontId="7" numFmtId="0" xfId="0" applyAlignment="1" applyBorder="1" applyFont="1">
      <alignment horizontal="center" shrinkToFit="0" vertical="center" wrapText="0"/>
    </xf>
    <xf borderId="697" fillId="208" fontId="18" numFmtId="0" xfId="0" applyAlignment="1" applyBorder="1" applyFont="1">
      <alignment horizontal="left" readingOrder="0" vertical="center"/>
    </xf>
    <xf borderId="696" fillId="209" fontId="7" numFmtId="0" xfId="0" applyAlignment="1" applyBorder="1" applyFont="1">
      <alignment horizontal="center" shrinkToFit="0" vertical="center" wrapText="0"/>
    </xf>
    <xf borderId="697" fillId="209" fontId="18" numFmtId="0" xfId="0" applyAlignment="1" applyBorder="1" applyFont="1">
      <alignment horizontal="left" readingOrder="0" vertical="center"/>
    </xf>
    <xf borderId="696" fillId="210" fontId="7" numFmtId="0" xfId="0" applyAlignment="1" applyBorder="1" applyFont="1">
      <alignment horizontal="center" shrinkToFit="0" vertical="center" wrapText="0"/>
    </xf>
    <xf borderId="697" fillId="210" fontId="18" numFmtId="0" xfId="0" applyAlignment="1" applyBorder="1" applyFont="1">
      <alignment horizontal="left" readingOrder="0" vertical="center"/>
    </xf>
    <xf borderId="696" fillId="223" fontId="7" numFmtId="0" xfId="0" applyAlignment="1" applyBorder="1" applyFill="1" applyFont="1">
      <alignment horizontal="center" shrinkToFit="0" vertical="center" wrapText="0"/>
    </xf>
    <xf borderId="697" fillId="223" fontId="18" numFmtId="0" xfId="0" applyAlignment="1" applyBorder="1" applyFont="1">
      <alignment horizontal="left" readingOrder="0" vertical="center"/>
    </xf>
    <xf borderId="694" fillId="13" fontId="7" numFmtId="0" xfId="0" applyAlignment="1" applyBorder="1" applyFont="1">
      <alignment horizontal="center" vertical="center"/>
    </xf>
    <xf borderId="695" fillId="13" fontId="18" numFmtId="0" xfId="0" applyAlignment="1" applyBorder="1" applyFont="1">
      <alignment horizontal="left" readingOrder="0" vertical="center"/>
    </xf>
    <xf borderId="694" fillId="224" fontId="7" numFmtId="0" xfId="0" applyAlignment="1" applyBorder="1" applyFill="1" applyFont="1">
      <alignment horizontal="center" vertical="center"/>
    </xf>
    <xf borderId="695" fillId="224" fontId="18" numFmtId="0" xfId="0" applyAlignment="1" applyBorder="1" applyFont="1">
      <alignment horizontal="left" readingOrder="0" vertical="center"/>
    </xf>
    <xf borderId="694" fillId="157" fontId="7" numFmtId="0" xfId="0" applyAlignment="1" applyBorder="1" applyFont="1">
      <alignment horizontal="center" vertical="center"/>
    </xf>
    <xf borderId="695" fillId="157" fontId="18" numFmtId="0" xfId="0" applyAlignment="1" applyBorder="1" applyFont="1">
      <alignment horizontal="left" readingOrder="0" vertical="center"/>
    </xf>
    <xf borderId="696" fillId="212" fontId="7" numFmtId="0" xfId="0" applyAlignment="1" applyBorder="1" applyFont="1">
      <alignment horizontal="center" shrinkToFit="0" vertical="center" wrapText="0"/>
    </xf>
    <xf borderId="696" fillId="213" fontId="7" numFmtId="0" xfId="0" applyAlignment="1" applyBorder="1" applyFont="1">
      <alignment horizontal="center" shrinkToFit="0" vertical="center" wrapText="0"/>
    </xf>
    <xf borderId="696" fillId="214" fontId="7" numFmtId="0" xfId="0" applyAlignment="1" applyBorder="1" applyFont="1">
      <alignment horizontal="center" shrinkToFit="0" vertical="center" wrapText="0"/>
    </xf>
    <xf borderId="696" fillId="215" fontId="7" numFmtId="0" xfId="0" applyAlignment="1" applyBorder="1" applyFont="1">
      <alignment horizontal="center" shrinkToFit="0" vertical="center" wrapText="0"/>
    </xf>
    <xf borderId="696" fillId="216" fontId="7" numFmtId="0" xfId="0" applyAlignment="1" applyBorder="1" applyFont="1">
      <alignment horizontal="center" shrinkToFit="0" vertical="center" wrapText="0"/>
    </xf>
    <xf borderId="696" fillId="217" fontId="7" numFmtId="0" xfId="0" applyAlignment="1" applyBorder="1" applyFont="1">
      <alignment horizontal="center" shrinkToFit="0" vertical="center" wrapText="0"/>
    </xf>
    <xf borderId="696" fillId="218" fontId="7" numFmtId="0" xfId="0" applyAlignment="1" applyBorder="1" applyFont="1">
      <alignment horizontal="center" shrinkToFit="0" vertical="center" wrapText="0"/>
    </xf>
    <xf borderId="696" fillId="219" fontId="7" numFmtId="0" xfId="0" applyAlignment="1" applyBorder="1" applyFont="1">
      <alignment horizontal="center" shrinkToFit="0" vertical="center" wrapText="0"/>
    </xf>
    <xf borderId="696" fillId="220" fontId="7" numFmtId="0" xfId="0" applyAlignment="1" applyBorder="1" applyFont="1">
      <alignment horizontal="center" shrinkToFit="0" vertical="center" wrapText="0"/>
    </xf>
    <xf borderId="696" fillId="221" fontId="7" numFmtId="0" xfId="0" applyAlignment="1" applyBorder="1" applyFont="1">
      <alignment horizontal="center" shrinkToFit="0" vertical="center" wrapText="0"/>
    </xf>
    <xf borderId="696" fillId="225" fontId="7" numFmtId="0" xfId="0" applyAlignment="1" applyBorder="1" applyFill="1" applyFont="1">
      <alignment horizontal="center" shrinkToFit="0" vertical="center" wrapText="0"/>
    </xf>
    <xf borderId="697" fillId="225" fontId="18" numFmtId="0" xfId="0" applyAlignment="1" applyBorder="1" applyFont="1">
      <alignment horizontal="left" readingOrder="0" vertical="center"/>
    </xf>
    <xf borderId="694" fillId="22" fontId="7" numFmtId="0" xfId="0" applyAlignment="1" applyBorder="1" applyFont="1">
      <alignment horizontal="center" vertical="center"/>
    </xf>
    <xf borderId="695" fillId="22" fontId="18" numFmtId="0" xfId="0" applyAlignment="1" applyBorder="1" applyFont="1">
      <alignment horizontal="left" readingOrder="0" vertical="center"/>
    </xf>
    <xf borderId="694" fillId="19" fontId="7" numFmtId="0" xfId="0" applyAlignment="1" applyBorder="1" applyFont="1">
      <alignment horizontal="center" vertical="center"/>
    </xf>
    <xf borderId="695" fillId="19" fontId="18" numFmtId="0" xfId="0" applyAlignment="1" applyBorder="1" applyFont="1">
      <alignment horizontal="left" readingOrder="0" vertical="center"/>
    </xf>
    <xf borderId="694" fillId="82" fontId="7" numFmtId="0" xfId="0" applyAlignment="1" applyBorder="1" applyFont="1">
      <alignment horizontal="center" vertical="center"/>
    </xf>
    <xf borderId="695" fillId="82" fontId="18" numFmtId="0" xfId="0" applyAlignment="1" applyBorder="1" applyFont="1">
      <alignment horizontal="left" readingOrder="0" vertical="center"/>
    </xf>
    <xf borderId="699" fillId="201" fontId="7" numFmtId="0" xfId="0" applyAlignment="1" applyBorder="1" applyFont="1">
      <alignment horizontal="center" vertical="center"/>
    </xf>
    <xf borderId="700" fillId="201" fontId="18" numFmtId="0" xfId="0" applyAlignment="1" applyBorder="1" applyFont="1">
      <alignment horizontal="left" readingOrder="0" vertical="center"/>
    </xf>
    <xf borderId="696" fillId="226" fontId="7" numFmtId="0" xfId="0" applyAlignment="1" applyBorder="1" applyFill="1" applyFont="1">
      <alignment horizontal="center" shrinkToFit="0" vertical="center" wrapText="0"/>
    </xf>
    <xf borderId="697" fillId="226" fontId="18" numFmtId="0" xfId="0" applyAlignment="1" applyBorder="1" applyFont="1">
      <alignment horizontal="left" readingOrder="0" vertical="center"/>
    </xf>
    <xf borderId="699" fillId="210" fontId="7" numFmtId="0" xfId="0" applyAlignment="1" applyBorder="1" applyFont="1">
      <alignment horizontal="center" vertical="center"/>
    </xf>
    <xf borderId="700" fillId="210" fontId="18" numFmtId="0" xfId="0" applyAlignment="1" applyBorder="1" applyFont="1">
      <alignment horizontal="left" readingOrder="0" vertical="center"/>
    </xf>
    <xf borderId="694" fillId="5" fontId="7" numFmtId="0" xfId="0" applyAlignment="1" applyBorder="1" applyFont="1">
      <alignment horizontal="center" vertical="center"/>
    </xf>
    <xf borderId="695" fillId="5" fontId="18" numFmtId="0" xfId="0" applyAlignment="1" applyBorder="1" applyFont="1">
      <alignment horizontal="left" readingOrder="0" vertical="center"/>
    </xf>
    <xf borderId="694" fillId="9" fontId="7" numFmtId="0" xfId="0" applyAlignment="1" applyBorder="1" applyFont="1">
      <alignment horizontal="center" vertical="center"/>
    </xf>
    <xf borderId="695" fillId="9" fontId="18" numFmtId="0" xfId="0" applyAlignment="1" applyBorder="1" applyFont="1">
      <alignment horizontal="left" readingOrder="0" vertical="center"/>
    </xf>
    <xf borderId="694" fillId="148" fontId="7" numFmtId="0" xfId="0" applyAlignment="1" applyBorder="1" applyFont="1">
      <alignment horizontal="center" shrinkToFit="0" vertical="center" wrapText="0"/>
    </xf>
    <xf borderId="695" fillId="148" fontId="18" numFmtId="0" xfId="0" applyAlignment="1" applyBorder="1" applyFont="1">
      <alignment horizontal="left" readingOrder="0" vertical="center"/>
    </xf>
    <xf borderId="683" fillId="8" fontId="7" numFmtId="0" xfId="0" applyAlignment="1" applyBorder="1" applyFont="1">
      <alignment horizontal="center" vertical="center"/>
    </xf>
    <xf borderId="228" fillId="4" fontId="7" numFmtId="0" xfId="0" applyAlignment="1" applyBorder="1" applyFont="1">
      <alignment horizontal="center" vertical="center"/>
    </xf>
    <xf borderId="696" fillId="227" fontId="7" numFmtId="0" xfId="0" applyAlignment="1" applyBorder="1" applyFill="1" applyFont="1">
      <alignment horizontal="center" shrinkToFit="0" vertical="center" wrapText="0"/>
    </xf>
    <xf borderId="697" fillId="227" fontId="18" numFmtId="0" xfId="0" applyAlignment="1" applyBorder="1" applyFont="1">
      <alignment horizontal="left" readingOrder="0" vertical="center"/>
    </xf>
    <xf borderId="699" fillId="212" fontId="7" numFmtId="0" xfId="0" applyAlignment="1" applyBorder="1" applyFont="1">
      <alignment horizontal="center" vertical="center"/>
    </xf>
    <xf borderId="700" fillId="212" fontId="18" numFmtId="0" xfId="0" applyAlignment="1" applyBorder="1" applyFont="1">
      <alignment horizontal="left" readingOrder="0" vertical="center"/>
    </xf>
    <xf borderId="701" fillId="8" fontId="7" numFmtId="0" xfId="0" applyAlignment="1" applyBorder="1" applyFont="1">
      <alignment horizontal="center" vertical="center"/>
    </xf>
    <xf borderId="694" fillId="15" fontId="7" numFmtId="0" xfId="0" applyAlignment="1" applyBorder="1" applyFont="1">
      <alignment horizontal="center" vertical="center"/>
    </xf>
    <xf borderId="695" fillId="15" fontId="18" numFmtId="0" xfId="0" applyAlignment="1" applyBorder="1" applyFont="1">
      <alignment horizontal="left" readingOrder="0" vertical="center"/>
    </xf>
    <xf borderId="694" fillId="155" fontId="7" numFmtId="0" xfId="0" applyAlignment="1" applyBorder="1" applyFont="1">
      <alignment horizontal="center" vertical="center"/>
    </xf>
    <xf borderId="695" fillId="155" fontId="18" numFmtId="0" xfId="0" applyAlignment="1" applyBorder="1" applyFont="1">
      <alignment horizontal="left" readingOrder="0" vertical="center"/>
    </xf>
    <xf borderId="699" fillId="204" fontId="7" numFmtId="0" xfId="0" applyAlignment="1" applyBorder="1" applyFont="1">
      <alignment horizontal="center" vertical="center"/>
    </xf>
    <xf borderId="700" fillId="204" fontId="18" numFmtId="0" xfId="0" applyAlignment="1" applyBorder="1" applyFont="1">
      <alignment horizontal="left" readingOrder="0" vertical="center"/>
    </xf>
    <xf borderId="696" fillId="228" fontId="7" numFmtId="0" xfId="0" applyAlignment="1" applyBorder="1" applyFill="1" applyFont="1">
      <alignment horizontal="center" shrinkToFit="0" vertical="center" wrapText="0"/>
    </xf>
    <xf borderId="697" fillId="228" fontId="18" numFmtId="0" xfId="0" applyAlignment="1" applyBorder="1" applyFont="1">
      <alignment horizontal="left" readingOrder="0" vertical="center"/>
    </xf>
    <xf borderId="699" fillId="206" fontId="7" numFmtId="0" xfId="0" applyAlignment="1" applyBorder="1" applyFont="1">
      <alignment horizontal="center" vertical="center"/>
    </xf>
    <xf borderId="700" fillId="206" fontId="18" numFmtId="0" xfId="0" applyAlignment="1" applyBorder="1" applyFont="1">
      <alignment horizontal="left" readingOrder="0" vertical="center"/>
    </xf>
    <xf borderId="699" fillId="208" fontId="7" numFmtId="0" xfId="0" applyAlignment="1" applyBorder="1" applyFont="1">
      <alignment horizontal="center" vertical="center"/>
    </xf>
    <xf borderId="700" fillId="208" fontId="18" numFmtId="0" xfId="0" applyAlignment="1" applyBorder="1" applyFont="1">
      <alignment horizontal="left" readingOrder="0" vertical="center"/>
    </xf>
    <xf borderId="702" fillId="8" fontId="7" numFmtId="0" xfId="0" applyAlignment="1" applyBorder="1" applyFont="1">
      <alignment horizontal="center" vertical="center"/>
    </xf>
    <xf borderId="686" fillId="8" fontId="7" numFmtId="0" xfId="0" applyAlignment="1" applyBorder="1" applyFont="1">
      <alignment horizontal="center" readingOrder="0" vertical="center"/>
    </xf>
    <xf borderId="694" fillId="150" fontId="7" numFmtId="0" xfId="0" applyAlignment="1" applyBorder="1" applyFont="1">
      <alignment horizontal="center" vertical="center"/>
    </xf>
    <xf borderId="695" fillId="150" fontId="18" numFmtId="0" xfId="0" applyAlignment="1" applyBorder="1" applyFont="1">
      <alignment horizontal="left" readingOrder="0" vertical="center"/>
    </xf>
    <xf borderId="694" fillId="22" fontId="7" numFmtId="0" xfId="0" applyAlignment="1" applyBorder="1" applyFont="1">
      <alignment horizontal="center" shrinkToFit="0" vertical="center" wrapText="0"/>
    </xf>
    <xf borderId="699" fillId="213" fontId="7" numFmtId="0" xfId="0" applyAlignment="1" applyBorder="1" applyFont="1">
      <alignment horizontal="center" vertical="center"/>
    </xf>
    <xf borderId="700" fillId="213" fontId="18" numFmtId="0" xfId="0" applyAlignment="1" applyBorder="1" applyFont="1">
      <alignment horizontal="left" readingOrder="0" vertical="center"/>
    </xf>
    <xf borderId="696" fillId="229" fontId="7" numFmtId="0" xfId="0" applyAlignment="1" applyBorder="1" applyFill="1" applyFont="1">
      <alignment horizontal="center" shrinkToFit="0" vertical="center" wrapText="0"/>
    </xf>
    <xf borderId="697" fillId="229" fontId="18" numFmtId="0" xfId="0" applyAlignment="1" applyBorder="1" applyFont="1">
      <alignment horizontal="left" readingOrder="0" vertical="center"/>
    </xf>
    <xf borderId="699" fillId="205" fontId="7" numFmtId="0" xfId="0" applyAlignment="1" applyBorder="1" applyFont="1">
      <alignment horizontal="center" vertical="center"/>
    </xf>
    <xf borderId="700" fillId="205" fontId="18" numFmtId="0" xfId="0" applyAlignment="1" applyBorder="1" applyFont="1">
      <alignment horizontal="left" readingOrder="0" vertical="center"/>
    </xf>
    <xf borderId="696" fillId="230" fontId="12" numFmtId="0" xfId="0" applyAlignment="1" applyBorder="1" applyFill="1" applyFont="1">
      <alignment horizontal="center" vertical="center"/>
    </xf>
    <xf borderId="697" fillId="230" fontId="18" numFmtId="0" xfId="0" applyAlignment="1" applyBorder="1" applyFont="1">
      <alignment horizontal="left" readingOrder="0" vertical="center"/>
    </xf>
    <xf borderId="694" fillId="11" fontId="7" numFmtId="0" xfId="0" applyAlignment="1" applyBorder="1" applyFont="1">
      <alignment horizontal="center" vertical="center"/>
    </xf>
    <xf borderId="695" fillId="11" fontId="18" numFmtId="0" xfId="0" applyAlignment="1" applyBorder="1" applyFont="1">
      <alignment horizontal="left" readingOrder="0" vertical="center"/>
    </xf>
    <xf borderId="694" fillId="156" fontId="7" numFmtId="0" xfId="0" applyAlignment="1" applyBorder="1" applyFont="1">
      <alignment horizontal="center" vertical="center"/>
    </xf>
    <xf borderId="695" fillId="156" fontId="18" numFmtId="0" xfId="0" applyAlignment="1" applyBorder="1" applyFont="1">
      <alignment horizontal="left" readingOrder="0" vertical="center"/>
    </xf>
    <xf borderId="696" fillId="231" fontId="12" numFmtId="0" xfId="0" applyAlignment="1" applyBorder="1" applyFill="1" applyFont="1">
      <alignment horizontal="center" vertical="center"/>
    </xf>
    <xf borderId="697" fillId="231" fontId="18" numFmtId="0" xfId="0" applyAlignment="1" applyBorder="1" applyFont="1">
      <alignment horizontal="left" readingOrder="0" vertical="center"/>
    </xf>
    <xf borderId="694" fillId="10" fontId="7" numFmtId="0" xfId="0" applyAlignment="1" applyBorder="1" applyFont="1">
      <alignment horizontal="center" vertical="center"/>
    </xf>
    <xf borderId="695" fillId="10" fontId="18" numFmtId="0" xfId="0" applyAlignment="1" applyBorder="1" applyFont="1">
      <alignment horizontal="left" readingOrder="0" vertical="center"/>
    </xf>
    <xf borderId="694" fillId="9" fontId="7" numFmtId="0" xfId="0" applyAlignment="1" applyBorder="1" applyFont="1">
      <alignment horizontal="center" shrinkToFit="0" vertical="center" wrapText="0"/>
    </xf>
    <xf borderId="696" fillId="232" fontId="7" numFmtId="0" xfId="0" applyAlignment="1" applyBorder="1" applyFill="1" applyFont="1">
      <alignment horizontal="center" shrinkToFit="0" vertical="center" wrapText="0"/>
    </xf>
    <xf borderId="697" fillId="232" fontId="18" numFmtId="0" xfId="0" applyAlignment="1" applyBorder="1" applyFont="1">
      <alignment horizontal="left" readingOrder="0" vertical="center"/>
    </xf>
    <xf borderId="694" fillId="18" fontId="7" numFmtId="0" xfId="0" applyAlignment="1" applyBorder="1" applyFont="1">
      <alignment horizontal="center" vertical="center"/>
    </xf>
    <xf borderId="695" fillId="18" fontId="18" numFmtId="0" xfId="0" applyAlignment="1" applyBorder="1" applyFont="1">
      <alignment horizontal="left" readingOrder="0" vertical="center"/>
    </xf>
    <xf borderId="694" fillId="45" fontId="7" numFmtId="0" xfId="0" applyAlignment="1" applyBorder="1" applyFont="1">
      <alignment horizontal="center" vertical="center"/>
    </xf>
    <xf borderId="695" fillId="45" fontId="18" numFmtId="0" xfId="0" applyAlignment="1" applyBorder="1" applyFont="1">
      <alignment horizontal="left" readingOrder="0" vertical="center"/>
    </xf>
    <xf borderId="694" fillId="20" fontId="7" numFmtId="0" xfId="0" applyAlignment="1" applyBorder="1" applyFont="1">
      <alignment horizontal="center" shrinkToFit="0" vertical="center" wrapText="0"/>
    </xf>
    <xf borderId="696" fillId="233" fontId="7" numFmtId="0" xfId="0" applyAlignment="1" applyBorder="1" applyFill="1" applyFont="1">
      <alignment horizontal="center" shrinkToFit="0" vertical="center" wrapText="0"/>
    </xf>
    <xf borderId="697" fillId="233" fontId="18" numFmtId="0" xfId="0" applyAlignment="1" applyBorder="1" applyFont="1">
      <alignment horizontal="left" readingOrder="0" vertical="center"/>
    </xf>
    <xf borderId="699" fillId="218" fontId="7" numFmtId="0" xfId="0" applyAlignment="1" applyBorder="1" applyFont="1">
      <alignment horizontal="center" vertical="center"/>
    </xf>
    <xf borderId="700" fillId="218" fontId="18" numFmtId="0" xfId="0" applyAlignment="1" applyBorder="1" applyFont="1">
      <alignment horizontal="left" readingOrder="0" vertical="center"/>
    </xf>
    <xf borderId="694" fillId="12" fontId="7" numFmtId="0" xfId="0" applyAlignment="1" applyBorder="1" applyFont="1">
      <alignment horizontal="center" vertical="center"/>
    </xf>
    <xf borderId="695" fillId="12" fontId="18" numFmtId="0" xfId="0" applyAlignment="1" applyBorder="1" applyFont="1">
      <alignment horizontal="left" readingOrder="0" vertical="center"/>
    </xf>
    <xf borderId="694" fillId="14" fontId="7" numFmtId="0" xfId="0" applyAlignment="1" applyBorder="1" applyFont="1">
      <alignment horizontal="center" vertical="center"/>
    </xf>
    <xf borderId="695" fillId="14" fontId="18" numFmtId="0" xfId="0" applyAlignment="1" applyBorder="1" applyFont="1">
      <alignment horizontal="left" readingOrder="0" vertical="center"/>
    </xf>
    <xf borderId="694" fillId="55" fontId="7" numFmtId="0" xfId="0" applyAlignment="1" applyBorder="1" applyFont="1">
      <alignment horizontal="center" vertical="center"/>
    </xf>
    <xf borderId="695" fillId="55" fontId="18" numFmtId="0" xfId="0" applyAlignment="1" applyBorder="1" applyFont="1">
      <alignment horizontal="left" readingOrder="0" vertical="center"/>
    </xf>
    <xf borderId="696" fillId="234" fontId="7" numFmtId="0" xfId="0" applyAlignment="1" applyBorder="1" applyFill="1" applyFont="1">
      <alignment horizontal="center" shrinkToFit="0" vertical="center" wrapText="0"/>
    </xf>
    <xf borderId="697" fillId="234" fontId="18" numFmtId="0" xfId="0" applyAlignment="1" applyBorder="1" applyFont="1">
      <alignment horizontal="left" readingOrder="0" vertical="center"/>
    </xf>
    <xf borderId="694" fillId="16" fontId="7" numFmtId="0" xfId="0" applyAlignment="1" applyBorder="1" applyFont="1">
      <alignment horizontal="center" vertical="center"/>
    </xf>
    <xf borderId="695" fillId="16" fontId="18" numFmtId="0" xfId="0" applyAlignment="1" applyBorder="1" applyFont="1">
      <alignment horizontal="left" readingOrder="0" vertical="center"/>
    </xf>
    <xf borderId="694" fillId="158" fontId="7" numFmtId="0" xfId="0" applyAlignment="1" applyBorder="1" applyFont="1">
      <alignment horizontal="center" vertical="center"/>
    </xf>
    <xf borderId="695" fillId="158" fontId="18" numFmtId="0" xfId="0" applyAlignment="1" applyBorder="1" applyFont="1">
      <alignment horizontal="left" readingOrder="0" vertical="center"/>
    </xf>
    <xf borderId="694" fillId="148" fontId="7" numFmtId="0" xfId="0" applyAlignment="1" applyBorder="1" applyFont="1">
      <alignment horizontal="center" vertical="center"/>
    </xf>
    <xf borderId="696" fillId="235" fontId="7" numFmtId="0" xfId="0" applyAlignment="1" applyBorder="1" applyFill="1" applyFont="1">
      <alignment horizontal="center" shrinkToFit="0" vertical="center" wrapText="0"/>
    </xf>
    <xf borderId="697" fillId="235" fontId="18" numFmtId="0" xfId="0" applyAlignment="1" applyBorder="1" applyFont="1">
      <alignment horizontal="left" readingOrder="0" vertical="center"/>
    </xf>
    <xf borderId="694" fillId="21" fontId="7" numFmtId="0" xfId="0" applyAlignment="1" applyBorder="1" applyFont="1">
      <alignment horizontal="center" vertical="center"/>
    </xf>
    <xf borderId="695" fillId="21" fontId="18" numFmtId="0" xfId="0" applyAlignment="1" applyBorder="1" applyFont="1">
      <alignment horizontal="left" readingOrder="0" vertical="center"/>
    </xf>
    <xf borderId="694" fillId="68" fontId="7" numFmtId="0" xfId="0" applyAlignment="1" applyBorder="1" applyFont="1">
      <alignment horizontal="center" vertical="center"/>
    </xf>
    <xf borderId="695" fillId="68" fontId="18" numFmtId="0" xfId="0" applyAlignment="1" applyBorder="1" applyFont="1">
      <alignment horizontal="left" readingOrder="0" vertical="center"/>
    </xf>
    <xf borderId="694" fillId="18" fontId="7" numFmtId="0" xfId="0" applyAlignment="1" applyBorder="1" applyFont="1">
      <alignment horizontal="center" shrinkToFit="0" vertical="center" wrapText="0"/>
    </xf>
    <xf borderId="699" fillId="203" fontId="7" numFmtId="0" xfId="0" applyAlignment="1" applyBorder="1" applyFont="1">
      <alignment horizontal="center" vertical="center"/>
    </xf>
    <xf borderId="700" fillId="203" fontId="18" numFmtId="0" xfId="0" applyAlignment="1" applyBorder="1" applyFont="1">
      <alignment horizontal="left" readingOrder="0" vertical="center"/>
    </xf>
    <xf borderId="696" fillId="236" fontId="7" numFmtId="0" xfId="0" applyAlignment="1" applyBorder="1" applyFill="1" applyFont="1">
      <alignment horizontal="center" shrinkToFit="0" vertical="center" wrapText="0"/>
    </xf>
    <xf borderId="697" fillId="236" fontId="18" numFmtId="0" xfId="0" applyAlignment="1" applyBorder="1" applyFont="1">
      <alignment horizontal="left" readingOrder="0" vertical="center"/>
    </xf>
    <xf borderId="694" fillId="6" fontId="7" numFmtId="0" xfId="0" applyAlignment="1" applyBorder="1" applyFont="1">
      <alignment horizontal="center" vertical="center"/>
    </xf>
    <xf borderId="695" fillId="6" fontId="18" numFmtId="0" xfId="0" applyAlignment="1" applyBorder="1" applyFont="1">
      <alignment horizontal="left" readingOrder="0" vertical="center"/>
    </xf>
    <xf borderId="694" fillId="232" fontId="7" numFmtId="0" xfId="0" applyAlignment="1" applyBorder="1" applyFont="1">
      <alignment horizontal="center" vertical="center"/>
    </xf>
    <xf borderId="695" fillId="232" fontId="18" numFmtId="0" xfId="0" applyAlignment="1" applyBorder="1" applyFont="1">
      <alignment horizontal="left" readingOrder="0" vertical="center"/>
    </xf>
    <xf borderId="703" fillId="4" fontId="7" numFmtId="0" xfId="0" applyAlignment="1" applyBorder="1" applyFont="1">
      <alignment horizontal="center" vertical="center"/>
    </xf>
    <xf borderId="704" fillId="4" fontId="18" numFmtId="0" xfId="0" applyAlignment="1" applyBorder="1" applyFont="1">
      <alignment horizontal="left" readingOrder="0" vertical="center"/>
    </xf>
    <xf borderId="696" fillId="237" fontId="7" numFmtId="0" xfId="0" applyAlignment="1" applyBorder="1" applyFill="1" applyFont="1">
      <alignment horizontal="center" shrinkToFit="0" vertical="center" wrapText="0"/>
    </xf>
    <xf borderId="697" fillId="237" fontId="18" numFmtId="0" xfId="0" applyAlignment="1" applyBorder="1" applyFont="1">
      <alignment horizontal="left" readingOrder="0" vertical="center"/>
    </xf>
    <xf borderId="703" fillId="10" fontId="7" numFmtId="0" xfId="0" applyAlignment="1" applyBorder="1" applyFont="1">
      <alignment horizontal="center" vertical="center"/>
    </xf>
    <xf borderId="704" fillId="10" fontId="18" numFmtId="0" xfId="0" applyAlignment="1" applyBorder="1" applyFont="1">
      <alignment horizontal="left" readingOrder="0" vertical="center"/>
    </xf>
    <xf borderId="694" fillId="160" fontId="7" numFmtId="0" xfId="0" applyAlignment="1" applyBorder="1" applyFont="1">
      <alignment horizontal="center" vertical="center"/>
    </xf>
    <xf borderId="695" fillId="160" fontId="18" numFmtId="0" xfId="0" applyAlignment="1" applyBorder="1" applyFont="1">
      <alignment horizontal="left" readingOrder="0" vertical="center"/>
    </xf>
    <xf borderId="699" fillId="238" fontId="7" numFmtId="0" xfId="0" applyAlignment="1" applyBorder="1" applyFill="1" applyFont="1">
      <alignment horizontal="center" vertical="center"/>
    </xf>
    <xf borderId="700" fillId="238" fontId="18" numFmtId="0" xfId="0" applyAlignment="1" applyBorder="1" applyFont="1">
      <alignment horizontal="left" readingOrder="0" vertical="center"/>
    </xf>
    <xf borderId="694" fillId="120" fontId="7" numFmtId="0" xfId="0" applyAlignment="1" applyBorder="1" applyFont="1">
      <alignment horizontal="center" vertical="center"/>
    </xf>
    <xf borderId="695" fillId="120" fontId="18" numFmtId="0" xfId="0" applyAlignment="1" applyBorder="1" applyFont="1">
      <alignment horizontal="left" readingOrder="0" vertical="center"/>
    </xf>
    <xf borderId="705" fillId="8" fontId="7" numFmtId="0" xfId="0" applyAlignment="1" applyBorder="1" applyFont="1">
      <alignment horizontal="center" readingOrder="0" vertical="center"/>
    </xf>
    <xf borderId="694" fillId="159" fontId="7" numFmtId="0" xfId="0" applyAlignment="1" applyBorder="1" applyFont="1">
      <alignment horizontal="center" vertical="center"/>
    </xf>
    <xf borderId="695" fillId="159" fontId="18" numFmtId="0" xfId="0" applyAlignment="1" applyBorder="1" applyFont="1">
      <alignment horizontal="left" readingOrder="0" vertical="center"/>
    </xf>
    <xf borderId="705" fillId="8" fontId="7" numFmtId="0" xfId="0" applyAlignment="1" applyBorder="1" applyFont="1">
      <alignment horizontal="center" vertical="center"/>
    </xf>
    <xf borderId="694" fillId="149" fontId="7" numFmtId="0" xfId="0" applyAlignment="1" applyBorder="1" applyFont="1">
      <alignment horizontal="center" shrinkToFit="0" vertical="center" wrapText="0"/>
    </xf>
    <xf borderId="695" fillId="149" fontId="18" numFmtId="0" xfId="0" applyAlignment="1" applyBorder="1" applyFont="1">
      <alignment horizontal="left" readingOrder="0" vertical="center"/>
    </xf>
    <xf borderId="694" fillId="150" fontId="7" numFmtId="0" xfId="0" applyAlignment="1" applyBorder="1" applyFont="1">
      <alignment horizontal="center" shrinkToFit="0" vertical="center" wrapText="0"/>
    </xf>
    <xf borderId="694" fillId="128" fontId="7" numFmtId="0" xfId="0" applyAlignment="1" applyBorder="1" applyFont="1">
      <alignment horizontal="center" vertical="center"/>
    </xf>
    <xf borderId="695" fillId="128" fontId="18" numFmtId="0" xfId="0" applyAlignment="1" applyBorder="1" applyFont="1">
      <alignment horizontal="left" readingOrder="0" vertical="center"/>
    </xf>
    <xf borderId="694" fillId="151" fontId="15" numFmtId="0" xfId="0" applyAlignment="1" applyBorder="1" applyFont="1">
      <alignment horizontal="center" shrinkToFit="0" vertical="center" wrapText="0"/>
    </xf>
    <xf borderId="695" fillId="151" fontId="18" numFmtId="0" xfId="0" applyAlignment="1" applyBorder="1" applyFont="1">
      <alignment horizontal="left" readingOrder="0" vertical="center"/>
    </xf>
    <xf borderId="694" fillId="129" fontId="7" numFmtId="0" xfId="0" applyAlignment="1" applyBorder="1" applyFont="1">
      <alignment horizontal="center" vertical="center"/>
    </xf>
    <xf borderId="695" fillId="129" fontId="18" numFmtId="0" xfId="0" applyAlignment="1" applyBorder="1" applyFont="1">
      <alignment horizontal="left" readingOrder="0" vertical="center"/>
    </xf>
    <xf borderId="694" fillId="12" fontId="7" numFmtId="0" xfId="0" applyAlignment="1" applyBorder="1" applyFont="1">
      <alignment horizontal="center" shrinkToFit="0" vertical="center" wrapText="0"/>
    </xf>
    <xf borderId="694" fillId="73" fontId="7" numFmtId="0" xfId="0" applyAlignment="1" applyBorder="1" applyFont="1">
      <alignment horizontal="center" vertical="center"/>
    </xf>
    <xf borderId="695" fillId="73" fontId="18" numFmtId="0" xfId="0" applyAlignment="1" applyBorder="1" applyFont="1">
      <alignment horizontal="left" readingOrder="0" vertical="center"/>
    </xf>
    <xf borderId="694" fillId="154" fontId="7" numFmtId="0" xfId="0" applyAlignment="1" applyBorder="1" applyFont="1">
      <alignment horizontal="center" vertical="center"/>
    </xf>
    <xf borderId="695" fillId="154" fontId="18" numFmtId="0" xfId="0" applyAlignment="1" applyBorder="1" applyFont="1">
      <alignment horizontal="left" readingOrder="0" vertical="center"/>
    </xf>
    <xf borderId="694" fillId="60" fontId="7" numFmtId="0" xfId="0" applyAlignment="1" applyBorder="1" applyFont="1">
      <alignment horizontal="center" vertical="center"/>
    </xf>
    <xf borderId="695" fillId="60" fontId="18" numFmtId="0" xfId="0" applyAlignment="1" applyBorder="1" applyFont="1">
      <alignment horizontal="left" readingOrder="0" vertical="center"/>
    </xf>
    <xf borderId="699" fillId="209" fontId="7" numFmtId="0" xfId="0" applyAlignment="1" applyBorder="1" applyFont="1">
      <alignment horizontal="center" vertical="center"/>
    </xf>
    <xf borderId="700" fillId="209" fontId="18" numFmtId="0" xfId="0" applyAlignment="1" applyBorder="1" applyFont="1">
      <alignment horizontal="left" readingOrder="0" vertical="center"/>
    </xf>
    <xf borderId="694" fillId="88" fontId="7" numFmtId="0" xfId="0" applyAlignment="1" applyBorder="1" applyFont="1">
      <alignment horizontal="center" vertical="center"/>
    </xf>
    <xf borderId="695" fillId="88" fontId="18" numFmtId="0" xfId="0" applyAlignment="1" applyBorder="1" applyFont="1">
      <alignment horizontal="left" readingOrder="0" vertical="center"/>
    </xf>
    <xf borderId="694" fillId="161" fontId="7" numFmtId="0" xfId="0" applyAlignment="1" applyBorder="1" applyFont="1">
      <alignment horizontal="center" vertical="center"/>
    </xf>
    <xf borderId="695" fillId="161" fontId="18" numFmtId="0" xfId="0" applyAlignment="1" applyBorder="1" applyFont="1">
      <alignment horizontal="left" readingOrder="0" vertical="center"/>
    </xf>
    <xf borderId="694" fillId="16" fontId="7" numFmtId="0" xfId="0" applyAlignment="1" applyBorder="1" applyFont="1">
      <alignment horizontal="center" shrinkToFit="0" vertical="center" wrapText="0"/>
    </xf>
    <xf borderId="694" fillId="98" fontId="7" numFmtId="0" xfId="0" applyAlignment="1" applyBorder="1" applyFont="1">
      <alignment horizontal="center" vertical="center"/>
    </xf>
    <xf borderId="695" fillId="98" fontId="18" numFmtId="0" xfId="0" applyAlignment="1" applyBorder="1" applyFont="1">
      <alignment horizontal="left" readingOrder="0" vertical="center"/>
    </xf>
    <xf borderId="694" fillId="238" fontId="7" numFmtId="0" xfId="0" applyAlignment="1" applyBorder="1" applyFont="1">
      <alignment horizontal="center" vertical="center"/>
    </xf>
    <xf borderId="695" fillId="238" fontId="18" numFmtId="0" xfId="0" applyAlignment="1" applyBorder="1" applyFont="1">
      <alignment horizontal="left" readingOrder="0" vertical="center"/>
    </xf>
    <xf borderId="694" fillId="85" fontId="7" numFmtId="0" xfId="0" applyAlignment="1" applyBorder="1" applyFont="1">
      <alignment horizontal="center" vertical="center"/>
    </xf>
    <xf borderId="695" fillId="85" fontId="18" numFmtId="0" xfId="0" applyAlignment="1" applyBorder="1" applyFont="1">
      <alignment horizontal="left" readingOrder="0" vertical="center"/>
    </xf>
    <xf borderId="694" fillId="63" fontId="7" numFmtId="0" xfId="0" applyAlignment="1" applyBorder="1" applyFont="1">
      <alignment horizontal="center" vertical="center"/>
    </xf>
    <xf borderId="695" fillId="63" fontId="18" numFmtId="0" xfId="0" applyAlignment="1" applyBorder="1" applyFont="1">
      <alignment horizontal="left" readingOrder="0" vertical="center"/>
    </xf>
    <xf borderId="694" fillId="39" fontId="7" numFmtId="0" xfId="0" applyAlignment="1" applyBorder="1" applyFont="1">
      <alignment horizontal="center" vertical="center"/>
    </xf>
    <xf borderId="695" fillId="39" fontId="18" numFmtId="0" xfId="0" applyAlignment="1" applyBorder="1" applyFont="1">
      <alignment horizontal="left" readingOrder="0" vertical="center"/>
    </xf>
    <xf borderId="706" fillId="201" fontId="7" numFmtId="0" xfId="0" applyAlignment="1" applyBorder="1" applyFont="1">
      <alignment horizontal="center" vertical="center"/>
    </xf>
    <xf borderId="707" fillId="212" fontId="7" numFmtId="0" xfId="0" applyAlignment="1" applyBorder="1" applyFont="1">
      <alignment horizontal="center" vertical="center"/>
    </xf>
    <xf borderId="708" fillId="212" fontId="18" numFmtId="0" xfId="0" applyAlignment="1" applyBorder="1" applyFont="1">
      <alignment horizontal="left" readingOrder="0" vertical="center"/>
    </xf>
    <xf borderId="699" fillId="214" fontId="7" numFmtId="0" xfId="0" applyAlignment="1" applyBorder="1" applyFont="1">
      <alignment horizontal="center" vertical="center"/>
    </xf>
    <xf borderId="700" fillId="214" fontId="18" numFmtId="0" xfId="0" applyAlignment="1" applyBorder="1" applyFont="1">
      <alignment horizontal="left" readingOrder="0" vertical="center"/>
    </xf>
    <xf borderId="703" fillId="10" fontId="7" numFmtId="0" xfId="0" applyAlignment="1" applyBorder="1" applyFont="1">
      <alignment horizontal="center" shrinkToFit="0" vertical="center" wrapText="0"/>
    </xf>
    <xf borderId="694" fillId="51" fontId="7" numFmtId="0" xfId="0" applyAlignment="1" applyBorder="1" applyFont="1">
      <alignment horizontal="center" vertical="center"/>
    </xf>
    <xf borderId="695" fillId="51" fontId="18" numFmtId="0" xfId="0" applyAlignment="1" applyBorder="1" applyFont="1">
      <alignment horizontal="left" readingOrder="0" vertical="center"/>
    </xf>
    <xf borderId="706" fillId="212" fontId="7" numFmtId="0" xfId="0" applyAlignment="1" applyBorder="1" applyFont="1">
      <alignment horizontal="center" vertical="center"/>
    </xf>
    <xf borderId="699" fillId="220" fontId="7" numFmtId="0" xfId="0" applyAlignment="1" applyBorder="1" applyFont="1">
      <alignment horizontal="center" vertical="center"/>
    </xf>
    <xf borderId="700" fillId="220" fontId="18" numFmtId="0" xfId="0" applyAlignment="1" applyBorder="1" applyFont="1">
      <alignment horizontal="left" readingOrder="0" vertical="center"/>
    </xf>
    <xf borderId="694" fillId="125" fontId="7" numFmtId="0" xfId="0" applyAlignment="1" applyBorder="1" applyFont="1">
      <alignment horizontal="center" vertical="center"/>
    </xf>
    <xf borderId="695" fillId="125" fontId="18" numFmtId="0" xfId="0" applyAlignment="1" applyBorder="1" applyFont="1">
      <alignment horizontal="left" readingOrder="0" vertical="center"/>
    </xf>
    <xf borderId="694" fillId="53" fontId="7" numFmtId="0" xfId="0" applyAlignment="1" applyBorder="1" applyFont="1">
      <alignment horizontal="center" vertical="center"/>
    </xf>
    <xf borderId="695" fillId="53" fontId="18" numFmtId="0" xfId="0" applyAlignment="1" applyBorder="1" applyFont="1">
      <alignment horizontal="left" readingOrder="0" vertical="center"/>
    </xf>
    <xf borderId="694" fillId="153" fontId="7" numFmtId="0" xfId="0" applyAlignment="1" applyBorder="1" applyFont="1">
      <alignment horizontal="center" vertical="center"/>
    </xf>
    <xf borderId="695" fillId="153" fontId="18" numFmtId="0" xfId="0" applyAlignment="1" applyBorder="1" applyFont="1">
      <alignment horizontal="left" readingOrder="0" vertical="center"/>
    </xf>
    <xf borderId="694" fillId="59" fontId="7" numFmtId="0" xfId="0" applyAlignment="1" applyBorder="1" applyFont="1">
      <alignment horizontal="center" vertical="center"/>
    </xf>
    <xf borderId="695" fillId="59" fontId="18" numFmtId="0" xfId="0" applyAlignment="1" applyBorder="1" applyFont="1">
      <alignment horizontal="left" readingOrder="0" vertical="center"/>
    </xf>
    <xf borderId="699" fillId="216" fontId="7" numFmtId="0" xfId="0" applyAlignment="1" applyBorder="1" applyFont="1">
      <alignment horizontal="center" vertical="center"/>
    </xf>
    <xf borderId="700" fillId="216" fontId="18" numFmtId="0" xfId="0" applyAlignment="1" applyBorder="1" applyFont="1">
      <alignment horizontal="left" readingOrder="0" vertical="center"/>
    </xf>
    <xf borderId="694" fillId="50" fontId="7" numFmtId="0" xfId="0" applyAlignment="1" applyBorder="1" applyFont="1">
      <alignment horizontal="center" vertical="center"/>
    </xf>
    <xf borderId="695" fillId="50" fontId="18" numFmtId="0" xfId="0" applyAlignment="1" applyBorder="1" applyFont="1">
      <alignment horizontal="left" readingOrder="0" vertical="center"/>
    </xf>
    <xf borderId="694" fillId="38" fontId="7" numFmtId="0" xfId="0" applyAlignment="1" applyBorder="1" applyFont="1">
      <alignment horizontal="center" vertical="center"/>
    </xf>
    <xf borderId="695" fillId="38" fontId="18" numFmtId="0" xfId="0" applyAlignment="1" applyBorder="1" applyFont="1">
      <alignment horizontal="left" readingOrder="0" vertical="center"/>
    </xf>
    <xf borderId="694" fillId="48" fontId="7" numFmtId="0" xfId="0" applyAlignment="1" applyBorder="1" applyFont="1">
      <alignment horizontal="center" vertical="center"/>
    </xf>
    <xf borderId="695" fillId="48" fontId="18" numFmtId="0" xfId="0" applyAlignment="1" applyBorder="1" applyFont="1">
      <alignment horizontal="left" readingOrder="0" vertical="center"/>
    </xf>
    <xf borderId="694" fillId="95" fontId="7" numFmtId="0" xfId="0" applyAlignment="1" applyBorder="1" applyFont="1">
      <alignment horizontal="center" vertical="center"/>
    </xf>
    <xf borderId="695" fillId="95" fontId="18" numFmtId="0" xfId="0" applyAlignment="1" applyBorder="1" applyFont="1">
      <alignment horizontal="left" readingOrder="0" vertical="center"/>
    </xf>
    <xf borderId="703" fillId="61" fontId="7" numFmtId="0" xfId="0" applyAlignment="1" applyBorder="1" applyFont="1">
      <alignment horizontal="center" vertical="center"/>
    </xf>
    <xf borderId="704" fillId="61" fontId="18" numFmtId="0" xfId="0" applyAlignment="1" applyBorder="1" applyFont="1">
      <alignment horizontal="left" readingOrder="0" vertical="center"/>
    </xf>
    <xf borderId="706" fillId="202" fontId="7" numFmtId="0" xfId="0" applyAlignment="1" applyBorder="1" applyFont="1">
      <alignment horizontal="center" vertical="center"/>
    </xf>
    <xf borderId="706" fillId="213" fontId="7" numFmtId="0" xfId="0" applyAlignment="1" applyBorder="1" applyFont="1">
      <alignment horizontal="center" vertical="center"/>
    </xf>
    <xf borderId="699" fillId="202" fontId="7" numFmtId="0" xfId="0" applyAlignment="1" applyBorder="1" applyFont="1">
      <alignment horizontal="center" vertical="center"/>
    </xf>
    <xf borderId="700" fillId="202" fontId="18" numFmtId="0" xfId="0" applyAlignment="1" applyBorder="1" applyFont="1">
      <alignment horizontal="left" readingOrder="0" vertical="center"/>
    </xf>
    <xf borderId="699" fillId="217" fontId="7" numFmtId="0" xfId="0" applyAlignment="1" applyBorder="1" applyFont="1">
      <alignment horizontal="center" vertical="center"/>
    </xf>
    <xf borderId="700" fillId="217" fontId="18" numFmtId="0" xfId="0" applyAlignment="1" applyBorder="1" applyFont="1">
      <alignment horizontal="left" readingOrder="0" vertical="center"/>
    </xf>
    <xf borderId="706" fillId="207" fontId="12" numFmtId="0" xfId="0" applyAlignment="1" applyBorder="1" applyFont="1">
      <alignment horizontal="center" vertical="center"/>
    </xf>
    <xf borderId="697" fillId="207" fontId="18" numFmtId="0" xfId="0" applyBorder="1" applyFont="1"/>
    <xf borderId="709" fillId="218" fontId="18" numFmtId="0" xfId="0" applyBorder="1" applyFont="1"/>
    <xf borderId="696" fillId="207" fontId="12" numFmtId="0" xfId="0" applyAlignment="1" applyBorder="1" applyFont="1">
      <alignment horizontal="center" vertical="center"/>
    </xf>
    <xf borderId="709" fillId="207" fontId="18" numFmtId="0" xfId="0" applyBorder="1" applyFont="1"/>
    <xf borderId="710" fillId="8"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E027A"/>
    <outlinePr summaryBelow="0" summaryRight="0"/>
  </sheetPr>
  <sheetViews>
    <sheetView workbookViewId="0"/>
  </sheetViews>
  <sheetFormatPr customHeight="1" defaultColWidth="14.43" defaultRowHeight="15.0"/>
  <cols>
    <col customWidth="1" min="1" max="1" width="0.86"/>
    <col customWidth="1" min="2" max="4" width="24.43"/>
    <col customWidth="1" min="5" max="5" width="0.86"/>
  </cols>
  <sheetData>
    <row r="1" ht="3.75" customHeight="1">
      <c r="A1" s="1"/>
    </row>
    <row r="2" ht="82.5" customHeight="1">
      <c r="A2" s="2"/>
      <c r="B2" s="3" t="s">
        <v>0</v>
      </c>
      <c r="C2" s="4" t="s">
        <v>1</v>
      </c>
      <c r="D2" s="5" t="s">
        <v>2</v>
      </c>
      <c r="E2" s="6"/>
    </row>
    <row r="3" ht="82.5" customHeight="1">
      <c r="B3" s="7" t="s">
        <v>3</v>
      </c>
      <c r="C3" s="8" t="s">
        <v>4</v>
      </c>
      <c r="D3" s="9" t="s">
        <v>5</v>
      </c>
    </row>
    <row r="4" ht="82.5" customHeight="1">
      <c r="A4" s="10"/>
      <c r="B4" s="11" t="s">
        <v>6</v>
      </c>
      <c r="C4" s="12" t="s">
        <v>7</v>
      </c>
      <c r="D4" s="13" t="s">
        <v>8</v>
      </c>
      <c r="E4" s="10"/>
    </row>
    <row r="5" ht="3.75" customHeight="1">
      <c r="A5" s="1"/>
    </row>
  </sheetData>
  <mergeCells count="4">
    <mergeCell ref="A1:E1"/>
    <mergeCell ref="A2:A4"/>
    <mergeCell ref="E2:E4"/>
    <mergeCell ref="A5:E5"/>
  </mergeCells>
  <hyperlinks>
    <hyperlink display="TMs &amp; HMs" location="'TMs &amp; HMs'!A1" ref="B2"/>
    <hyperlink display="Move Tutors" location="'Move Tutors'!A1" ref="C2"/>
    <hyperlink display="Overworld Items" location="'Overworld Items'!A1" ref="D2"/>
    <hyperlink display="Mega Stones" location="'Mega Stones'!A1" ref="B3"/>
    <hyperlink display="Z-Crystals" location="'Z-Crystals'!A1" ref="D3"/>
    <hyperlink display="Shops" location="Shops!A1" ref="B4"/>
    <hyperlink display="Care Packages" location="'Care Packages'!A1" ref="C4"/>
    <hyperlink display="Other Useful Items" location="'Other Useful Items'!A1" ref="D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3.86"/>
    <col customWidth="1" min="3" max="3" width="18.71"/>
    <col customWidth="1" min="4" max="4" width="5.14"/>
    <col customWidth="1" min="5" max="10" width="14.43"/>
    <col customWidth="1" min="11" max="11" width="1.57"/>
    <col customWidth="1" min="12" max="12" width="5.86"/>
    <col customWidth="1" min="13" max="13" width="3.86"/>
    <col customWidth="1" min="14" max="14" width="18.71"/>
    <col customWidth="1" min="15" max="15" width="5.14"/>
    <col customWidth="1" min="16" max="21" width="14.43"/>
  </cols>
  <sheetData>
    <row r="1" ht="18.75" customHeight="1">
      <c r="A1" s="14" t="s">
        <v>9</v>
      </c>
      <c r="B1" s="15" t="s">
        <v>10</v>
      </c>
      <c r="C1" s="16"/>
      <c r="D1" s="17"/>
      <c r="E1" s="18" t="s">
        <v>11</v>
      </c>
      <c r="F1" s="19"/>
      <c r="G1" s="19"/>
      <c r="H1" s="19"/>
      <c r="I1" s="19"/>
      <c r="J1" s="19"/>
      <c r="K1" s="20"/>
      <c r="L1" s="14" t="s">
        <v>12</v>
      </c>
      <c r="M1" s="15" t="s">
        <v>10</v>
      </c>
      <c r="N1" s="16"/>
      <c r="O1" s="17"/>
      <c r="P1" s="18" t="s">
        <v>11</v>
      </c>
      <c r="Q1" s="19"/>
      <c r="R1" s="19"/>
      <c r="S1" s="19"/>
      <c r="T1" s="19"/>
      <c r="U1" s="21"/>
    </row>
    <row r="2" ht="18.75" customHeight="1">
      <c r="A2" s="22" t="s">
        <v>13</v>
      </c>
      <c r="B2" s="23" t="str">
        <f>Source!$D$7</f>
        <v/>
      </c>
      <c r="C2" s="24" t="s">
        <v>14</v>
      </c>
      <c r="D2" s="25" t="str">
        <f>Source!$B$2</f>
        <v/>
      </c>
      <c r="E2" s="26" t="s">
        <v>15</v>
      </c>
      <c r="F2" s="27"/>
      <c r="G2" s="27"/>
      <c r="H2" s="28"/>
      <c r="I2" s="29"/>
      <c r="J2" s="30"/>
      <c r="K2" s="31"/>
      <c r="L2" s="32" t="s">
        <v>13</v>
      </c>
      <c r="M2" s="33" t="str">
        <f>Source!$D$18</f>
        <v/>
      </c>
      <c r="N2" s="34" t="s">
        <v>16</v>
      </c>
      <c r="O2" s="35" t="str">
        <f>Source!$B$2</f>
        <v/>
      </c>
      <c r="P2" s="26" t="s">
        <v>17</v>
      </c>
      <c r="Q2" s="27"/>
      <c r="R2" s="27"/>
      <c r="S2" s="36"/>
      <c r="T2" s="37"/>
      <c r="U2" s="38"/>
    </row>
    <row r="3" ht="18.75" customHeight="1">
      <c r="A3" s="39" t="s">
        <v>18</v>
      </c>
      <c r="B3" s="40" t="str">
        <f>Source!$D$4</f>
        <v/>
      </c>
      <c r="C3" s="41" t="s">
        <v>19</v>
      </c>
      <c r="D3" s="42" t="str">
        <f>Source!$B$3</f>
        <v/>
      </c>
      <c r="E3" s="43" t="s">
        <v>20</v>
      </c>
      <c r="F3" s="27"/>
      <c r="G3" s="27"/>
      <c r="H3" s="28"/>
      <c r="I3" s="44"/>
      <c r="J3" s="45"/>
      <c r="K3" s="31"/>
      <c r="L3" s="46" t="s">
        <v>18</v>
      </c>
      <c r="M3" s="47" t="str">
        <f>Source!$D$9</f>
        <v/>
      </c>
      <c r="N3" s="48" t="s">
        <v>21</v>
      </c>
      <c r="O3" s="49" t="str">
        <f>Source!$B$3</f>
        <v/>
      </c>
      <c r="P3" s="43" t="s">
        <v>22</v>
      </c>
      <c r="Q3" s="27"/>
      <c r="R3" s="27"/>
      <c r="S3" s="27"/>
      <c r="T3" s="50"/>
      <c r="U3" s="51"/>
    </row>
    <row r="4" ht="18.75" customHeight="1">
      <c r="A4" s="52" t="s">
        <v>23</v>
      </c>
      <c r="B4" s="53" t="str">
        <f>Source!$D$19</f>
        <v/>
      </c>
      <c r="C4" s="54" t="s">
        <v>24</v>
      </c>
      <c r="D4" s="55" t="str">
        <f>Source!$B$2</f>
        <v/>
      </c>
      <c r="E4" s="26" t="s">
        <v>25</v>
      </c>
      <c r="F4" s="27"/>
      <c r="G4" s="27"/>
      <c r="H4" s="28"/>
      <c r="I4" s="44"/>
      <c r="J4" s="45"/>
      <c r="K4" s="31"/>
      <c r="L4" s="52" t="s">
        <v>23</v>
      </c>
      <c r="M4" s="53" t="str">
        <f>Source!$D$19</f>
        <v/>
      </c>
      <c r="N4" s="54" t="s">
        <v>26</v>
      </c>
      <c r="O4" s="55" t="str">
        <f>Source!$B$2</f>
        <v/>
      </c>
      <c r="P4" s="26" t="s">
        <v>27</v>
      </c>
      <c r="Q4" s="27"/>
      <c r="R4" s="27"/>
      <c r="S4" s="27"/>
      <c r="T4" s="50"/>
      <c r="U4" s="51"/>
    </row>
    <row r="5" ht="18.75" customHeight="1">
      <c r="A5" s="56" t="s">
        <v>28</v>
      </c>
      <c r="B5" s="57" t="str">
        <f>Source!$D$11</f>
        <v/>
      </c>
      <c r="C5" s="58" t="s">
        <v>29</v>
      </c>
      <c r="D5" s="59" t="str">
        <f>Source!$B$3</f>
        <v/>
      </c>
      <c r="E5" s="43" t="s">
        <v>30</v>
      </c>
      <c r="F5" s="27"/>
      <c r="G5" s="27"/>
      <c r="H5" s="28"/>
      <c r="I5" s="60"/>
      <c r="J5" s="61"/>
      <c r="K5" s="31"/>
      <c r="L5" s="62" t="s">
        <v>28</v>
      </c>
      <c r="M5" s="63" t="str">
        <f>Source!$D$14</f>
        <v/>
      </c>
      <c r="N5" s="64" t="s">
        <v>31</v>
      </c>
      <c r="O5" s="65" t="str">
        <f>Source!$B$3</f>
        <v/>
      </c>
      <c r="P5" s="43" t="s">
        <v>32</v>
      </c>
      <c r="Q5" s="27"/>
      <c r="R5" s="27"/>
      <c r="S5" s="27"/>
      <c r="T5" s="27"/>
      <c r="U5" s="28"/>
    </row>
    <row r="6" ht="18.75" customHeight="1">
      <c r="A6" s="62" t="s">
        <v>33</v>
      </c>
      <c r="B6" s="63" t="str">
        <f>Source!$D$14</f>
        <v/>
      </c>
      <c r="C6" s="64" t="s">
        <v>34</v>
      </c>
      <c r="D6" s="65" t="str">
        <f>Source!$B$2</f>
        <v/>
      </c>
      <c r="E6" s="26" t="s">
        <v>35</v>
      </c>
      <c r="F6" s="27"/>
      <c r="G6" s="27"/>
      <c r="H6" s="27"/>
      <c r="I6" s="27"/>
      <c r="J6" s="28"/>
      <c r="K6" s="31"/>
      <c r="L6" s="66" t="s">
        <v>33</v>
      </c>
      <c r="M6" s="67" t="str">
        <f>Source!$D$5</f>
        <v/>
      </c>
      <c r="N6" s="68" t="s">
        <v>36</v>
      </c>
      <c r="O6" s="69" t="str">
        <f>Source!$B$2</f>
        <v/>
      </c>
      <c r="P6" s="26" t="s">
        <v>37</v>
      </c>
      <c r="Q6" s="27"/>
      <c r="R6" s="27"/>
      <c r="S6" s="27"/>
      <c r="T6" s="36"/>
      <c r="U6" s="70"/>
    </row>
    <row r="7" ht="18.75" customHeight="1">
      <c r="A7" s="71" t="s">
        <v>38</v>
      </c>
      <c r="B7" s="72" t="str">
        <f>Source!$D$15</f>
        <v/>
      </c>
      <c r="C7" s="73" t="s">
        <v>39</v>
      </c>
      <c r="D7" s="74" t="str">
        <f>Source!$B$3</f>
        <v/>
      </c>
      <c r="E7" s="43" t="s">
        <v>40</v>
      </c>
      <c r="F7" s="27"/>
      <c r="G7" s="28"/>
      <c r="H7" s="29"/>
      <c r="I7" s="29"/>
      <c r="J7" s="30"/>
      <c r="K7" s="31"/>
      <c r="L7" s="22" t="s">
        <v>38</v>
      </c>
      <c r="M7" s="23" t="str">
        <f>Source!$D$7</f>
        <v/>
      </c>
      <c r="N7" s="24" t="s">
        <v>41</v>
      </c>
      <c r="O7" s="25" t="str">
        <f>Source!$B$3</f>
        <v/>
      </c>
      <c r="P7" s="43" t="s">
        <v>42</v>
      </c>
      <c r="Q7" s="27"/>
      <c r="R7" s="27"/>
      <c r="S7" s="27"/>
      <c r="T7" s="27"/>
      <c r="U7" s="28"/>
    </row>
    <row r="8" ht="18.75" customHeight="1">
      <c r="A8" s="75" t="s">
        <v>43</v>
      </c>
      <c r="B8" s="76" t="str">
        <f>Source!$D$8</f>
        <v/>
      </c>
      <c r="C8" s="77" t="s">
        <v>44</v>
      </c>
      <c r="D8" s="78" t="str">
        <f>Source!$B$2</f>
        <v/>
      </c>
      <c r="E8" s="79" t="s">
        <v>45</v>
      </c>
      <c r="F8" s="80"/>
      <c r="G8" s="81"/>
      <c r="H8" s="29"/>
      <c r="I8" s="29"/>
      <c r="J8" s="30"/>
      <c r="K8" s="31"/>
      <c r="L8" s="52" t="s">
        <v>43</v>
      </c>
      <c r="M8" s="53" t="str">
        <f>Source!$D$19</f>
        <v/>
      </c>
      <c r="N8" s="54" t="s">
        <v>46</v>
      </c>
      <c r="O8" s="55" t="str">
        <f>Source!$B$2</f>
        <v/>
      </c>
      <c r="P8" s="26" t="s">
        <v>47</v>
      </c>
      <c r="Q8" s="27"/>
      <c r="R8" s="27"/>
      <c r="S8" s="27"/>
      <c r="T8" s="50"/>
      <c r="U8" s="51"/>
    </row>
    <row r="9" ht="18.75" customHeight="1">
      <c r="A9" s="82" t="s">
        <v>48</v>
      </c>
      <c r="B9" s="83" t="str">
        <f>Source!$D$16</f>
        <v/>
      </c>
      <c r="C9" s="84" t="s">
        <v>49</v>
      </c>
      <c r="D9" s="85" t="str">
        <f>Source!$B$3</f>
        <v/>
      </c>
      <c r="E9" s="43" t="s">
        <v>50</v>
      </c>
      <c r="F9" s="27"/>
      <c r="G9" s="27"/>
      <c r="H9" s="27"/>
      <c r="I9" s="28"/>
      <c r="J9" s="30"/>
      <c r="K9" s="86"/>
      <c r="L9" s="62" t="s">
        <v>48</v>
      </c>
      <c r="M9" s="63" t="str">
        <f>Source!$D$14</f>
        <v/>
      </c>
      <c r="N9" s="64" t="s">
        <v>51</v>
      </c>
      <c r="O9" s="65" t="str">
        <f>Source!$B$3</f>
        <v/>
      </c>
      <c r="P9" s="87" t="s">
        <v>52</v>
      </c>
      <c r="Q9" s="27"/>
      <c r="R9" s="27"/>
      <c r="S9" s="27"/>
      <c r="T9" s="28"/>
      <c r="U9" s="88"/>
    </row>
    <row r="10" ht="18.75" customHeight="1">
      <c r="A10" s="56" t="s">
        <v>53</v>
      </c>
      <c r="B10" s="57" t="str">
        <f>Source!$D$11</f>
        <v/>
      </c>
      <c r="C10" s="58" t="s">
        <v>54</v>
      </c>
      <c r="D10" s="59" t="str">
        <f>Source!$B$2</f>
        <v/>
      </c>
      <c r="E10" s="26" t="s">
        <v>55</v>
      </c>
      <c r="F10" s="27"/>
      <c r="G10" s="28"/>
      <c r="H10" s="29"/>
      <c r="I10" s="29"/>
      <c r="J10" s="30"/>
      <c r="K10" s="89"/>
      <c r="L10" s="89"/>
      <c r="M10" s="89"/>
      <c r="N10" s="89"/>
      <c r="O10" s="89"/>
      <c r="P10" s="89"/>
      <c r="Q10" s="89"/>
      <c r="R10" s="89"/>
      <c r="S10" s="89"/>
      <c r="T10" s="89"/>
      <c r="U10" s="90"/>
    </row>
    <row r="11" ht="18.75" customHeight="1">
      <c r="A11" s="62" t="s">
        <v>56</v>
      </c>
      <c r="B11" s="63" t="str">
        <f>Source!$D$14</f>
        <v/>
      </c>
      <c r="C11" s="64" t="s">
        <v>57</v>
      </c>
      <c r="D11" s="65" t="str">
        <f>Source!$B$3</f>
        <v/>
      </c>
      <c r="E11" s="43" t="s">
        <v>58</v>
      </c>
      <c r="F11" s="27"/>
      <c r="G11" s="27"/>
      <c r="H11" s="27"/>
      <c r="I11" s="27"/>
      <c r="J11" s="28"/>
      <c r="K11" s="91"/>
      <c r="L11" s="91"/>
      <c r="M11" s="91"/>
      <c r="N11" s="91"/>
      <c r="O11" s="91"/>
      <c r="P11" s="91"/>
      <c r="Q11" s="91"/>
      <c r="R11" s="91"/>
      <c r="S11" s="91"/>
      <c r="T11" s="91"/>
      <c r="U11" s="92"/>
    </row>
    <row r="12" ht="18.75" customHeight="1">
      <c r="A12" s="66" t="s">
        <v>59</v>
      </c>
      <c r="B12" s="67" t="str">
        <f>Source!$D$5</f>
        <v/>
      </c>
      <c r="C12" s="68" t="s">
        <v>60</v>
      </c>
      <c r="D12" s="69" t="str">
        <f>Source!$B$2</f>
        <v/>
      </c>
      <c r="E12" s="26" t="s">
        <v>61</v>
      </c>
      <c r="F12" s="27"/>
      <c r="G12" s="27"/>
      <c r="H12" s="27"/>
      <c r="I12" s="27"/>
      <c r="J12" s="28"/>
      <c r="K12" s="91"/>
      <c r="L12" s="91"/>
      <c r="M12" s="91"/>
      <c r="N12" s="91"/>
      <c r="O12" s="91"/>
      <c r="P12" s="91"/>
      <c r="Q12" s="91"/>
      <c r="R12" s="91"/>
      <c r="S12" s="91"/>
      <c r="T12" s="91"/>
      <c r="U12" s="92"/>
    </row>
    <row r="13" ht="18.75" customHeight="1">
      <c r="A13" s="93" t="s">
        <v>62</v>
      </c>
      <c r="B13" s="94" t="str">
        <f>Source!$D$3</f>
        <v/>
      </c>
      <c r="C13" s="95" t="s">
        <v>63</v>
      </c>
      <c r="D13" s="96" t="str">
        <f>Source!$B$3</f>
        <v/>
      </c>
      <c r="E13" s="43" t="s">
        <v>64</v>
      </c>
      <c r="F13" s="27"/>
      <c r="G13" s="27"/>
      <c r="H13" s="27"/>
      <c r="I13" s="36"/>
      <c r="J13" s="70"/>
      <c r="K13" s="91"/>
      <c r="L13" s="91"/>
      <c r="M13" s="91"/>
      <c r="N13" s="91"/>
      <c r="O13" s="91"/>
      <c r="P13" s="91"/>
      <c r="Q13" s="91"/>
      <c r="R13" s="91"/>
      <c r="S13" s="91"/>
      <c r="T13" s="91"/>
      <c r="U13" s="92"/>
    </row>
    <row r="14" ht="18.75" customHeight="1">
      <c r="A14" s="97"/>
      <c r="B14" s="98"/>
      <c r="C14" s="98"/>
      <c r="D14" s="98"/>
      <c r="E14" s="99"/>
      <c r="F14" s="100" t="s">
        <v>65</v>
      </c>
      <c r="G14" s="28"/>
      <c r="H14" s="101"/>
      <c r="I14" s="102"/>
      <c r="J14" s="103"/>
      <c r="K14" s="104"/>
      <c r="L14" s="104"/>
      <c r="M14" s="104"/>
      <c r="N14" s="104"/>
      <c r="O14" s="104"/>
      <c r="P14" s="104"/>
      <c r="Q14" s="104"/>
      <c r="R14" s="104"/>
      <c r="S14" s="104"/>
      <c r="T14" s="104"/>
      <c r="U14" s="105"/>
    </row>
    <row r="15" ht="18.75" customHeight="1">
      <c r="A15" s="106" t="s">
        <v>66</v>
      </c>
      <c r="B15" s="107" t="str">
        <f>Source!$D$13</f>
        <v/>
      </c>
      <c r="C15" s="108" t="s">
        <v>67</v>
      </c>
      <c r="D15" s="109" t="str">
        <f>Source!$B$2</f>
        <v/>
      </c>
      <c r="E15" s="26" t="s">
        <v>68</v>
      </c>
      <c r="F15" s="27"/>
      <c r="G15" s="27"/>
      <c r="H15" s="36"/>
      <c r="I15" s="29"/>
      <c r="J15" s="70"/>
      <c r="K15" s="91"/>
      <c r="L15" s="91"/>
      <c r="M15" s="91"/>
      <c r="N15" s="91"/>
      <c r="O15" s="91"/>
      <c r="P15" s="91"/>
      <c r="Q15" s="91"/>
      <c r="R15" s="91"/>
      <c r="S15" s="91"/>
      <c r="T15" s="91"/>
      <c r="U15" s="92"/>
    </row>
    <row r="16" ht="18.75" customHeight="1">
      <c r="A16" s="106" t="s">
        <v>69</v>
      </c>
      <c r="B16" s="107" t="str">
        <f>Source!$D$13</f>
        <v/>
      </c>
      <c r="C16" s="108" t="s">
        <v>70</v>
      </c>
      <c r="D16" s="109" t="str">
        <f>Source!$B$3</f>
        <v/>
      </c>
      <c r="E16" s="43" t="s">
        <v>71</v>
      </c>
      <c r="F16" s="27"/>
      <c r="G16" s="27"/>
      <c r="H16" s="36"/>
      <c r="I16" s="29"/>
      <c r="J16" s="70"/>
      <c r="K16" s="91"/>
      <c r="L16" s="91"/>
      <c r="M16" s="91"/>
      <c r="N16" s="91"/>
      <c r="O16" s="91"/>
      <c r="P16" s="91"/>
      <c r="Q16" s="91"/>
      <c r="R16" s="91"/>
      <c r="S16" s="91"/>
      <c r="T16" s="91"/>
      <c r="U16" s="92"/>
    </row>
    <row r="17" ht="18.75" customHeight="1">
      <c r="A17" s="66" t="s">
        <v>72</v>
      </c>
      <c r="B17" s="67" t="str">
        <f>Source!$D$5</f>
        <v/>
      </c>
      <c r="C17" s="68" t="s">
        <v>73</v>
      </c>
      <c r="D17" s="69" t="str">
        <f>Source!$B$2</f>
        <v/>
      </c>
      <c r="E17" s="26" t="s">
        <v>74</v>
      </c>
      <c r="F17" s="27"/>
      <c r="G17" s="27"/>
      <c r="H17" s="27"/>
      <c r="I17" s="27"/>
      <c r="J17" s="28"/>
      <c r="K17" s="91"/>
      <c r="L17" s="91"/>
      <c r="M17" s="91"/>
      <c r="N17" s="91"/>
      <c r="O17" s="91"/>
      <c r="P17" s="91"/>
      <c r="Q17" s="91"/>
      <c r="R17" s="91"/>
      <c r="S17" s="91"/>
      <c r="T17" s="91"/>
      <c r="U17" s="92"/>
    </row>
    <row r="18" ht="18.75" customHeight="1">
      <c r="A18" s="82" t="s">
        <v>75</v>
      </c>
      <c r="B18" s="83" t="str">
        <f>Source!$D$16</f>
        <v/>
      </c>
      <c r="C18" s="84" t="s">
        <v>76</v>
      </c>
      <c r="D18" s="85" t="str">
        <f>Source!$B$3</f>
        <v/>
      </c>
      <c r="E18" s="43" t="s">
        <v>40</v>
      </c>
      <c r="F18" s="27"/>
      <c r="G18" s="27"/>
      <c r="H18" s="36"/>
      <c r="I18" s="29"/>
      <c r="J18" s="70"/>
      <c r="K18" s="91"/>
      <c r="L18" s="91"/>
      <c r="M18" s="91"/>
      <c r="N18" s="91"/>
      <c r="O18" s="91"/>
      <c r="P18" s="91"/>
      <c r="Q18" s="91"/>
      <c r="R18" s="91"/>
      <c r="S18" s="91"/>
      <c r="T18" s="91"/>
      <c r="U18" s="92"/>
    </row>
    <row r="19" ht="18.75" customHeight="1">
      <c r="A19" s="62" t="s">
        <v>77</v>
      </c>
      <c r="B19" s="63" t="str">
        <f>Source!$D$14</f>
        <v/>
      </c>
      <c r="C19" s="64" t="s">
        <v>78</v>
      </c>
      <c r="D19" s="65" t="str">
        <f>Source!$B$2</f>
        <v/>
      </c>
      <c r="E19" s="26" t="s">
        <v>79</v>
      </c>
      <c r="F19" s="27"/>
      <c r="G19" s="27"/>
      <c r="H19" s="36"/>
      <c r="I19" s="29"/>
      <c r="J19" s="70"/>
      <c r="K19" s="91"/>
      <c r="L19" s="91"/>
      <c r="M19" s="91"/>
      <c r="N19" s="91"/>
      <c r="O19" s="91"/>
      <c r="P19" s="91"/>
      <c r="Q19" s="91"/>
      <c r="R19" s="91"/>
      <c r="S19" s="91"/>
      <c r="T19" s="91"/>
      <c r="U19" s="92"/>
    </row>
    <row r="20" ht="18.75" customHeight="1">
      <c r="A20" s="110"/>
      <c r="B20" s="111"/>
      <c r="C20" s="111"/>
      <c r="D20" s="111"/>
      <c r="E20" s="112"/>
      <c r="F20" s="100" t="s">
        <v>65</v>
      </c>
      <c r="G20" s="28"/>
      <c r="H20" s="113"/>
      <c r="I20" s="114"/>
      <c r="J20" s="115"/>
      <c r="K20" s="116"/>
      <c r="L20" s="116"/>
      <c r="M20" s="116"/>
      <c r="N20" s="116"/>
      <c r="O20" s="116"/>
      <c r="P20" s="116"/>
      <c r="Q20" s="116"/>
      <c r="R20" s="116"/>
      <c r="S20" s="116"/>
      <c r="T20" s="116"/>
      <c r="U20" s="117"/>
    </row>
    <row r="21" ht="18.75" customHeight="1">
      <c r="A21" s="52" t="s">
        <v>80</v>
      </c>
      <c r="B21" s="53" t="str">
        <f>Source!$D$19</f>
        <v/>
      </c>
      <c r="C21" s="54" t="s">
        <v>81</v>
      </c>
      <c r="D21" s="55" t="str">
        <f>Source!$B$3</f>
        <v/>
      </c>
      <c r="E21" s="43" t="s">
        <v>82</v>
      </c>
      <c r="F21" s="27"/>
      <c r="G21" s="27"/>
      <c r="H21" s="36"/>
      <c r="I21" s="29"/>
      <c r="J21" s="70"/>
      <c r="K21" s="91"/>
      <c r="L21" s="91"/>
      <c r="M21" s="91"/>
      <c r="N21" s="91"/>
      <c r="O21" s="91"/>
      <c r="P21" s="91"/>
      <c r="Q21" s="91"/>
      <c r="R21" s="91"/>
      <c r="S21" s="91"/>
      <c r="T21" s="91"/>
      <c r="U21" s="92"/>
    </row>
    <row r="22" ht="18.75" customHeight="1">
      <c r="A22" s="56" t="s">
        <v>83</v>
      </c>
      <c r="B22" s="57" t="str">
        <f>Source!$D$11</f>
        <v/>
      </c>
      <c r="C22" s="58" t="s">
        <v>84</v>
      </c>
      <c r="D22" s="59" t="str">
        <f>Source!$B$2</f>
        <v/>
      </c>
      <c r="E22" s="26" t="s">
        <v>85</v>
      </c>
      <c r="F22" s="27"/>
      <c r="G22" s="27"/>
      <c r="H22" s="28"/>
      <c r="I22" s="36"/>
      <c r="J22" s="70"/>
      <c r="K22" s="91"/>
      <c r="L22" s="91"/>
      <c r="M22" s="91"/>
      <c r="N22" s="91"/>
      <c r="O22" s="91"/>
      <c r="P22" s="91"/>
      <c r="Q22" s="91"/>
      <c r="R22" s="91"/>
      <c r="S22" s="91"/>
      <c r="T22" s="91"/>
      <c r="U22" s="92"/>
    </row>
    <row r="23" ht="18.75" customHeight="1">
      <c r="A23" s="62" t="s">
        <v>86</v>
      </c>
      <c r="B23" s="63" t="str">
        <f>Source!$D$14</f>
        <v/>
      </c>
      <c r="C23" s="64" t="s">
        <v>87</v>
      </c>
      <c r="D23" s="65" t="str">
        <f>Source!$B$3</f>
        <v/>
      </c>
      <c r="E23" s="43" t="s">
        <v>79</v>
      </c>
      <c r="F23" s="27"/>
      <c r="G23" s="27"/>
      <c r="H23" s="36"/>
      <c r="I23" s="29"/>
      <c r="J23" s="70"/>
      <c r="K23" s="91"/>
      <c r="L23" s="91"/>
      <c r="M23" s="91"/>
      <c r="N23" s="91"/>
      <c r="O23" s="91"/>
      <c r="P23" s="91"/>
      <c r="Q23" s="91"/>
      <c r="R23" s="91"/>
      <c r="S23" s="91"/>
      <c r="T23" s="91"/>
      <c r="U23" s="92"/>
    </row>
    <row r="24" ht="18.75" customHeight="1">
      <c r="A24" s="106" t="s">
        <v>88</v>
      </c>
      <c r="B24" s="107" t="str">
        <f>Source!$D$13</f>
        <v/>
      </c>
      <c r="C24" s="108" t="s">
        <v>89</v>
      </c>
      <c r="D24" s="109" t="str">
        <f>Source!$B$2</f>
        <v/>
      </c>
      <c r="E24" s="26" t="s">
        <v>90</v>
      </c>
      <c r="F24" s="27"/>
      <c r="G24" s="27"/>
      <c r="H24" s="36"/>
      <c r="I24" s="29"/>
      <c r="J24" s="70"/>
      <c r="K24" s="91"/>
      <c r="L24" s="91"/>
      <c r="M24" s="91"/>
      <c r="N24" s="91"/>
      <c r="O24" s="91"/>
      <c r="P24" s="91"/>
      <c r="Q24" s="91"/>
      <c r="R24" s="91"/>
      <c r="S24" s="91"/>
      <c r="T24" s="91"/>
      <c r="U24" s="92"/>
    </row>
    <row r="25" ht="18.75" customHeight="1">
      <c r="A25" s="62" t="s">
        <v>91</v>
      </c>
      <c r="B25" s="63" t="str">
        <f>Source!$D$14</f>
        <v/>
      </c>
      <c r="C25" s="64" t="s">
        <v>92</v>
      </c>
      <c r="D25" s="65" t="str">
        <f>Source!$B$3</f>
        <v/>
      </c>
      <c r="E25" s="43" t="s">
        <v>71</v>
      </c>
      <c r="F25" s="27"/>
      <c r="G25" s="27"/>
      <c r="H25" s="36"/>
      <c r="I25" s="29"/>
      <c r="J25" s="70"/>
      <c r="K25" s="91"/>
      <c r="L25" s="91"/>
      <c r="M25" s="91"/>
      <c r="N25" s="91"/>
      <c r="O25" s="91"/>
      <c r="P25" s="91"/>
      <c r="Q25" s="91"/>
      <c r="R25" s="91"/>
      <c r="S25" s="91"/>
      <c r="T25" s="91"/>
      <c r="U25" s="92"/>
    </row>
    <row r="26" ht="18.75" customHeight="1">
      <c r="A26" s="32" t="s">
        <v>93</v>
      </c>
      <c r="B26" s="33" t="str">
        <f>Source!$D$18</f>
        <v/>
      </c>
      <c r="C26" s="34" t="s">
        <v>94</v>
      </c>
      <c r="D26" s="35" t="str">
        <f>Source!$B$2</f>
        <v/>
      </c>
      <c r="E26" s="26" t="s">
        <v>95</v>
      </c>
      <c r="F26" s="27"/>
      <c r="G26" s="27"/>
      <c r="H26" s="36"/>
      <c r="I26" s="29"/>
      <c r="J26" s="70"/>
      <c r="K26" s="91"/>
      <c r="L26" s="91"/>
      <c r="M26" s="91"/>
      <c r="N26" s="91"/>
      <c r="O26" s="91"/>
      <c r="P26" s="91"/>
      <c r="Q26" s="91"/>
      <c r="R26" s="91"/>
      <c r="S26" s="91"/>
      <c r="T26" s="91"/>
      <c r="U26" s="92"/>
    </row>
    <row r="27" ht="18.75" customHeight="1">
      <c r="A27" s="66" t="s">
        <v>96</v>
      </c>
      <c r="B27" s="67" t="str">
        <f>Source!$D$5</f>
        <v/>
      </c>
      <c r="C27" s="68" t="s">
        <v>97</v>
      </c>
      <c r="D27" s="69" t="str">
        <f>Source!$B$3</f>
        <v/>
      </c>
      <c r="E27" s="43" t="s">
        <v>68</v>
      </c>
      <c r="F27" s="27"/>
      <c r="G27" s="27"/>
      <c r="H27" s="36"/>
      <c r="I27" s="29"/>
      <c r="J27" s="70"/>
      <c r="K27" s="91"/>
      <c r="L27" s="91"/>
      <c r="M27" s="91"/>
      <c r="N27" s="91"/>
      <c r="O27" s="91"/>
      <c r="P27" s="91"/>
      <c r="Q27" s="91"/>
      <c r="R27" s="91"/>
      <c r="S27" s="91"/>
      <c r="T27" s="91"/>
      <c r="U27" s="92"/>
    </row>
    <row r="28" ht="18.75" customHeight="1">
      <c r="A28" s="66" t="s">
        <v>98</v>
      </c>
      <c r="B28" s="67" t="str">
        <f>Source!$D$5</f>
        <v/>
      </c>
      <c r="C28" s="68" t="s">
        <v>99</v>
      </c>
      <c r="D28" s="69" t="str">
        <f>Source!$B$2</f>
        <v/>
      </c>
      <c r="E28" s="26" t="s">
        <v>100</v>
      </c>
      <c r="F28" s="27"/>
      <c r="G28" s="27"/>
      <c r="H28" s="36"/>
      <c r="I28" s="29"/>
      <c r="J28" s="70"/>
      <c r="K28" s="91"/>
      <c r="L28" s="91"/>
      <c r="M28" s="91"/>
      <c r="N28" s="91"/>
      <c r="O28" s="91"/>
      <c r="P28" s="91"/>
      <c r="Q28" s="91"/>
      <c r="R28" s="91"/>
      <c r="S28" s="91"/>
      <c r="T28" s="91"/>
      <c r="U28" s="92"/>
    </row>
    <row r="29" ht="18.75" customHeight="1">
      <c r="A29" s="118" t="s">
        <v>101</v>
      </c>
      <c r="B29" s="119" t="str">
        <f>Source!$D$12</f>
        <v/>
      </c>
      <c r="C29" s="120" t="s">
        <v>102</v>
      </c>
      <c r="D29" s="121" t="str">
        <f>Source!$B$3</f>
        <v/>
      </c>
      <c r="E29" s="43" t="s">
        <v>103</v>
      </c>
      <c r="F29" s="27"/>
      <c r="G29" s="27"/>
      <c r="H29" s="27"/>
      <c r="I29" s="27"/>
      <c r="J29" s="28"/>
      <c r="K29" s="91"/>
      <c r="L29" s="91"/>
      <c r="M29" s="91"/>
      <c r="N29" s="91"/>
      <c r="O29" s="91"/>
      <c r="P29" s="91"/>
      <c r="Q29" s="91"/>
      <c r="R29" s="91"/>
      <c r="S29" s="91"/>
      <c r="T29" s="91"/>
      <c r="U29" s="92"/>
    </row>
    <row r="30" ht="18.75" customHeight="1">
      <c r="A30" s="62" t="s">
        <v>104</v>
      </c>
      <c r="B30" s="63" t="str">
        <f>Source!$D$14</f>
        <v/>
      </c>
      <c r="C30" s="64" t="s">
        <v>105</v>
      </c>
      <c r="D30" s="65" t="str">
        <f>Source!$B$2</f>
        <v/>
      </c>
      <c r="E30" s="26" t="s">
        <v>106</v>
      </c>
      <c r="F30" s="27"/>
      <c r="G30" s="27"/>
      <c r="H30" s="50"/>
      <c r="I30" s="36"/>
      <c r="J30" s="70"/>
      <c r="K30" s="91"/>
      <c r="L30" s="91"/>
      <c r="M30" s="91"/>
      <c r="N30" s="91"/>
      <c r="O30" s="91"/>
      <c r="P30" s="91"/>
      <c r="Q30" s="91"/>
      <c r="R30" s="91"/>
      <c r="S30" s="91"/>
      <c r="T30" s="91"/>
      <c r="U30" s="92"/>
    </row>
    <row r="31" ht="18.75" customHeight="1">
      <c r="A31" s="118" t="s">
        <v>107</v>
      </c>
      <c r="B31" s="119" t="str">
        <f>Source!$D$12</f>
        <v/>
      </c>
      <c r="C31" s="120" t="s">
        <v>108</v>
      </c>
      <c r="D31" s="121" t="str">
        <f>Source!$B$3</f>
        <v/>
      </c>
      <c r="E31" s="43" t="s">
        <v>109</v>
      </c>
      <c r="F31" s="27"/>
      <c r="G31" s="27"/>
      <c r="H31" s="36"/>
      <c r="I31" s="29"/>
      <c r="J31" s="70"/>
      <c r="K31" s="91"/>
      <c r="L31" s="91"/>
      <c r="M31" s="91"/>
      <c r="N31" s="91"/>
      <c r="O31" s="91"/>
      <c r="P31" s="91"/>
      <c r="Q31" s="91"/>
      <c r="R31" s="91"/>
      <c r="S31" s="91"/>
      <c r="T31" s="91"/>
      <c r="U31" s="92"/>
    </row>
    <row r="32" ht="18.75" customHeight="1">
      <c r="A32" s="82" t="s">
        <v>110</v>
      </c>
      <c r="B32" s="83" t="str">
        <f>Source!$D$16</f>
        <v/>
      </c>
      <c r="C32" s="84" t="s">
        <v>111</v>
      </c>
      <c r="D32" s="85" t="str">
        <f>Source!$B$2</f>
        <v/>
      </c>
      <c r="E32" s="26" t="s">
        <v>112</v>
      </c>
      <c r="F32" s="27"/>
      <c r="G32" s="27"/>
      <c r="H32" s="28"/>
      <c r="I32" s="36"/>
      <c r="J32" s="70"/>
      <c r="K32" s="91"/>
      <c r="L32" s="91"/>
      <c r="M32" s="91"/>
      <c r="N32" s="91"/>
      <c r="O32" s="91"/>
      <c r="P32" s="91"/>
      <c r="Q32" s="91"/>
      <c r="R32" s="91"/>
      <c r="S32" s="91"/>
      <c r="T32" s="91"/>
      <c r="U32" s="92"/>
    </row>
    <row r="33" ht="18.75" customHeight="1">
      <c r="A33" s="122" t="s">
        <v>113</v>
      </c>
      <c r="B33" s="123" t="str">
        <f>Source!$D$10</f>
        <v/>
      </c>
      <c r="C33" s="124" t="s">
        <v>114</v>
      </c>
      <c r="D33" s="125" t="str">
        <f>Source!$B$3</f>
        <v/>
      </c>
      <c r="E33" s="43" t="s">
        <v>115</v>
      </c>
      <c r="F33" s="27"/>
      <c r="G33" s="27"/>
      <c r="H33" s="27"/>
      <c r="I33" s="28"/>
      <c r="J33" s="51"/>
      <c r="K33" s="91"/>
      <c r="L33" s="91"/>
      <c r="M33" s="91"/>
      <c r="N33" s="91"/>
      <c r="O33" s="91"/>
      <c r="P33" s="91"/>
      <c r="Q33" s="91"/>
      <c r="R33" s="91"/>
      <c r="S33" s="91"/>
      <c r="T33" s="91"/>
      <c r="U33" s="92"/>
    </row>
    <row r="34" ht="18.75" customHeight="1">
      <c r="A34" s="22" t="s">
        <v>116</v>
      </c>
      <c r="B34" s="23" t="str">
        <f>Source!$D$7</f>
        <v/>
      </c>
      <c r="C34" s="24" t="s">
        <v>117</v>
      </c>
      <c r="D34" s="25" t="str">
        <f>Source!$B$2</f>
        <v/>
      </c>
      <c r="E34" s="26" t="s">
        <v>118</v>
      </c>
      <c r="F34" s="27"/>
      <c r="G34" s="27"/>
      <c r="H34" s="28"/>
      <c r="I34" s="36"/>
      <c r="J34" s="70"/>
      <c r="K34" s="91"/>
      <c r="L34" s="91"/>
      <c r="M34" s="91"/>
      <c r="N34" s="91"/>
      <c r="O34" s="91"/>
      <c r="P34" s="91"/>
      <c r="Q34" s="91"/>
      <c r="R34" s="91"/>
      <c r="S34" s="91"/>
      <c r="T34" s="91"/>
      <c r="U34" s="92"/>
    </row>
    <row r="35" ht="18.75" customHeight="1">
      <c r="A35" s="22" t="s">
        <v>119</v>
      </c>
      <c r="B35" s="23" t="str">
        <f>Source!$D$7</f>
        <v/>
      </c>
      <c r="C35" s="24" t="s">
        <v>120</v>
      </c>
      <c r="D35" s="25" t="str">
        <f>Source!$B$3</f>
        <v/>
      </c>
      <c r="E35" s="43" t="s">
        <v>121</v>
      </c>
      <c r="F35" s="27"/>
      <c r="G35" s="27"/>
      <c r="H35" s="36"/>
      <c r="I35" s="29"/>
      <c r="J35" s="70"/>
      <c r="K35" s="91"/>
      <c r="L35" s="91"/>
      <c r="M35" s="91"/>
      <c r="N35" s="91"/>
      <c r="O35" s="91"/>
      <c r="P35" s="91"/>
      <c r="Q35" s="91"/>
      <c r="R35" s="91"/>
      <c r="S35" s="91"/>
      <c r="T35" s="91"/>
      <c r="U35" s="92"/>
    </row>
    <row r="36" ht="18.75" customHeight="1">
      <c r="A36" s="82" t="s">
        <v>122</v>
      </c>
      <c r="B36" s="83" t="str">
        <f>Source!$D$16</f>
        <v/>
      </c>
      <c r="C36" s="84" t="s">
        <v>123</v>
      </c>
      <c r="D36" s="85" t="str">
        <f>Source!$B$2</f>
        <v/>
      </c>
      <c r="E36" s="26" t="s">
        <v>79</v>
      </c>
      <c r="F36" s="27"/>
      <c r="G36" s="27"/>
      <c r="H36" s="36"/>
      <c r="I36" s="29"/>
      <c r="J36" s="70"/>
      <c r="K36" s="91"/>
      <c r="L36" s="91"/>
      <c r="M36" s="91"/>
      <c r="N36" s="91"/>
      <c r="O36" s="91"/>
      <c r="P36" s="91"/>
      <c r="Q36" s="91"/>
      <c r="R36" s="91"/>
      <c r="S36" s="91"/>
      <c r="T36" s="91"/>
      <c r="U36" s="92"/>
    </row>
    <row r="37" ht="18.75" customHeight="1">
      <c r="A37" s="82" t="s">
        <v>124</v>
      </c>
      <c r="B37" s="83" t="str">
        <f>Source!$D$16</f>
        <v/>
      </c>
      <c r="C37" s="84" t="s">
        <v>125</v>
      </c>
      <c r="D37" s="85" t="str">
        <f>Source!$B$3</f>
        <v/>
      </c>
      <c r="E37" s="43" t="s">
        <v>126</v>
      </c>
      <c r="F37" s="27"/>
      <c r="G37" s="27"/>
      <c r="H37" s="28"/>
      <c r="I37" s="29"/>
      <c r="J37" s="70"/>
      <c r="K37" s="91"/>
      <c r="L37" s="91"/>
      <c r="M37" s="91"/>
      <c r="N37" s="91"/>
      <c r="O37" s="91"/>
      <c r="P37" s="91"/>
      <c r="Q37" s="91"/>
      <c r="R37" s="91"/>
      <c r="S37" s="91"/>
      <c r="T37" s="91"/>
      <c r="U37" s="92"/>
    </row>
    <row r="38" ht="18.75" customHeight="1">
      <c r="A38" s="75" t="s">
        <v>127</v>
      </c>
      <c r="B38" s="76" t="str">
        <f>Source!$D$8</f>
        <v/>
      </c>
      <c r="C38" s="77" t="s">
        <v>128</v>
      </c>
      <c r="D38" s="78" t="str">
        <f>Source!$B$2</f>
        <v/>
      </c>
      <c r="E38" s="26" t="s">
        <v>68</v>
      </c>
      <c r="F38" s="27"/>
      <c r="G38" s="50"/>
      <c r="H38" s="36"/>
      <c r="I38" s="29"/>
      <c r="J38" s="70"/>
      <c r="K38" s="91"/>
      <c r="L38" s="91"/>
      <c r="M38" s="91"/>
      <c r="N38" s="91"/>
      <c r="O38" s="91"/>
      <c r="P38" s="91"/>
      <c r="Q38" s="91"/>
      <c r="R38" s="91"/>
      <c r="S38" s="91"/>
      <c r="T38" s="91"/>
      <c r="U38" s="92"/>
    </row>
    <row r="39" ht="18.75" customHeight="1">
      <c r="A39" s="71" t="s">
        <v>129</v>
      </c>
      <c r="B39" s="72" t="str">
        <f>Source!$D$15</f>
        <v/>
      </c>
      <c r="C39" s="73" t="s">
        <v>130</v>
      </c>
      <c r="D39" s="74" t="str">
        <f>Source!$B$3</f>
        <v/>
      </c>
      <c r="E39" s="43" t="s">
        <v>131</v>
      </c>
      <c r="F39" s="27"/>
      <c r="G39" s="27"/>
      <c r="H39" s="50"/>
      <c r="I39" s="36"/>
      <c r="J39" s="70"/>
      <c r="K39" s="91"/>
      <c r="L39" s="91"/>
      <c r="M39" s="91"/>
      <c r="N39" s="91"/>
      <c r="O39" s="91"/>
      <c r="P39" s="91"/>
      <c r="Q39" s="91"/>
      <c r="R39" s="91"/>
      <c r="S39" s="91"/>
      <c r="T39" s="91"/>
      <c r="U39" s="92"/>
    </row>
    <row r="40" ht="18.75" customHeight="1">
      <c r="A40" s="118" t="s">
        <v>132</v>
      </c>
      <c r="B40" s="119" t="str">
        <f>Source!$D$12</f>
        <v/>
      </c>
      <c r="C40" s="120" t="s">
        <v>133</v>
      </c>
      <c r="D40" s="121" t="str">
        <f>Source!$B$2</f>
        <v/>
      </c>
      <c r="E40" s="26" t="s">
        <v>134</v>
      </c>
      <c r="F40" s="27"/>
      <c r="G40" s="27"/>
      <c r="H40" s="27"/>
      <c r="I40" s="27"/>
      <c r="J40" s="28"/>
      <c r="K40" s="91"/>
      <c r="L40" s="91"/>
      <c r="M40" s="91"/>
      <c r="N40" s="91"/>
      <c r="O40" s="91"/>
      <c r="P40" s="91"/>
      <c r="Q40" s="91"/>
      <c r="R40" s="91"/>
      <c r="S40" s="91"/>
      <c r="T40" s="91"/>
      <c r="U40" s="92"/>
    </row>
    <row r="41" ht="18.75" customHeight="1">
      <c r="A41" s="75" t="s">
        <v>135</v>
      </c>
      <c r="B41" s="76" t="str">
        <f>Source!$D$8</f>
        <v/>
      </c>
      <c r="C41" s="77" t="s">
        <v>136</v>
      </c>
      <c r="D41" s="78" t="str">
        <f>Source!$B$3</f>
        <v/>
      </c>
      <c r="E41" s="43" t="s">
        <v>137</v>
      </c>
      <c r="F41" s="27"/>
      <c r="G41" s="27"/>
      <c r="H41" s="50"/>
      <c r="I41" s="36"/>
      <c r="J41" s="70"/>
      <c r="K41" s="91"/>
      <c r="L41" s="91"/>
      <c r="M41" s="91"/>
      <c r="N41" s="91"/>
      <c r="O41" s="91"/>
      <c r="P41" s="91"/>
      <c r="Q41" s="91"/>
      <c r="R41" s="91"/>
      <c r="S41" s="91"/>
      <c r="T41" s="91"/>
      <c r="U41" s="92"/>
    </row>
    <row r="42" ht="18.75" customHeight="1">
      <c r="A42" s="126" t="s">
        <v>138</v>
      </c>
      <c r="B42" s="127" t="str">
        <f>Source!$D$17</f>
        <v/>
      </c>
      <c r="C42" s="128" t="s">
        <v>139</v>
      </c>
      <c r="D42" s="129" t="str">
        <f>Source!$B$2</f>
        <v/>
      </c>
      <c r="E42" s="26" t="s">
        <v>140</v>
      </c>
      <c r="F42" s="27"/>
      <c r="G42" s="27"/>
      <c r="H42" s="27"/>
      <c r="I42" s="36"/>
      <c r="J42" s="70"/>
      <c r="K42" s="91"/>
      <c r="L42" s="91"/>
      <c r="M42" s="91"/>
      <c r="N42" s="91"/>
      <c r="O42" s="91"/>
      <c r="P42" s="91"/>
      <c r="Q42" s="91"/>
      <c r="R42" s="91"/>
      <c r="S42" s="91"/>
      <c r="T42" s="91"/>
      <c r="U42" s="92"/>
    </row>
    <row r="43" ht="18.75" customHeight="1">
      <c r="A43" s="22" t="s">
        <v>141</v>
      </c>
      <c r="B43" s="23" t="str">
        <f>Source!$D$7</f>
        <v/>
      </c>
      <c r="C43" s="24" t="s">
        <v>142</v>
      </c>
      <c r="D43" s="25" t="str">
        <f>Source!$B$3</f>
        <v/>
      </c>
      <c r="E43" s="43" t="s">
        <v>143</v>
      </c>
      <c r="F43" s="27"/>
      <c r="G43" s="27"/>
      <c r="H43" s="50"/>
      <c r="I43" s="36"/>
      <c r="J43" s="70"/>
      <c r="K43" s="91"/>
      <c r="L43" s="91"/>
      <c r="M43" s="91"/>
      <c r="N43" s="91"/>
      <c r="O43" s="91"/>
      <c r="P43" s="91"/>
      <c r="Q43" s="91"/>
      <c r="R43" s="91"/>
      <c r="S43" s="91"/>
      <c r="T43" s="91"/>
      <c r="U43" s="92"/>
    </row>
    <row r="44" ht="18.75" customHeight="1">
      <c r="A44" s="52" t="s">
        <v>144</v>
      </c>
      <c r="B44" s="53" t="str">
        <f>Source!$D$19</f>
        <v/>
      </c>
      <c r="C44" s="54" t="s">
        <v>145</v>
      </c>
      <c r="D44" s="55" t="str">
        <f>Source!$B$2</f>
        <v/>
      </c>
      <c r="E44" s="26" t="s">
        <v>146</v>
      </c>
      <c r="F44" s="27"/>
      <c r="G44" s="27"/>
      <c r="H44" s="36"/>
      <c r="I44" s="29"/>
      <c r="J44" s="70"/>
      <c r="K44" s="91"/>
      <c r="L44" s="91"/>
      <c r="M44" s="91"/>
      <c r="N44" s="91"/>
      <c r="O44" s="91"/>
      <c r="P44" s="91"/>
      <c r="Q44" s="91"/>
      <c r="R44" s="91"/>
      <c r="S44" s="91"/>
      <c r="T44" s="91"/>
      <c r="U44" s="92"/>
    </row>
    <row r="45" ht="18.75" customHeight="1">
      <c r="A45" s="62" t="s">
        <v>147</v>
      </c>
      <c r="B45" s="63" t="str">
        <f>Source!$D$14</f>
        <v/>
      </c>
      <c r="C45" s="64" t="s">
        <v>148</v>
      </c>
      <c r="D45" s="65" t="str">
        <f>Source!$B$3</f>
        <v/>
      </c>
      <c r="E45" s="43" t="s">
        <v>149</v>
      </c>
      <c r="F45" s="27"/>
      <c r="G45" s="27"/>
      <c r="H45" s="50"/>
      <c r="I45" s="36"/>
      <c r="J45" s="70"/>
      <c r="K45" s="91"/>
      <c r="L45" s="91"/>
      <c r="M45" s="91"/>
      <c r="N45" s="91"/>
      <c r="O45" s="91"/>
      <c r="P45" s="91"/>
      <c r="Q45" s="91"/>
      <c r="R45" s="91"/>
      <c r="S45" s="91"/>
      <c r="T45" s="91"/>
      <c r="U45" s="92"/>
    </row>
    <row r="46" ht="18.75" customHeight="1">
      <c r="A46" s="46" t="s">
        <v>150</v>
      </c>
      <c r="B46" s="47" t="str">
        <f>Source!$D$9</f>
        <v/>
      </c>
      <c r="C46" s="48" t="s">
        <v>151</v>
      </c>
      <c r="D46" s="49" t="str">
        <f>Source!$B$2</f>
        <v/>
      </c>
      <c r="E46" s="26" t="s">
        <v>152</v>
      </c>
      <c r="F46" s="27"/>
      <c r="G46" s="36"/>
      <c r="H46" s="29"/>
      <c r="I46" s="29"/>
      <c r="J46" s="70"/>
      <c r="K46" s="91"/>
      <c r="L46" s="91"/>
      <c r="M46" s="91"/>
      <c r="N46" s="91"/>
      <c r="O46" s="91"/>
      <c r="P46" s="91"/>
      <c r="Q46" s="91"/>
      <c r="R46" s="91"/>
      <c r="S46" s="91"/>
      <c r="T46" s="91"/>
      <c r="U46" s="92"/>
    </row>
    <row r="47" ht="18.75" customHeight="1">
      <c r="A47" s="82" t="s">
        <v>153</v>
      </c>
      <c r="B47" s="83" t="str">
        <f>Source!$D$16</f>
        <v/>
      </c>
      <c r="C47" s="84" t="s">
        <v>154</v>
      </c>
      <c r="D47" s="85" t="str">
        <f>Source!$B$3</f>
        <v/>
      </c>
      <c r="E47" s="43" t="s">
        <v>155</v>
      </c>
      <c r="F47" s="27"/>
      <c r="G47" s="27"/>
      <c r="H47" s="28"/>
      <c r="I47" s="36"/>
      <c r="J47" s="70"/>
      <c r="K47" s="91"/>
      <c r="L47" s="91"/>
      <c r="M47" s="91"/>
      <c r="N47" s="91"/>
      <c r="O47" s="91"/>
      <c r="P47" s="91"/>
      <c r="Q47" s="91"/>
      <c r="R47" s="91"/>
      <c r="S47" s="91"/>
      <c r="T47" s="91"/>
      <c r="U47" s="92"/>
    </row>
    <row r="48" ht="18.75" customHeight="1">
      <c r="A48" s="130" t="s">
        <v>156</v>
      </c>
      <c r="B48" s="131" t="str">
        <f>Source!$D$6</f>
        <v/>
      </c>
      <c r="C48" s="132" t="s">
        <v>157</v>
      </c>
      <c r="D48" s="133" t="str">
        <f>Source!$B$2</f>
        <v/>
      </c>
      <c r="E48" s="26" t="s">
        <v>158</v>
      </c>
      <c r="F48" s="27"/>
      <c r="G48" s="28"/>
      <c r="H48" s="36"/>
      <c r="I48" s="29"/>
      <c r="J48" s="70"/>
      <c r="K48" s="91"/>
      <c r="L48" s="91"/>
      <c r="M48" s="91"/>
      <c r="N48" s="91"/>
      <c r="O48" s="91"/>
      <c r="P48" s="91"/>
      <c r="Q48" s="91"/>
      <c r="R48" s="91"/>
      <c r="S48" s="91"/>
      <c r="T48" s="91"/>
      <c r="U48" s="92"/>
    </row>
    <row r="49" ht="18.75" customHeight="1">
      <c r="A49" s="93" t="s">
        <v>159</v>
      </c>
      <c r="B49" s="94" t="str">
        <f>Source!$D$3</f>
        <v/>
      </c>
      <c r="C49" s="95" t="s">
        <v>160</v>
      </c>
      <c r="D49" s="96" t="str">
        <f>Source!$B$3</f>
        <v/>
      </c>
      <c r="E49" s="43" t="s">
        <v>161</v>
      </c>
      <c r="F49" s="27"/>
      <c r="G49" s="27"/>
      <c r="H49" s="27"/>
      <c r="I49" s="36"/>
      <c r="J49" s="70"/>
      <c r="K49" s="91"/>
      <c r="L49" s="91"/>
      <c r="M49" s="91"/>
      <c r="N49" s="91"/>
      <c r="O49" s="91"/>
      <c r="P49" s="91"/>
      <c r="Q49" s="91"/>
      <c r="R49" s="91"/>
      <c r="S49" s="91"/>
      <c r="T49" s="91"/>
      <c r="U49" s="92"/>
    </row>
    <row r="50" ht="18.75" customHeight="1">
      <c r="A50" s="32" t="s">
        <v>162</v>
      </c>
      <c r="B50" s="33" t="str">
        <f>Source!$D$18</f>
        <v/>
      </c>
      <c r="C50" s="34" t="s">
        <v>163</v>
      </c>
      <c r="D50" s="35" t="str">
        <f>Source!$B$2</f>
        <v/>
      </c>
      <c r="E50" s="26" t="s">
        <v>164</v>
      </c>
      <c r="F50" s="27"/>
      <c r="G50" s="27"/>
      <c r="H50" s="36"/>
      <c r="I50" s="29"/>
      <c r="J50" s="70"/>
      <c r="K50" s="91"/>
      <c r="L50" s="91"/>
      <c r="M50" s="91"/>
      <c r="N50" s="91"/>
      <c r="O50" s="91"/>
      <c r="P50" s="91"/>
      <c r="Q50" s="91"/>
      <c r="R50" s="91"/>
      <c r="S50" s="91"/>
      <c r="T50" s="91"/>
      <c r="U50" s="92"/>
    </row>
    <row r="51" ht="18.75" customHeight="1">
      <c r="A51" s="46" t="s">
        <v>165</v>
      </c>
      <c r="B51" s="47" t="str">
        <f>Source!$D$9</f>
        <v/>
      </c>
      <c r="C51" s="48" t="s">
        <v>166</v>
      </c>
      <c r="D51" s="49" t="str">
        <f>Source!$B$3</f>
        <v/>
      </c>
      <c r="E51" s="43" t="s">
        <v>167</v>
      </c>
      <c r="F51" s="27"/>
      <c r="G51" s="27"/>
      <c r="H51" s="27"/>
      <c r="I51" s="50"/>
      <c r="J51" s="51"/>
      <c r="K51" s="91"/>
      <c r="L51" s="91"/>
      <c r="M51" s="91"/>
      <c r="N51" s="91"/>
      <c r="O51" s="91"/>
      <c r="P51" s="91"/>
      <c r="Q51" s="91"/>
      <c r="R51" s="91"/>
      <c r="S51" s="91"/>
      <c r="T51" s="91"/>
      <c r="U51" s="92"/>
    </row>
    <row r="52" ht="18.75" customHeight="1">
      <c r="A52" s="134" t="s">
        <v>168</v>
      </c>
      <c r="B52" s="135" t="str">
        <f>Source!$D$2</f>
        <v/>
      </c>
      <c r="C52" s="136" t="s">
        <v>169</v>
      </c>
      <c r="D52" s="137" t="str">
        <f>Source!$B$2</f>
        <v/>
      </c>
      <c r="E52" s="26" t="s">
        <v>170</v>
      </c>
      <c r="F52" s="27"/>
      <c r="G52" s="27"/>
      <c r="H52" s="36"/>
      <c r="I52" s="29"/>
      <c r="J52" s="70"/>
      <c r="K52" s="91"/>
      <c r="L52" s="91"/>
      <c r="M52" s="91"/>
      <c r="N52" s="91"/>
      <c r="O52" s="91"/>
      <c r="P52" s="91"/>
      <c r="Q52" s="91"/>
      <c r="R52" s="91"/>
      <c r="S52" s="91"/>
      <c r="T52" s="91"/>
      <c r="U52" s="92"/>
    </row>
    <row r="53" ht="18.75" customHeight="1">
      <c r="A53" s="75" t="s">
        <v>171</v>
      </c>
      <c r="B53" s="76" t="str">
        <f>Source!$D$8</f>
        <v/>
      </c>
      <c r="C53" s="77" t="s">
        <v>172</v>
      </c>
      <c r="D53" s="78" t="str">
        <f>Source!$B$3</f>
        <v/>
      </c>
      <c r="E53" s="43" t="s">
        <v>173</v>
      </c>
      <c r="F53" s="27"/>
      <c r="G53" s="27"/>
      <c r="H53" s="27"/>
      <c r="I53" s="27"/>
      <c r="J53" s="28"/>
      <c r="K53" s="91"/>
      <c r="L53" s="91"/>
      <c r="M53" s="91"/>
      <c r="N53" s="91"/>
      <c r="O53" s="91"/>
      <c r="P53" s="91"/>
      <c r="Q53" s="91"/>
      <c r="R53" s="91"/>
      <c r="S53" s="91"/>
      <c r="T53" s="91"/>
      <c r="U53" s="92"/>
    </row>
    <row r="54" ht="18.75" customHeight="1">
      <c r="A54" s="46" t="s">
        <v>174</v>
      </c>
      <c r="B54" s="47" t="str">
        <f>Source!$D$9</f>
        <v/>
      </c>
      <c r="C54" s="48" t="s">
        <v>175</v>
      </c>
      <c r="D54" s="49" t="str">
        <f>Source!$B$2</f>
        <v/>
      </c>
      <c r="E54" s="26" t="s">
        <v>176</v>
      </c>
      <c r="F54" s="27"/>
      <c r="G54" s="27"/>
      <c r="H54" s="27"/>
      <c r="I54" s="36"/>
      <c r="J54" s="70"/>
      <c r="K54" s="91"/>
      <c r="L54" s="91"/>
      <c r="M54" s="91"/>
      <c r="N54" s="91"/>
      <c r="O54" s="91"/>
      <c r="P54" s="91"/>
      <c r="Q54" s="91"/>
      <c r="R54" s="91"/>
      <c r="S54" s="91"/>
      <c r="T54" s="91"/>
      <c r="U54" s="92"/>
    </row>
    <row r="55" ht="18.75" customHeight="1">
      <c r="A55" s="22" t="s">
        <v>177</v>
      </c>
      <c r="B55" s="23" t="str">
        <f>Source!$D$7</f>
        <v/>
      </c>
      <c r="C55" s="24" t="s">
        <v>178</v>
      </c>
      <c r="D55" s="25" t="str">
        <f>Source!$B$3</f>
        <v/>
      </c>
      <c r="E55" s="43" t="s">
        <v>179</v>
      </c>
      <c r="F55" s="27"/>
      <c r="G55" s="27"/>
      <c r="H55" s="50"/>
      <c r="I55" s="36"/>
      <c r="J55" s="70"/>
      <c r="K55" s="91"/>
      <c r="L55" s="91"/>
      <c r="M55" s="91"/>
      <c r="N55" s="91"/>
      <c r="O55" s="91"/>
      <c r="P55" s="91"/>
      <c r="Q55" s="91"/>
      <c r="R55" s="91"/>
      <c r="S55" s="91"/>
      <c r="T55" s="91"/>
      <c r="U55" s="92"/>
    </row>
    <row r="56" ht="18.75" customHeight="1">
      <c r="A56" s="56" t="s">
        <v>180</v>
      </c>
      <c r="B56" s="57" t="str">
        <f>Source!$D$11</f>
        <v/>
      </c>
      <c r="C56" s="58" t="s">
        <v>181</v>
      </c>
      <c r="D56" s="59" t="str">
        <f>Source!$B$2</f>
        <v/>
      </c>
      <c r="E56" s="26" t="s">
        <v>182</v>
      </c>
      <c r="F56" s="27"/>
      <c r="G56" s="27"/>
      <c r="H56" s="36"/>
      <c r="I56" s="29"/>
      <c r="J56" s="70"/>
      <c r="K56" s="91"/>
      <c r="L56" s="91"/>
      <c r="M56" s="91"/>
      <c r="N56" s="91"/>
      <c r="O56" s="91"/>
      <c r="P56" s="91"/>
      <c r="Q56" s="91"/>
      <c r="R56" s="91"/>
      <c r="S56" s="91"/>
      <c r="T56" s="91"/>
      <c r="U56" s="92"/>
    </row>
    <row r="57" ht="18.75" customHeight="1">
      <c r="A57" s="56" t="s">
        <v>183</v>
      </c>
      <c r="B57" s="57" t="str">
        <f>Source!$D$11</f>
        <v/>
      </c>
      <c r="C57" s="58" t="s">
        <v>184</v>
      </c>
      <c r="D57" s="59" t="str">
        <f>Source!$B$3</f>
        <v/>
      </c>
      <c r="E57" s="43" t="s">
        <v>185</v>
      </c>
      <c r="F57" s="27"/>
      <c r="G57" s="27"/>
      <c r="H57" s="27"/>
      <c r="I57" s="50"/>
      <c r="J57" s="51"/>
      <c r="K57" s="91"/>
      <c r="L57" s="91"/>
      <c r="M57" s="91"/>
      <c r="N57" s="91"/>
      <c r="O57" s="91"/>
      <c r="P57" s="91"/>
      <c r="Q57" s="91"/>
      <c r="R57" s="91"/>
      <c r="S57" s="91"/>
      <c r="T57" s="91"/>
      <c r="U57" s="92"/>
    </row>
    <row r="58" ht="18.75" customHeight="1">
      <c r="A58" s="82" t="s">
        <v>186</v>
      </c>
      <c r="B58" s="83" t="str">
        <f>Source!$D$16</f>
        <v/>
      </c>
      <c r="C58" s="84" t="s">
        <v>187</v>
      </c>
      <c r="D58" s="85" t="str">
        <f>Source!$B$2</f>
        <v/>
      </c>
      <c r="E58" s="26" t="s">
        <v>188</v>
      </c>
      <c r="F58" s="27"/>
      <c r="G58" s="27"/>
      <c r="H58" s="27"/>
      <c r="I58" s="27"/>
      <c r="J58" s="51"/>
      <c r="K58" s="91"/>
      <c r="L58" s="91"/>
      <c r="M58" s="91"/>
      <c r="N58" s="91"/>
      <c r="O58" s="91"/>
      <c r="P58" s="91"/>
      <c r="Q58" s="91"/>
      <c r="R58" s="91"/>
      <c r="S58" s="91"/>
      <c r="T58" s="91"/>
      <c r="U58" s="92"/>
    </row>
    <row r="59" ht="18.75" customHeight="1">
      <c r="A59" s="46" t="s">
        <v>189</v>
      </c>
      <c r="B59" s="47" t="str">
        <f>Source!$D$9</f>
        <v/>
      </c>
      <c r="C59" s="48" t="s">
        <v>190</v>
      </c>
      <c r="D59" s="49" t="str">
        <f>Source!$B$3</f>
        <v/>
      </c>
      <c r="E59" s="43" t="s">
        <v>40</v>
      </c>
      <c r="F59" s="27"/>
      <c r="G59" s="27"/>
      <c r="H59" s="36"/>
      <c r="I59" s="29"/>
      <c r="J59" s="70"/>
      <c r="K59" s="91"/>
      <c r="L59" s="91"/>
      <c r="M59" s="91"/>
      <c r="N59" s="91"/>
      <c r="O59" s="91"/>
      <c r="P59" s="91"/>
      <c r="Q59" s="91"/>
      <c r="R59" s="91"/>
      <c r="S59" s="91"/>
      <c r="T59" s="91"/>
      <c r="U59" s="92"/>
    </row>
    <row r="60" ht="18.75" customHeight="1">
      <c r="A60" s="75" t="s">
        <v>191</v>
      </c>
      <c r="B60" s="76" t="str">
        <f>Source!$D$8</f>
        <v/>
      </c>
      <c r="C60" s="77" t="s">
        <v>192</v>
      </c>
      <c r="D60" s="78" t="str">
        <f>Source!$B$2</f>
        <v/>
      </c>
      <c r="E60" s="26" t="s">
        <v>193</v>
      </c>
      <c r="F60" s="27"/>
      <c r="G60" s="50"/>
      <c r="H60" s="36"/>
      <c r="I60" s="29"/>
      <c r="J60" s="70"/>
      <c r="K60" s="91"/>
      <c r="L60" s="91"/>
      <c r="M60" s="91"/>
      <c r="N60" s="91"/>
      <c r="O60" s="91"/>
      <c r="P60" s="91"/>
      <c r="Q60" s="91"/>
      <c r="R60" s="91"/>
      <c r="S60" s="91"/>
      <c r="T60" s="91"/>
      <c r="U60" s="92"/>
    </row>
    <row r="61" ht="18.75" customHeight="1">
      <c r="A61" s="66" t="s">
        <v>194</v>
      </c>
      <c r="B61" s="67" t="str">
        <f>Source!$D$5</f>
        <v/>
      </c>
      <c r="C61" s="68" t="s">
        <v>195</v>
      </c>
      <c r="D61" s="69" t="str">
        <f>Source!$B$3</f>
        <v/>
      </c>
      <c r="E61" s="43" t="s">
        <v>196</v>
      </c>
      <c r="F61" s="27"/>
      <c r="G61" s="36"/>
      <c r="H61" s="29"/>
      <c r="I61" s="29"/>
      <c r="J61" s="70"/>
      <c r="K61" s="91"/>
      <c r="L61" s="91"/>
      <c r="M61" s="91"/>
      <c r="N61" s="91"/>
      <c r="O61" s="91"/>
      <c r="P61" s="91"/>
      <c r="Q61" s="91"/>
      <c r="R61" s="91"/>
      <c r="S61" s="91"/>
      <c r="T61" s="91"/>
      <c r="U61" s="92"/>
    </row>
    <row r="62" ht="18.75" customHeight="1">
      <c r="A62" s="39" t="s">
        <v>197</v>
      </c>
      <c r="B62" s="40" t="str">
        <f>Source!$D$4</f>
        <v/>
      </c>
      <c r="C62" s="41" t="s">
        <v>198</v>
      </c>
      <c r="D62" s="42" t="str">
        <f>Source!$B$2</f>
        <v/>
      </c>
      <c r="E62" s="26" t="s">
        <v>199</v>
      </c>
      <c r="F62" s="27"/>
      <c r="G62" s="36"/>
      <c r="H62" s="29"/>
      <c r="I62" s="29"/>
      <c r="J62" s="70"/>
      <c r="K62" s="91"/>
      <c r="L62" s="91"/>
      <c r="M62" s="91"/>
      <c r="N62" s="91"/>
      <c r="O62" s="91"/>
      <c r="P62" s="91"/>
      <c r="Q62" s="91"/>
      <c r="R62" s="91"/>
      <c r="S62" s="91"/>
      <c r="T62" s="91"/>
      <c r="U62" s="92"/>
    </row>
    <row r="63" ht="18.75" customHeight="1">
      <c r="A63" s="22" t="s">
        <v>200</v>
      </c>
      <c r="B63" s="23" t="str">
        <f>Source!$D$7</f>
        <v/>
      </c>
      <c r="C63" s="24" t="s">
        <v>201</v>
      </c>
      <c r="D63" s="25" t="str">
        <f>Source!$B$3</f>
        <v/>
      </c>
      <c r="E63" s="43" t="s">
        <v>202</v>
      </c>
      <c r="F63" s="27"/>
      <c r="G63" s="27"/>
      <c r="H63" s="50"/>
      <c r="I63" s="29"/>
      <c r="J63" s="70"/>
      <c r="K63" s="91"/>
      <c r="L63" s="91"/>
      <c r="M63" s="91"/>
      <c r="N63" s="91"/>
      <c r="O63" s="91"/>
      <c r="P63" s="91"/>
      <c r="Q63" s="91"/>
      <c r="R63" s="91"/>
      <c r="S63" s="91"/>
      <c r="T63" s="91"/>
      <c r="U63" s="92"/>
    </row>
    <row r="64" ht="18.75" customHeight="1">
      <c r="A64" s="75" t="s">
        <v>203</v>
      </c>
      <c r="B64" s="76" t="str">
        <f>Source!$D$8</f>
        <v/>
      </c>
      <c r="C64" s="77" t="s">
        <v>204</v>
      </c>
      <c r="D64" s="78" t="str">
        <f>Source!$B$2</f>
        <v/>
      </c>
      <c r="E64" s="26" t="s">
        <v>205</v>
      </c>
      <c r="F64" s="27"/>
      <c r="G64" s="50"/>
      <c r="H64" s="36"/>
      <c r="I64" s="29"/>
      <c r="J64" s="70"/>
      <c r="K64" s="91"/>
      <c r="L64" s="91"/>
      <c r="M64" s="91"/>
      <c r="N64" s="91"/>
      <c r="O64" s="91"/>
      <c r="P64" s="91"/>
      <c r="Q64" s="91"/>
      <c r="R64" s="91"/>
      <c r="S64" s="91"/>
      <c r="T64" s="91"/>
      <c r="U64" s="92"/>
    </row>
    <row r="65" ht="18.75" customHeight="1">
      <c r="A65" s="32" t="s">
        <v>206</v>
      </c>
      <c r="B65" s="33" t="str">
        <f>Source!$D$18</f>
        <v/>
      </c>
      <c r="C65" s="34" t="s">
        <v>207</v>
      </c>
      <c r="D65" s="35" t="str">
        <f>Source!$B$3</f>
        <v/>
      </c>
      <c r="E65" s="43" t="s">
        <v>208</v>
      </c>
      <c r="F65" s="27"/>
      <c r="G65" s="36"/>
      <c r="H65" s="29"/>
      <c r="I65" s="29"/>
      <c r="J65" s="70"/>
      <c r="K65" s="91"/>
      <c r="L65" s="91"/>
      <c r="M65" s="91"/>
      <c r="N65" s="91"/>
      <c r="O65" s="91"/>
      <c r="P65" s="91"/>
      <c r="Q65" s="91"/>
      <c r="R65" s="91"/>
      <c r="S65" s="91"/>
      <c r="T65" s="91"/>
      <c r="U65" s="92"/>
    </row>
    <row r="66" ht="18.75" customHeight="1">
      <c r="A66" s="71" t="s">
        <v>209</v>
      </c>
      <c r="B66" s="72" t="str">
        <f>Source!$D$15</f>
        <v/>
      </c>
      <c r="C66" s="73" t="s">
        <v>210</v>
      </c>
      <c r="D66" s="74" t="str">
        <f>Source!$B$2</f>
        <v/>
      </c>
      <c r="E66" s="26" t="s">
        <v>211</v>
      </c>
      <c r="F66" s="27"/>
      <c r="G66" s="27"/>
      <c r="H66" s="36"/>
      <c r="I66" s="29"/>
      <c r="J66" s="70"/>
      <c r="K66" s="91"/>
      <c r="L66" s="91"/>
      <c r="M66" s="91"/>
      <c r="N66" s="91"/>
      <c r="O66" s="91"/>
      <c r="P66" s="91"/>
      <c r="Q66" s="91"/>
      <c r="R66" s="91"/>
      <c r="S66" s="91"/>
      <c r="T66" s="91"/>
      <c r="U66" s="92"/>
    </row>
    <row r="67" ht="18.75" customHeight="1">
      <c r="A67" s="62" t="s">
        <v>212</v>
      </c>
      <c r="B67" s="63" t="str">
        <f>Source!$D$14</f>
        <v/>
      </c>
      <c r="C67" s="64" t="s">
        <v>213</v>
      </c>
      <c r="D67" s="65" t="str">
        <f>Source!$B$3</f>
        <v/>
      </c>
      <c r="E67" s="43" t="s">
        <v>79</v>
      </c>
      <c r="F67" s="27"/>
      <c r="G67" s="27"/>
      <c r="H67" s="36"/>
      <c r="I67" s="29"/>
      <c r="J67" s="70"/>
      <c r="K67" s="91"/>
      <c r="L67" s="91"/>
      <c r="M67" s="91"/>
      <c r="N67" s="91"/>
      <c r="O67" s="91"/>
      <c r="P67" s="91"/>
      <c r="Q67" s="91"/>
      <c r="R67" s="91"/>
      <c r="S67" s="91"/>
      <c r="T67" s="91"/>
      <c r="U67" s="92"/>
    </row>
    <row r="68" ht="18.75" customHeight="1">
      <c r="A68" s="122" t="s">
        <v>214</v>
      </c>
      <c r="B68" s="123" t="str">
        <f>Source!$D$10</f>
        <v/>
      </c>
      <c r="C68" s="124" t="s">
        <v>215</v>
      </c>
      <c r="D68" s="125" t="str">
        <f>Source!$B$2</f>
        <v/>
      </c>
      <c r="E68" s="26" t="s">
        <v>182</v>
      </c>
      <c r="F68" s="27"/>
      <c r="G68" s="27"/>
      <c r="H68" s="36"/>
      <c r="I68" s="29"/>
      <c r="J68" s="70"/>
      <c r="K68" s="91"/>
      <c r="L68" s="91"/>
      <c r="M68" s="91"/>
      <c r="N68" s="91"/>
      <c r="O68" s="91"/>
      <c r="P68" s="91"/>
      <c r="Q68" s="91"/>
      <c r="R68" s="91"/>
      <c r="S68" s="91"/>
      <c r="T68" s="91"/>
      <c r="U68" s="92"/>
    </row>
    <row r="69" ht="18.75" customHeight="1">
      <c r="A69" s="32" t="s">
        <v>216</v>
      </c>
      <c r="B69" s="33" t="str">
        <f>Source!$D$18</f>
        <v/>
      </c>
      <c r="C69" s="34" t="s">
        <v>217</v>
      </c>
      <c r="D69" s="35" t="str">
        <f>Source!$B$3</f>
        <v/>
      </c>
      <c r="E69" s="43" t="s">
        <v>218</v>
      </c>
      <c r="F69" s="27"/>
      <c r="G69" s="27"/>
      <c r="H69" s="50"/>
      <c r="I69" s="36"/>
      <c r="J69" s="70"/>
      <c r="K69" s="91"/>
      <c r="L69" s="91"/>
      <c r="M69" s="91"/>
      <c r="N69" s="91"/>
      <c r="O69" s="91"/>
      <c r="P69" s="91"/>
      <c r="Q69" s="91"/>
      <c r="R69" s="91"/>
      <c r="S69" s="91"/>
      <c r="T69" s="91"/>
      <c r="U69" s="92"/>
    </row>
    <row r="70" ht="18.75" customHeight="1">
      <c r="A70" s="122" t="s">
        <v>219</v>
      </c>
      <c r="B70" s="123" t="str">
        <f>Source!$D$10</f>
        <v/>
      </c>
      <c r="C70" s="124" t="s">
        <v>220</v>
      </c>
      <c r="D70" s="125" t="str">
        <f>Source!$B$2</f>
        <v/>
      </c>
      <c r="E70" s="26" t="s">
        <v>221</v>
      </c>
      <c r="F70" s="27"/>
      <c r="G70" s="27"/>
      <c r="H70" s="27"/>
      <c r="I70" s="27"/>
      <c r="J70" s="51"/>
      <c r="K70" s="91"/>
      <c r="L70" s="91"/>
      <c r="M70" s="91"/>
      <c r="N70" s="91"/>
      <c r="O70" s="91"/>
      <c r="P70" s="91"/>
      <c r="Q70" s="91"/>
      <c r="R70" s="91"/>
      <c r="S70" s="91"/>
      <c r="T70" s="91"/>
      <c r="U70" s="92"/>
    </row>
    <row r="71" ht="18.75" customHeight="1">
      <c r="A71" s="39" t="s">
        <v>222</v>
      </c>
      <c r="B71" s="40" t="str">
        <f>Source!$D$4</f>
        <v/>
      </c>
      <c r="C71" s="41" t="s">
        <v>223</v>
      </c>
      <c r="D71" s="42" t="str">
        <f>Source!$B$3</f>
        <v/>
      </c>
      <c r="E71" s="43" t="s">
        <v>224</v>
      </c>
      <c r="F71" s="27"/>
      <c r="G71" s="27"/>
      <c r="H71" s="27"/>
      <c r="I71" s="50"/>
      <c r="J71" s="51"/>
      <c r="K71" s="91"/>
      <c r="L71" s="91"/>
      <c r="M71" s="91"/>
      <c r="N71" s="91"/>
      <c r="O71" s="91"/>
      <c r="P71" s="91"/>
      <c r="Q71" s="91"/>
      <c r="R71" s="91"/>
      <c r="S71" s="91"/>
      <c r="T71" s="91"/>
      <c r="U71" s="92"/>
    </row>
    <row r="72" ht="18.75" customHeight="1">
      <c r="A72" s="118" t="s">
        <v>225</v>
      </c>
      <c r="B72" s="119" t="str">
        <f>Source!$D$12</f>
        <v/>
      </c>
      <c r="C72" s="120" t="s">
        <v>226</v>
      </c>
      <c r="D72" s="121" t="str">
        <f>Source!$B$2</f>
        <v/>
      </c>
      <c r="E72" s="26" t="s">
        <v>227</v>
      </c>
      <c r="F72" s="27"/>
      <c r="G72" s="27"/>
      <c r="H72" s="27"/>
      <c r="I72" s="36"/>
      <c r="J72" s="70"/>
      <c r="K72" s="91"/>
      <c r="L72" s="91"/>
      <c r="M72" s="91"/>
      <c r="N72" s="91"/>
      <c r="O72" s="91"/>
      <c r="P72" s="91"/>
      <c r="Q72" s="91"/>
      <c r="R72" s="91"/>
      <c r="S72" s="91"/>
      <c r="T72" s="91"/>
      <c r="U72" s="92"/>
    </row>
    <row r="73" ht="18.75" customHeight="1">
      <c r="A73" s="106" t="s">
        <v>228</v>
      </c>
      <c r="B73" s="107" t="str">
        <f>Source!$D$13</f>
        <v/>
      </c>
      <c r="C73" s="108" t="s">
        <v>229</v>
      </c>
      <c r="D73" s="109" t="str">
        <f>Source!$B$3</f>
        <v/>
      </c>
      <c r="E73" s="43" t="s">
        <v>230</v>
      </c>
      <c r="F73" s="27"/>
      <c r="G73" s="27"/>
      <c r="H73" s="27"/>
      <c r="I73" s="50"/>
      <c r="J73" s="51"/>
      <c r="K73" s="91"/>
      <c r="L73" s="91"/>
      <c r="M73" s="91"/>
      <c r="N73" s="91"/>
      <c r="O73" s="91"/>
      <c r="P73" s="91"/>
      <c r="Q73" s="91"/>
      <c r="R73" s="91"/>
      <c r="S73" s="91"/>
      <c r="T73" s="91"/>
      <c r="U73" s="92"/>
    </row>
    <row r="74" ht="18.75" customHeight="1">
      <c r="A74" s="126" t="s">
        <v>231</v>
      </c>
      <c r="B74" s="127" t="str">
        <f>Source!$D$17</f>
        <v/>
      </c>
      <c r="C74" s="128" t="s">
        <v>232</v>
      </c>
      <c r="D74" s="129" t="str">
        <f>Source!$B$2</f>
        <v/>
      </c>
      <c r="E74" s="26" t="s">
        <v>233</v>
      </c>
      <c r="F74" s="27"/>
      <c r="G74" s="27"/>
      <c r="H74" s="27"/>
      <c r="I74" s="27"/>
      <c r="J74" s="51"/>
      <c r="K74" s="91"/>
      <c r="L74" s="91"/>
      <c r="M74" s="91"/>
      <c r="N74" s="91"/>
      <c r="O74" s="91"/>
      <c r="P74" s="91"/>
      <c r="Q74" s="91"/>
      <c r="R74" s="91"/>
      <c r="S74" s="91"/>
      <c r="T74" s="91"/>
      <c r="U74" s="92"/>
    </row>
    <row r="75" ht="18.75" customHeight="1">
      <c r="A75" s="39" t="s">
        <v>234</v>
      </c>
      <c r="B75" s="40" t="str">
        <f>Source!$D$4</f>
        <v/>
      </c>
      <c r="C75" s="41" t="s">
        <v>235</v>
      </c>
      <c r="D75" s="42" t="str">
        <f>Source!$B$3</f>
        <v/>
      </c>
      <c r="E75" s="43" t="s">
        <v>236</v>
      </c>
      <c r="F75" s="27"/>
      <c r="G75" s="27"/>
      <c r="H75" s="27"/>
      <c r="I75" s="50"/>
      <c r="J75" s="51"/>
      <c r="K75" s="91"/>
      <c r="L75" s="91"/>
      <c r="M75" s="91"/>
      <c r="N75" s="91"/>
      <c r="O75" s="91"/>
      <c r="P75" s="91"/>
      <c r="Q75" s="91"/>
      <c r="R75" s="91"/>
      <c r="S75" s="91"/>
      <c r="T75" s="91"/>
      <c r="U75" s="92"/>
    </row>
    <row r="76" ht="18.75" customHeight="1">
      <c r="A76" s="66" t="s">
        <v>237</v>
      </c>
      <c r="B76" s="67" t="str">
        <f>Source!$D$5</f>
        <v/>
      </c>
      <c r="C76" s="68" t="s">
        <v>238</v>
      </c>
      <c r="D76" s="69" t="str">
        <f>Source!$B$2</f>
        <v/>
      </c>
      <c r="E76" s="26" t="s">
        <v>239</v>
      </c>
      <c r="F76" s="27"/>
      <c r="G76" s="27"/>
      <c r="H76" s="27"/>
      <c r="I76" s="50"/>
      <c r="J76" s="51"/>
      <c r="K76" s="91"/>
      <c r="L76" s="91"/>
      <c r="M76" s="91"/>
      <c r="N76" s="91"/>
      <c r="O76" s="91"/>
      <c r="P76" s="91"/>
      <c r="Q76" s="91"/>
      <c r="R76" s="91"/>
      <c r="S76" s="91"/>
      <c r="T76" s="91"/>
      <c r="U76" s="92"/>
    </row>
    <row r="77" ht="18.75" customHeight="1">
      <c r="A77" s="32" t="s">
        <v>240</v>
      </c>
      <c r="B77" s="33" t="str">
        <f>Source!$D$18</f>
        <v/>
      </c>
      <c r="C77" s="34" t="s">
        <v>241</v>
      </c>
      <c r="D77" s="35" t="str">
        <f>Source!$B$3</f>
        <v/>
      </c>
      <c r="E77" s="43" t="s">
        <v>242</v>
      </c>
      <c r="F77" s="27"/>
      <c r="G77" s="27"/>
      <c r="H77" s="36"/>
      <c r="I77" s="29"/>
      <c r="J77" s="70"/>
      <c r="K77" s="91"/>
      <c r="L77" s="91"/>
      <c r="M77" s="91"/>
      <c r="N77" s="91"/>
      <c r="O77" s="91"/>
      <c r="P77" s="91"/>
      <c r="Q77" s="91"/>
      <c r="R77" s="91"/>
      <c r="S77" s="91"/>
      <c r="T77" s="91"/>
      <c r="U77" s="92"/>
    </row>
    <row r="78" ht="18.75" customHeight="1">
      <c r="A78" s="93" t="s">
        <v>243</v>
      </c>
      <c r="B78" s="94" t="str">
        <f>Source!$D$3</f>
        <v/>
      </c>
      <c r="C78" s="95" t="s">
        <v>244</v>
      </c>
      <c r="D78" s="96" t="str">
        <f>Source!$B$2</f>
        <v/>
      </c>
      <c r="E78" s="26" t="s">
        <v>242</v>
      </c>
      <c r="F78" s="27"/>
      <c r="G78" s="27"/>
      <c r="H78" s="36"/>
      <c r="I78" s="29"/>
      <c r="J78" s="70"/>
      <c r="K78" s="91"/>
      <c r="L78" s="91"/>
      <c r="M78" s="91"/>
      <c r="N78" s="91"/>
      <c r="O78" s="91"/>
      <c r="P78" s="91"/>
      <c r="Q78" s="91"/>
      <c r="R78" s="91"/>
      <c r="S78" s="91"/>
      <c r="T78" s="91"/>
      <c r="U78" s="92"/>
    </row>
    <row r="79" ht="18.75" customHeight="1">
      <c r="A79" s="118" t="s">
        <v>245</v>
      </c>
      <c r="B79" s="119" t="str">
        <f>Source!$D$12</f>
        <v/>
      </c>
      <c r="C79" s="120" t="s">
        <v>246</v>
      </c>
      <c r="D79" s="121" t="str">
        <f>Source!$B$3</f>
        <v/>
      </c>
      <c r="E79" s="43" t="s">
        <v>196</v>
      </c>
      <c r="F79" s="27"/>
      <c r="G79" s="27"/>
      <c r="H79" s="36"/>
      <c r="I79" s="29"/>
      <c r="J79" s="70"/>
      <c r="K79" s="91"/>
      <c r="L79" s="91"/>
      <c r="M79" s="91"/>
      <c r="N79" s="91"/>
      <c r="O79" s="91"/>
      <c r="P79" s="91"/>
      <c r="Q79" s="91"/>
      <c r="R79" s="91"/>
      <c r="S79" s="91"/>
      <c r="T79" s="91"/>
      <c r="U79" s="92"/>
    </row>
    <row r="80" ht="18.75" customHeight="1">
      <c r="A80" s="66" t="s">
        <v>247</v>
      </c>
      <c r="B80" s="67" t="str">
        <f>Source!$D$5</f>
        <v/>
      </c>
      <c r="C80" s="68" t="s">
        <v>248</v>
      </c>
      <c r="D80" s="69" t="str">
        <f>Source!$B$2</f>
        <v/>
      </c>
      <c r="E80" s="26" t="s">
        <v>249</v>
      </c>
      <c r="F80" s="27"/>
      <c r="G80" s="27"/>
      <c r="H80" s="27"/>
      <c r="I80" s="50"/>
      <c r="J80" s="51"/>
      <c r="K80" s="91"/>
      <c r="L80" s="91"/>
      <c r="M80" s="91"/>
      <c r="N80" s="91"/>
      <c r="O80" s="91"/>
      <c r="P80" s="91"/>
      <c r="Q80" s="91"/>
      <c r="R80" s="91"/>
      <c r="S80" s="91"/>
      <c r="T80" s="91"/>
      <c r="U80" s="92"/>
    </row>
    <row r="81" ht="18.75" customHeight="1">
      <c r="A81" s="22" t="s">
        <v>250</v>
      </c>
      <c r="B81" s="23" t="str">
        <f>Source!$D$7</f>
        <v/>
      </c>
      <c r="C81" s="24" t="s">
        <v>251</v>
      </c>
      <c r="D81" s="25" t="str">
        <f>Source!$B$3</f>
        <v/>
      </c>
      <c r="E81" s="43" t="s">
        <v>252</v>
      </c>
      <c r="F81" s="27"/>
      <c r="G81" s="27"/>
      <c r="H81" s="27"/>
      <c r="I81" s="50"/>
      <c r="J81" s="51"/>
      <c r="K81" s="91"/>
      <c r="L81" s="91"/>
      <c r="M81" s="91"/>
      <c r="N81" s="91"/>
      <c r="O81" s="91"/>
      <c r="P81" s="91"/>
      <c r="Q81" s="91"/>
      <c r="R81" s="91"/>
      <c r="S81" s="91"/>
      <c r="T81" s="91"/>
      <c r="U81" s="92"/>
    </row>
    <row r="82" ht="18.75" customHeight="1">
      <c r="A82" s="93" t="s">
        <v>253</v>
      </c>
      <c r="B82" s="94" t="str">
        <f>Source!$D$3</f>
        <v/>
      </c>
      <c r="C82" s="95" t="s">
        <v>254</v>
      </c>
      <c r="D82" s="96" t="str">
        <f>Source!$B$2</f>
        <v/>
      </c>
      <c r="E82" s="26" t="s">
        <v>68</v>
      </c>
      <c r="F82" s="27"/>
      <c r="G82" s="27"/>
      <c r="H82" s="36"/>
      <c r="I82" s="29"/>
      <c r="J82" s="70"/>
      <c r="K82" s="91"/>
      <c r="L82" s="91"/>
      <c r="M82" s="91"/>
      <c r="N82" s="91"/>
      <c r="O82" s="91"/>
      <c r="P82" s="91"/>
      <c r="Q82" s="91"/>
      <c r="R82" s="91"/>
      <c r="S82" s="91"/>
      <c r="T82" s="91"/>
      <c r="U82" s="92"/>
    </row>
    <row r="83" ht="18.75" customHeight="1">
      <c r="A83" s="126" t="s">
        <v>255</v>
      </c>
      <c r="B83" s="127" t="str">
        <f>Source!$D$17</f>
        <v/>
      </c>
      <c r="C83" s="128" t="s">
        <v>256</v>
      </c>
      <c r="D83" s="129" t="str">
        <f>Source!$B$3</f>
        <v/>
      </c>
      <c r="E83" s="43" t="s">
        <v>257</v>
      </c>
      <c r="F83" s="27"/>
      <c r="G83" s="27"/>
      <c r="H83" s="27"/>
      <c r="I83" s="50"/>
      <c r="J83" s="51"/>
      <c r="K83" s="91"/>
      <c r="L83" s="91"/>
      <c r="M83" s="91"/>
      <c r="N83" s="91"/>
      <c r="O83" s="91"/>
      <c r="P83" s="91"/>
      <c r="Q83" s="91"/>
      <c r="R83" s="91"/>
      <c r="S83" s="91"/>
      <c r="T83" s="91"/>
      <c r="U83" s="92"/>
    </row>
    <row r="84" ht="18.75" customHeight="1">
      <c r="A84" s="134" t="s">
        <v>258</v>
      </c>
      <c r="B84" s="135" t="str">
        <f>Source!$D$2</f>
        <v/>
      </c>
      <c r="C84" s="136" t="s">
        <v>259</v>
      </c>
      <c r="D84" s="137" t="str">
        <f>Source!$B$2</f>
        <v/>
      </c>
      <c r="E84" s="26" t="s">
        <v>260</v>
      </c>
      <c r="F84" s="27"/>
      <c r="G84" s="27"/>
      <c r="H84" s="36"/>
      <c r="I84" s="29"/>
      <c r="J84" s="70"/>
      <c r="K84" s="91"/>
      <c r="L84" s="91"/>
      <c r="M84" s="91"/>
      <c r="N84" s="91"/>
      <c r="O84" s="91"/>
      <c r="P84" s="91"/>
      <c r="Q84" s="91"/>
      <c r="R84" s="91"/>
      <c r="S84" s="91"/>
      <c r="T84" s="91"/>
      <c r="U84" s="92"/>
    </row>
    <row r="85" ht="18.75" customHeight="1">
      <c r="A85" s="62" t="s">
        <v>261</v>
      </c>
      <c r="B85" s="63" t="str">
        <f>Source!$D$14</f>
        <v/>
      </c>
      <c r="C85" s="64" t="s">
        <v>262</v>
      </c>
      <c r="D85" s="65" t="str">
        <f>Source!$B$3</f>
        <v/>
      </c>
      <c r="E85" s="43" t="s">
        <v>79</v>
      </c>
      <c r="F85" s="27"/>
      <c r="G85" s="27"/>
      <c r="H85" s="36"/>
      <c r="I85" s="29"/>
      <c r="J85" s="70"/>
      <c r="K85" s="91"/>
      <c r="L85" s="91"/>
      <c r="M85" s="91"/>
      <c r="N85" s="91"/>
      <c r="O85" s="91"/>
      <c r="P85" s="91"/>
      <c r="Q85" s="91"/>
      <c r="R85" s="91"/>
      <c r="S85" s="91"/>
      <c r="T85" s="91"/>
      <c r="U85" s="92"/>
    </row>
    <row r="86" ht="18.75" customHeight="1">
      <c r="A86" s="52" t="s">
        <v>263</v>
      </c>
      <c r="B86" s="53" t="str">
        <f>Source!$D$19</f>
        <v/>
      </c>
      <c r="C86" s="54" t="s">
        <v>264</v>
      </c>
      <c r="D86" s="55" t="str">
        <f>Source!$B$2</f>
        <v/>
      </c>
      <c r="E86" s="26" t="s">
        <v>182</v>
      </c>
      <c r="F86" s="27"/>
      <c r="G86" s="27"/>
      <c r="H86" s="36"/>
      <c r="I86" s="29"/>
      <c r="J86" s="70"/>
      <c r="K86" s="91"/>
      <c r="L86" s="91"/>
      <c r="M86" s="91"/>
      <c r="N86" s="91"/>
      <c r="O86" s="91"/>
      <c r="P86" s="91"/>
      <c r="Q86" s="91"/>
      <c r="R86" s="91"/>
      <c r="S86" s="91"/>
      <c r="T86" s="91"/>
      <c r="U86" s="92"/>
    </row>
    <row r="87" ht="18.75" customHeight="1">
      <c r="A87" s="71" t="s">
        <v>265</v>
      </c>
      <c r="B87" s="72" t="str">
        <f>Source!$D$15</f>
        <v/>
      </c>
      <c r="C87" s="73" t="s">
        <v>266</v>
      </c>
      <c r="D87" s="74" t="str">
        <f>Source!$B$3</f>
        <v/>
      </c>
      <c r="E87" s="43" t="s">
        <v>182</v>
      </c>
      <c r="F87" s="27"/>
      <c r="G87" s="28"/>
      <c r="H87" s="36"/>
      <c r="I87" s="29"/>
      <c r="J87" s="70"/>
      <c r="K87" s="91"/>
      <c r="L87" s="91"/>
      <c r="M87" s="91"/>
      <c r="N87" s="91"/>
      <c r="O87" s="91"/>
      <c r="P87" s="91"/>
      <c r="Q87" s="91"/>
      <c r="R87" s="91"/>
      <c r="S87" s="91"/>
      <c r="T87" s="91"/>
      <c r="U87" s="92"/>
    </row>
    <row r="88" ht="18.75" customHeight="1">
      <c r="A88" s="82" t="s">
        <v>267</v>
      </c>
      <c r="B88" s="83" t="str">
        <f>Source!$D$16</f>
        <v/>
      </c>
      <c r="C88" s="84" t="s">
        <v>268</v>
      </c>
      <c r="D88" s="85" t="str">
        <f>Source!$B$2</f>
        <v/>
      </c>
      <c r="E88" s="26" t="s">
        <v>269</v>
      </c>
      <c r="F88" s="27"/>
      <c r="G88" s="27"/>
      <c r="H88" s="36"/>
      <c r="I88" s="29"/>
      <c r="J88" s="70"/>
      <c r="K88" s="91"/>
      <c r="L88" s="91"/>
      <c r="M88" s="91"/>
      <c r="N88" s="91"/>
      <c r="O88" s="91"/>
      <c r="P88" s="91"/>
      <c r="Q88" s="91"/>
      <c r="R88" s="91"/>
      <c r="S88" s="91"/>
      <c r="T88" s="91"/>
      <c r="U88" s="92"/>
    </row>
    <row r="89" ht="18.75" customHeight="1">
      <c r="A89" s="56" t="s">
        <v>270</v>
      </c>
      <c r="B89" s="57" t="str">
        <f>Source!$D$11</f>
        <v/>
      </c>
      <c r="C89" s="58" t="s">
        <v>271</v>
      </c>
      <c r="D89" s="59" t="str">
        <f>Source!$B$3</f>
        <v/>
      </c>
      <c r="E89" s="43" t="s">
        <v>272</v>
      </c>
      <c r="F89" s="27"/>
      <c r="G89" s="27"/>
      <c r="H89" s="27"/>
      <c r="I89" s="50"/>
      <c r="J89" s="51"/>
      <c r="K89" s="91"/>
      <c r="L89" s="91"/>
      <c r="M89" s="91"/>
      <c r="N89" s="91"/>
      <c r="O89" s="91"/>
      <c r="P89" s="91"/>
      <c r="Q89" s="91"/>
      <c r="R89" s="91"/>
      <c r="S89" s="91"/>
      <c r="T89" s="91"/>
      <c r="U89" s="92"/>
    </row>
    <row r="90" ht="18.75" customHeight="1">
      <c r="A90" s="46" t="s">
        <v>273</v>
      </c>
      <c r="B90" s="47" t="str">
        <f>Source!$D$9</f>
        <v/>
      </c>
      <c r="C90" s="48" t="s">
        <v>274</v>
      </c>
      <c r="D90" s="49" t="str">
        <f>Source!$B$2</f>
        <v/>
      </c>
      <c r="E90" s="26" t="s">
        <v>90</v>
      </c>
      <c r="F90" s="27"/>
      <c r="G90" s="27"/>
      <c r="H90" s="36"/>
      <c r="I90" s="29"/>
      <c r="J90" s="70"/>
      <c r="K90" s="91"/>
      <c r="L90" s="91"/>
      <c r="M90" s="91"/>
      <c r="N90" s="91"/>
      <c r="O90" s="91"/>
      <c r="P90" s="91"/>
      <c r="Q90" s="91"/>
      <c r="R90" s="91"/>
      <c r="S90" s="91"/>
      <c r="T90" s="91"/>
      <c r="U90" s="92"/>
    </row>
    <row r="91" ht="18.75" customHeight="1">
      <c r="A91" s="46" t="s">
        <v>275</v>
      </c>
      <c r="B91" s="47" t="str">
        <f>Source!$D$9</f>
        <v/>
      </c>
      <c r="C91" s="48" t="s">
        <v>276</v>
      </c>
      <c r="D91" s="49" t="str">
        <f>Source!$B$3</f>
        <v/>
      </c>
      <c r="E91" s="43" t="s">
        <v>90</v>
      </c>
      <c r="F91" s="27"/>
      <c r="G91" s="50"/>
      <c r="H91" s="36"/>
      <c r="I91" s="29"/>
      <c r="J91" s="70"/>
      <c r="K91" s="91"/>
      <c r="L91" s="91"/>
      <c r="M91" s="91"/>
      <c r="N91" s="91"/>
      <c r="O91" s="91"/>
      <c r="P91" s="91"/>
      <c r="Q91" s="91"/>
      <c r="R91" s="91"/>
      <c r="S91" s="91"/>
      <c r="T91" s="91"/>
      <c r="U91" s="92"/>
    </row>
    <row r="92" ht="18.75" customHeight="1">
      <c r="A92" s="134" t="s">
        <v>277</v>
      </c>
      <c r="B92" s="135" t="str">
        <f>Source!$D$2</f>
        <v/>
      </c>
      <c r="C92" s="136" t="s">
        <v>278</v>
      </c>
      <c r="D92" s="137" t="str">
        <f>Source!$B$2</f>
        <v/>
      </c>
      <c r="E92" s="26" t="s">
        <v>279</v>
      </c>
      <c r="F92" s="27"/>
      <c r="G92" s="27"/>
      <c r="H92" s="50"/>
      <c r="I92" s="36"/>
      <c r="J92" s="70"/>
      <c r="K92" s="91"/>
      <c r="L92" s="91"/>
      <c r="M92" s="91"/>
      <c r="N92" s="91"/>
      <c r="O92" s="91"/>
      <c r="P92" s="91"/>
      <c r="Q92" s="91"/>
      <c r="R92" s="91"/>
      <c r="S92" s="91"/>
      <c r="T92" s="91"/>
      <c r="U92" s="92"/>
    </row>
    <row r="93" ht="18.75" customHeight="1">
      <c r="A93" s="71" t="s">
        <v>280</v>
      </c>
      <c r="B93" s="72" t="str">
        <f>Source!$D$15</f>
        <v/>
      </c>
      <c r="C93" s="73" t="s">
        <v>281</v>
      </c>
      <c r="D93" s="74" t="str">
        <f>Source!$B$3</f>
        <v/>
      </c>
      <c r="E93" s="43" t="s">
        <v>282</v>
      </c>
      <c r="F93" s="27"/>
      <c r="G93" s="27"/>
      <c r="H93" s="27"/>
      <c r="I93" s="50"/>
      <c r="J93" s="51"/>
      <c r="K93" s="91"/>
      <c r="L93" s="91"/>
      <c r="M93" s="91"/>
      <c r="N93" s="91"/>
      <c r="O93" s="91"/>
      <c r="P93" s="91"/>
      <c r="Q93" s="91"/>
      <c r="R93" s="91"/>
      <c r="S93" s="91"/>
      <c r="T93" s="91"/>
      <c r="U93" s="92"/>
    </row>
    <row r="94" ht="18.75" customHeight="1">
      <c r="A94" s="32" t="s">
        <v>283</v>
      </c>
      <c r="B94" s="33" t="str">
        <f>Source!$D$18</f>
        <v/>
      </c>
      <c r="C94" s="34" t="s">
        <v>284</v>
      </c>
      <c r="D94" s="35" t="str">
        <f>Source!$B$2</f>
        <v/>
      </c>
      <c r="E94" s="26" t="s">
        <v>182</v>
      </c>
      <c r="F94" s="27"/>
      <c r="G94" s="27"/>
      <c r="H94" s="36"/>
      <c r="I94" s="29"/>
      <c r="J94" s="70"/>
      <c r="K94" s="91"/>
      <c r="L94" s="91"/>
      <c r="M94" s="91"/>
      <c r="N94" s="91"/>
      <c r="O94" s="91"/>
      <c r="P94" s="91"/>
      <c r="Q94" s="91"/>
      <c r="R94" s="91"/>
      <c r="S94" s="91"/>
      <c r="T94" s="91"/>
      <c r="U94" s="92"/>
    </row>
    <row r="95" ht="18.75" customHeight="1">
      <c r="A95" s="66" t="s">
        <v>285</v>
      </c>
      <c r="B95" s="67" t="str">
        <f>Source!$D$5</f>
        <v/>
      </c>
      <c r="C95" s="68" t="s">
        <v>286</v>
      </c>
      <c r="D95" s="69" t="str">
        <f>Source!$B$3</f>
        <v/>
      </c>
      <c r="E95" s="43" t="s">
        <v>287</v>
      </c>
      <c r="F95" s="27"/>
      <c r="G95" s="27"/>
      <c r="H95" s="50"/>
      <c r="I95" s="36"/>
      <c r="J95" s="70"/>
      <c r="K95" s="91"/>
      <c r="L95" s="91"/>
      <c r="M95" s="91"/>
      <c r="N95" s="91"/>
      <c r="O95" s="91"/>
      <c r="P95" s="91"/>
      <c r="Q95" s="91"/>
      <c r="R95" s="91"/>
      <c r="S95" s="91"/>
      <c r="T95" s="91"/>
      <c r="U95" s="92"/>
    </row>
    <row r="96" ht="18.75" customHeight="1">
      <c r="A96" s="39" t="s">
        <v>288</v>
      </c>
      <c r="B96" s="40" t="str">
        <f>Source!$D$4</f>
        <v/>
      </c>
      <c r="C96" s="41" t="s">
        <v>289</v>
      </c>
      <c r="D96" s="42" t="str">
        <f>Source!$B$2</f>
        <v/>
      </c>
      <c r="E96" s="138" t="s">
        <v>79</v>
      </c>
      <c r="F96" s="139"/>
      <c r="G96" s="140"/>
      <c r="H96" s="36"/>
      <c r="I96" s="29"/>
      <c r="J96" s="70"/>
      <c r="K96" s="91"/>
      <c r="L96" s="91"/>
      <c r="M96" s="91"/>
      <c r="N96" s="91"/>
      <c r="O96" s="91"/>
      <c r="P96" s="91"/>
      <c r="Q96" s="91"/>
      <c r="R96" s="91"/>
      <c r="S96" s="91"/>
      <c r="T96" s="91"/>
      <c r="U96" s="92"/>
    </row>
    <row r="97" ht="18.75" customHeight="1">
      <c r="A97" s="39" t="s">
        <v>290</v>
      </c>
      <c r="B97" s="40" t="str">
        <f>Source!$D$4</f>
        <v/>
      </c>
      <c r="C97" s="41" t="s">
        <v>291</v>
      </c>
      <c r="D97" s="42" t="str">
        <f>Source!$B$3</f>
        <v/>
      </c>
      <c r="E97" s="43" t="s">
        <v>292</v>
      </c>
      <c r="F97" s="27"/>
      <c r="G97" s="27"/>
      <c r="H97" s="27"/>
      <c r="I97" s="27"/>
      <c r="J97" s="51"/>
      <c r="K97" s="91"/>
      <c r="L97" s="91"/>
      <c r="M97" s="91"/>
      <c r="N97" s="91"/>
      <c r="O97" s="91"/>
      <c r="P97" s="91"/>
      <c r="Q97" s="91"/>
      <c r="R97" s="91"/>
      <c r="S97" s="91"/>
      <c r="T97" s="91"/>
      <c r="U97" s="92"/>
    </row>
    <row r="98" ht="18.75" customHeight="1">
      <c r="A98" s="82" t="s">
        <v>293</v>
      </c>
      <c r="B98" s="83" t="str">
        <f>Source!$D$16</f>
        <v/>
      </c>
      <c r="C98" s="84" t="s">
        <v>294</v>
      </c>
      <c r="D98" s="85" t="str">
        <f>Source!$B$2</f>
        <v/>
      </c>
      <c r="E98" s="141" t="s">
        <v>295</v>
      </c>
      <c r="F98" s="142"/>
      <c r="G98" s="142"/>
      <c r="H98" s="142"/>
      <c r="I98" s="142"/>
      <c r="J98" s="143"/>
      <c r="K98" s="91"/>
      <c r="L98" s="91"/>
      <c r="M98" s="91"/>
      <c r="N98" s="91"/>
      <c r="O98" s="91"/>
      <c r="P98" s="91"/>
      <c r="Q98" s="91"/>
      <c r="R98" s="91"/>
      <c r="S98" s="91"/>
      <c r="T98" s="91"/>
      <c r="U98" s="92"/>
    </row>
    <row r="99" ht="18.75" customHeight="1">
      <c r="A99" s="118" t="s">
        <v>296</v>
      </c>
      <c r="B99" s="119" t="str">
        <f>Source!$D$12</f>
        <v/>
      </c>
      <c r="C99" s="120" t="s">
        <v>297</v>
      </c>
      <c r="D99" s="121" t="str">
        <f>Source!$B$3</f>
        <v/>
      </c>
      <c r="E99" s="43" t="s">
        <v>298</v>
      </c>
      <c r="F99" s="27"/>
      <c r="G99" s="27"/>
      <c r="H99" s="36"/>
      <c r="I99" s="29"/>
      <c r="J99" s="70"/>
      <c r="K99" s="91"/>
      <c r="L99" s="91"/>
      <c r="M99" s="91"/>
      <c r="N99" s="91"/>
      <c r="O99" s="91"/>
      <c r="P99" s="91"/>
      <c r="Q99" s="91"/>
      <c r="R99" s="91"/>
      <c r="S99" s="91"/>
      <c r="T99" s="91"/>
      <c r="U99" s="92"/>
    </row>
    <row r="100" ht="18.75" customHeight="1">
      <c r="A100" s="106" t="s">
        <v>299</v>
      </c>
      <c r="B100" s="107" t="str">
        <f>Source!$D$13</f>
        <v/>
      </c>
      <c r="C100" s="108" t="s">
        <v>300</v>
      </c>
      <c r="D100" s="109" t="str">
        <f>Source!$B$2</f>
        <v/>
      </c>
      <c r="E100" s="26" t="s">
        <v>301</v>
      </c>
      <c r="F100" s="27"/>
      <c r="G100" s="27"/>
      <c r="H100" s="50"/>
      <c r="I100" s="36"/>
      <c r="J100" s="70"/>
      <c r="K100" s="91"/>
      <c r="L100" s="91"/>
      <c r="M100" s="91"/>
      <c r="N100" s="91"/>
      <c r="O100" s="91"/>
      <c r="P100" s="91"/>
      <c r="Q100" s="91"/>
      <c r="R100" s="91"/>
      <c r="S100" s="91"/>
      <c r="T100" s="91"/>
      <c r="U100" s="92"/>
    </row>
    <row r="101" ht="18.75" customHeight="1">
      <c r="A101" s="75" t="s">
        <v>302</v>
      </c>
      <c r="B101" s="76" t="str">
        <f>Source!$D$8</f>
        <v/>
      </c>
      <c r="C101" s="77" t="s">
        <v>303</v>
      </c>
      <c r="D101" s="78" t="str">
        <f>Source!$B$3</f>
        <v/>
      </c>
      <c r="E101" s="43" t="s">
        <v>304</v>
      </c>
      <c r="F101" s="27"/>
      <c r="G101" s="27"/>
      <c r="H101" s="27"/>
      <c r="I101" s="27"/>
      <c r="J101" s="28"/>
      <c r="K101" s="91"/>
      <c r="L101" s="91"/>
      <c r="M101" s="91"/>
      <c r="N101" s="91"/>
      <c r="O101" s="91"/>
      <c r="P101" s="91"/>
      <c r="Q101" s="91"/>
      <c r="R101" s="91"/>
      <c r="S101" s="91"/>
      <c r="T101" s="91"/>
      <c r="U101" s="92"/>
    </row>
    <row r="102" ht="18.75" customHeight="1">
      <c r="A102" s="66" t="s">
        <v>305</v>
      </c>
      <c r="B102" s="67" t="str">
        <f>Source!$D$5</f>
        <v/>
      </c>
      <c r="C102" s="68" t="s">
        <v>306</v>
      </c>
      <c r="D102" s="69" t="str">
        <f>Source!$B$2</f>
        <v/>
      </c>
      <c r="E102" s="26" t="s">
        <v>307</v>
      </c>
      <c r="F102" s="27"/>
      <c r="G102" s="27"/>
      <c r="H102" s="36"/>
      <c r="I102" s="29"/>
      <c r="J102" s="70"/>
      <c r="K102" s="91"/>
      <c r="L102" s="91"/>
      <c r="M102" s="91"/>
      <c r="N102" s="91"/>
      <c r="O102" s="91"/>
      <c r="P102" s="91"/>
      <c r="Q102" s="91"/>
      <c r="R102" s="91"/>
      <c r="S102" s="91"/>
      <c r="T102" s="91"/>
      <c r="U102" s="92"/>
    </row>
    <row r="103" ht="18.75" customHeight="1">
      <c r="A103" s="46" t="s">
        <v>308</v>
      </c>
      <c r="B103" s="47" t="str">
        <f>Source!$D$9</f>
        <v/>
      </c>
      <c r="C103" s="48" t="s">
        <v>309</v>
      </c>
      <c r="D103" s="49" t="str">
        <f>Source!$B$3</f>
        <v/>
      </c>
      <c r="E103" s="43" t="s">
        <v>310</v>
      </c>
      <c r="F103" s="27"/>
      <c r="G103" s="50"/>
      <c r="H103" s="36"/>
      <c r="I103" s="29"/>
      <c r="J103" s="70"/>
      <c r="K103" s="91"/>
      <c r="L103" s="91"/>
      <c r="M103" s="91"/>
      <c r="N103" s="91"/>
      <c r="O103" s="91"/>
      <c r="P103" s="91"/>
      <c r="Q103" s="91"/>
      <c r="R103" s="91"/>
      <c r="S103" s="91"/>
      <c r="T103" s="91"/>
      <c r="U103" s="92"/>
    </row>
    <row r="104" ht="18.75" customHeight="1">
      <c r="A104" s="106" t="s">
        <v>311</v>
      </c>
      <c r="B104" s="107" t="str">
        <f>Source!$D$13</f>
        <v/>
      </c>
      <c r="C104" s="108" t="s">
        <v>312</v>
      </c>
      <c r="D104" s="109" t="str">
        <f>Source!$B$2</f>
        <v/>
      </c>
      <c r="E104" s="26" t="s">
        <v>313</v>
      </c>
      <c r="F104" s="27"/>
      <c r="G104" s="27"/>
      <c r="H104" s="50"/>
      <c r="I104" s="29"/>
      <c r="J104" s="70"/>
      <c r="K104" s="91"/>
      <c r="L104" s="91"/>
      <c r="M104" s="91"/>
      <c r="N104" s="91"/>
      <c r="O104" s="91"/>
      <c r="P104" s="91"/>
      <c r="Q104" s="91"/>
      <c r="R104" s="91"/>
      <c r="S104" s="91"/>
      <c r="T104" s="91"/>
      <c r="U104" s="92"/>
    </row>
    <row r="105" ht="18.75" customHeight="1">
      <c r="A105" s="130" t="s">
        <v>314</v>
      </c>
      <c r="B105" s="131" t="str">
        <f>Source!$D$6</f>
        <v/>
      </c>
      <c r="C105" s="132" t="s">
        <v>315</v>
      </c>
      <c r="D105" s="133" t="str">
        <f>Source!$B$3</f>
        <v/>
      </c>
      <c r="E105" s="43" t="s">
        <v>68</v>
      </c>
      <c r="F105" s="27"/>
      <c r="G105" s="50"/>
      <c r="H105" s="36"/>
      <c r="I105" s="29"/>
      <c r="J105" s="70"/>
      <c r="K105" s="91"/>
      <c r="L105" s="91"/>
      <c r="M105" s="91"/>
      <c r="N105" s="91"/>
      <c r="O105" s="91"/>
      <c r="P105" s="91"/>
      <c r="Q105" s="91"/>
      <c r="R105" s="91"/>
      <c r="S105" s="91"/>
      <c r="T105" s="91"/>
      <c r="U105" s="92"/>
    </row>
    <row r="106" ht="18.75" customHeight="1">
      <c r="A106" s="71" t="s">
        <v>316</v>
      </c>
      <c r="B106" s="72" t="str">
        <f>Source!$D$15</f>
        <v/>
      </c>
      <c r="C106" s="73" t="s">
        <v>317</v>
      </c>
      <c r="D106" s="74" t="str">
        <f>Source!$B$2</f>
        <v/>
      </c>
      <c r="E106" s="26" t="s">
        <v>318</v>
      </c>
      <c r="F106" s="27"/>
      <c r="G106" s="27"/>
      <c r="H106" s="50"/>
      <c r="I106" s="29"/>
      <c r="J106" s="70"/>
      <c r="K106" s="91"/>
      <c r="L106" s="91"/>
      <c r="M106" s="91"/>
      <c r="N106" s="91"/>
      <c r="O106" s="91"/>
      <c r="P106" s="91"/>
      <c r="Q106" s="91"/>
      <c r="R106" s="91"/>
      <c r="S106" s="91"/>
      <c r="T106" s="91"/>
      <c r="U106" s="92"/>
    </row>
    <row r="107" ht="18.75" customHeight="1">
      <c r="A107" s="82" t="s">
        <v>319</v>
      </c>
      <c r="B107" s="83" t="str">
        <f>Source!$D$16</f>
        <v/>
      </c>
      <c r="C107" s="84" t="s">
        <v>320</v>
      </c>
      <c r="D107" s="85" t="str">
        <f>Source!$B$3</f>
        <v/>
      </c>
      <c r="E107" s="144" t="s">
        <v>321</v>
      </c>
      <c r="F107" s="139"/>
      <c r="G107" s="139"/>
      <c r="H107" s="140"/>
      <c r="I107" s="145"/>
      <c r="J107" s="146"/>
      <c r="K107" s="91"/>
      <c r="L107" s="91"/>
      <c r="M107" s="91"/>
      <c r="N107" s="91"/>
      <c r="O107" s="91"/>
      <c r="P107" s="91"/>
      <c r="Q107" s="91"/>
      <c r="R107" s="91"/>
      <c r="S107" s="91"/>
      <c r="T107" s="91"/>
      <c r="U107" s="92"/>
    </row>
    <row r="108">
      <c r="A108" s="147"/>
      <c r="B108" s="148"/>
      <c r="C108" s="148"/>
      <c r="D108" s="148"/>
      <c r="E108" s="149"/>
      <c r="F108" s="150" t="s">
        <v>322</v>
      </c>
      <c r="G108" s="27"/>
      <c r="H108" s="27"/>
      <c r="I108" s="27"/>
      <c r="J108" s="28"/>
      <c r="K108" s="91"/>
      <c r="L108" s="91"/>
      <c r="M108" s="91"/>
      <c r="N108" s="91"/>
      <c r="O108" s="91"/>
      <c r="P108" s="91"/>
      <c r="Q108" s="91"/>
      <c r="R108" s="91"/>
      <c r="S108" s="91"/>
      <c r="T108" s="91"/>
      <c r="U108" s="92"/>
    </row>
    <row r="109" ht="18.75" customHeight="1">
      <c r="A109" s="82" t="s">
        <v>323</v>
      </c>
      <c r="B109" s="83" t="str">
        <f>Source!$D$16</f>
        <v/>
      </c>
      <c r="C109" s="84" t="s">
        <v>324</v>
      </c>
      <c r="D109" s="85" t="str">
        <f>Source!$B$2</f>
        <v/>
      </c>
      <c r="E109" s="26" t="s">
        <v>325</v>
      </c>
      <c r="F109" s="27"/>
      <c r="G109" s="27"/>
      <c r="H109" s="36"/>
      <c r="I109" s="29"/>
      <c r="J109" s="70"/>
      <c r="K109" s="91"/>
      <c r="L109" s="91"/>
      <c r="M109" s="91"/>
      <c r="N109" s="91"/>
      <c r="O109" s="91"/>
      <c r="P109" s="91"/>
      <c r="Q109" s="91"/>
      <c r="R109" s="91"/>
      <c r="S109" s="91"/>
      <c r="T109" s="91"/>
      <c r="U109" s="92"/>
    </row>
    <row r="110" ht="18.75" customHeight="1">
      <c r="A110" s="46" t="s">
        <v>326</v>
      </c>
      <c r="B110" s="47" t="str">
        <f>Source!$D$9</f>
        <v/>
      </c>
      <c r="C110" s="48" t="s">
        <v>327</v>
      </c>
      <c r="D110" s="49" t="str">
        <f>Source!$B$3</f>
        <v/>
      </c>
      <c r="E110" s="43" t="s">
        <v>328</v>
      </c>
      <c r="F110" s="27"/>
      <c r="G110" s="27"/>
      <c r="H110" s="27"/>
      <c r="I110" s="27"/>
      <c r="J110" s="28"/>
      <c r="K110" s="91"/>
      <c r="L110" s="91"/>
      <c r="M110" s="91"/>
      <c r="N110" s="91"/>
      <c r="O110" s="91"/>
      <c r="P110" s="91"/>
      <c r="Q110" s="91"/>
      <c r="R110" s="91"/>
      <c r="S110" s="91"/>
      <c r="T110" s="91"/>
      <c r="U110" s="92"/>
    </row>
    <row r="111" ht="18.75" customHeight="1">
      <c r="A111" s="62" t="s">
        <v>329</v>
      </c>
      <c r="B111" s="63" t="str">
        <f>Source!$D$14</f>
        <v/>
      </c>
      <c r="C111" s="64" t="s">
        <v>330</v>
      </c>
      <c r="D111" s="65" t="str">
        <f>Source!$B$2</f>
        <v/>
      </c>
      <c r="E111" s="151" t="s">
        <v>52</v>
      </c>
      <c r="F111" s="27"/>
      <c r="G111" s="27"/>
      <c r="H111" s="50"/>
      <c r="I111" s="36"/>
      <c r="J111" s="70"/>
      <c r="K111" s="91"/>
      <c r="L111" s="91"/>
      <c r="M111" s="91"/>
      <c r="N111" s="91"/>
      <c r="O111" s="91"/>
      <c r="P111" s="91"/>
      <c r="Q111" s="91"/>
      <c r="R111" s="91"/>
      <c r="S111" s="91"/>
      <c r="T111" s="91"/>
      <c r="U111" s="92"/>
    </row>
    <row r="112" ht="18.75" customHeight="1">
      <c r="A112" s="93" t="s">
        <v>331</v>
      </c>
      <c r="B112" s="94" t="str">
        <f>Source!$D$3</f>
        <v/>
      </c>
      <c r="C112" s="95" t="s">
        <v>332</v>
      </c>
      <c r="D112" s="96" t="str">
        <f>Source!$B$3</f>
        <v/>
      </c>
      <c r="E112" s="43" t="s">
        <v>90</v>
      </c>
      <c r="F112" s="27"/>
      <c r="G112" s="27"/>
      <c r="H112" s="36"/>
      <c r="I112" s="29"/>
      <c r="J112" s="70"/>
      <c r="K112" s="91"/>
      <c r="L112" s="91"/>
      <c r="M112" s="91"/>
      <c r="N112" s="91"/>
      <c r="O112" s="91"/>
      <c r="P112" s="91"/>
      <c r="Q112" s="91"/>
      <c r="R112" s="91"/>
      <c r="S112" s="91"/>
      <c r="T112" s="91"/>
      <c r="U112" s="92"/>
    </row>
    <row r="113" ht="18.75" customHeight="1">
      <c r="A113" s="22" t="s">
        <v>333</v>
      </c>
      <c r="B113" s="23" t="str">
        <f>Source!$D$7</f>
        <v/>
      </c>
      <c r="C113" s="24" t="s">
        <v>334</v>
      </c>
      <c r="D113" s="25" t="str">
        <f>Source!$B$2</f>
        <v/>
      </c>
      <c r="E113" s="26" t="s">
        <v>335</v>
      </c>
      <c r="F113" s="27"/>
      <c r="G113" s="27"/>
      <c r="H113" s="28"/>
      <c r="I113" s="36"/>
      <c r="J113" s="70"/>
      <c r="K113" s="91"/>
      <c r="L113" s="91"/>
      <c r="M113" s="91"/>
      <c r="N113" s="91"/>
      <c r="O113" s="91"/>
      <c r="P113" s="91"/>
      <c r="Q113" s="91"/>
      <c r="R113" s="91"/>
      <c r="S113" s="91"/>
      <c r="T113" s="91"/>
      <c r="U113" s="92"/>
    </row>
    <row r="114" ht="18.75" customHeight="1">
      <c r="A114" s="118" t="s">
        <v>336</v>
      </c>
      <c r="B114" s="119" t="str">
        <f>Source!$D$12</f>
        <v/>
      </c>
      <c r="C114" s="120" t="s">
        <v>337</v>
      </c>
      <c r="D114" s="121" t="str">
        <f>Source!$B$3</f>
        <v/>
      </c>
      <c r="E114" s="43" t="s">
        <v>338</v>
      </c>
      <c r="F114" s="27"/>
      <c r="G114" s="27"/>
      <c r="H114" s="36"/>
      <c r="I114" s="29"/>
      <c r="J114" s="70"/>
      <c r="K114" s="91"/>
      <c r="L114" s="91"/>
      <c r="M114" s="91"/>
      <c r="N114" s="91"/>
      <c r="O114" s="91"/>
      <c r="P114" s="91"/>
      <c r="Q114" s="91"/>
      <c r="R114" s="91"/>
      <c r="S114" s="91"/>
      <c r="T114" s="91"/>
      <c r="U114" s="92"/>
    </row>
    <row r="115" ht="18.75" customHeight="1">
      <c r="A115" s="22" t="s">
        <v>339</v>
      </c>
      <c r="B115" s="23" t="str">
        <f>Source!$D$7</f>
        <v/>
      </c>
      <c r="C115" s="24" t="s">
        <v>340</v>
      </c>
      <c r="D115" s="25" t="str">
        <f>Source!$B$2</f>
        <v/>
      </c>
      <c r="E115" s="26" t="s">
        <v>90</v>
      </c>
      <c r="F115" s="27"/>
      <c r="G115" s="27"/>
      <c r="H115" s="36"/>
      <c r="I115" s="29"/>
      <c r="J115" s="70"/>
      <c r="K115" s="91"/>
      <c r="L115" s="91"/>
      <c r="M115" s="91"/>
      <c r="N115" s="91"/>
      <c r="O115" s="91"/>
      <c r="P115" s="91"/>
      <c r="Q115" s="91"/>
      <c r="R115" s="91"/>
      <c r="S115" s="91"/>
      <c r="T115" s="91"/>
      <c r="U115" s="92"/>
    </row>
    <row r="116" ht="18.75" customHeight="1">
      <c r="A116" s="130" t="s">
        <v>341</v>
      </c>
      <c r="B116" s="131" t="str">
        <f>Source!$D$6</f>
        <v/>
      </c>
      <c r="C116" s="132" t="s">
        <v>342</v>
      </c>
      <c r="D116" s="133" t="str">
        <f>Source!$B$3</f>
        <v/>
      </c>
      <c r="E116" s="152" t="s">
        <v>343</v>
      </c>
      <c r="F116" s="142"/>
      <c r="G116" s="142"/>
      <c r="H116" s="153"/>
      <c r="I116" s="36"/>
      <c r="J116" s="70"/>
      <c r="K116" s="91"/>
      <c r="L116" s="91"/>
      <c r="M116" s="91"/>
      <c r="N116" s="91"/>
      <c r="O116" s="91"/>
      <c r="P116" s="91"/>
      <c r="Q116" s="91"/>
      <c r="R116" s="91"/>
      <c r="S116" s="91"/>
      <c r="T116" s="91"/>
      <c r="U116" s="92"/>
    </row>
    <row r="117" ht="18.75" customHeight="1">
      <c r="A117" s="130" t="s">
        <v>344</v>
      </c>
      <c r="B117" s="131" t="str">
        <f>Source!$D$6</f>
        <v/>
      </c>
      <c r="C117" s="132" t="s">
        <v>345</v>
      </c>
      <c r="D117" s="133" t="str">
        <f>Source!$B$2</f>
        <v/>
      </c>
      <c r="E117" s="26" t="s">
        <v>346</v>
      </c>
      <c r="F117" s="27"/>
      <c r="G117" s="27"/>
      <c r="H117" s="50"/>
      <c r="I117" s="36"/>
      <c r="J117" s="70"/>
      <c r="K117" s="91"/>
      <c r="L117" s="91"/>
      <c r="M117" s="91"/>
      <c r="N117" s="91"/>
      <c r="O117" s="91"/>
      <c r="P117" s="91"/>
      <c r="Q117" s="91"/>
      <c r="R117" s="91"/>
      <c r="S117" s="91"/>
      <c r="T117" s="91"/>
      <c r="U117" s="92"/>
    </row>
    <row r="118" ht="18.75" customHeight="1">
      <c r="A118" s="75" t="s">
        <v>347</v>
      </c>
      <c r="B118" s="76" t="str">
        <f>Source!$D$8</f>
        <v/>
      </c>
      <c r="C118" s="77" t="s">
        <v>348</v>
      </c>
      <c r="D118" s="78" t="str">
        <f>Source!$B$3</f>
        <v/>
      </c>
      <c r="E118" s="43" t="s">
        <v>349</v>
      </c>
      <c r="F118" s="27"/>
      <c r="G118" s="27"/>
      <c r="H118" s="27"/>
      <c r="I118" s="36"/>
      <c r="J118" s="70"/>
      <c r="K118" s="91"/>
      <c r="L118" s="91"/>
      <c r="M118" s="91"/>
      <c r="N118" s="91"/>
      <c r="O118" s="91"/>
      <c r="P118" s="91"/>
      <c r="Q118" s="91"/>
      <c r="R118" s="91"/>
      <c r="S118" s="91"/>
      <c r="T118" s="91"/>
      <c r="U118" s="92"/>
    </row>
    <row r="119" ht="18.75" customHeight="1">
      <c r="A119" s="22" t="s">
        <v>350</v>
      </c>
      <c r="B119" s="23" t="str">
        <f>Source!$D$7</f>
        <v/>
      </c>
      <c r="C119" s="24" t="s">
        <v>351</v>
      </c>
      <c r="D119" s="25" t="str">
        <f>Source!$B$2</f>
        <v/>
      </c>
      <c r="E119" s="26" t="s">
        <v>352</v>
      </c>
      <c r="F119" s="27"/>
      <c r="G119" s="27"/>
      <c r="H119" s="27"/>
      <c r="I119" s="27"/>
      <c r="J119" s="28"/>
      <c r="K119" s="91"/>
      <c r="L119" s="91"/>
      <c r="M119" s="91"/>
      <c r="N119" s="91"/>
      <c r="O119" s="91"/>
      <c r="P119" s="91"/>
      <c r="Q119" s="91"/>
      <c r="R119" s="91"/>
      <c r="S119" s="91"/>
      <c r="T119" s="91"/>
      <c r="U119" s="92"/>
    </row>
    <row r="120" ht="18.75" customHeight="1">
      <c r="A120" s="82" t="s">
        <v>353</v>
      </c>
      <c r="B120" s="83" t="str">
        <f>Source!$D$16</f>
        <v/>
      </c>
      <c r="C120" s="84" t="s">
        <v>354</v>
      </c>
      <c r="D120" s="85" t="str">
        <f>Source!$B$3</f>
        <v/>
      </c>
      <c r="E120" s="144" t="s">
        <v>355</v>
      </c>
      <c r="F120" s="139"/>
      <c r="G120" s="139"/>
      <c r="H120" s="140"/>
      <c r="I120" s="36"/>
      <c r="J120" s="70"/>
      <c r="K120" s="91"/>
      <c r="L120" s="91"/>
      <c r="M120" s="91"/>
      <c r="N120" s="91"/>
      <c r="O120" s="91"/>
      <c r="P120" s="91"/>
      <c r="Q120" s="91"/>
      <c r="R120" s="91"/>
      <c r="S120" s="91"/>
      <c r="T120" s="91"/>
      <c r="U120" s="92"/>
    </row>
    <row r="121">
      <c r="A121" s="147"/>
      <c r="B121" s="148"/>
      <c r="C121" s="148"/>
      <c r="D121" s="148"/>
      <c r="E121" s="149"/>
      <c r="F121" s="150" t="s">
        <v>65</v>
      </c>
      <c r="G121" s="27"/>
      <c r="H121" s="36"/>
      <c r="I121" s="29"/>
      <c r="J121" s="70"/>
      <c r="K121" s="91"/>
      <c r="L121" s="91"/>
      <c r="M121" s="91"/>
      <c r="N121" s="91"/>
      <c r="O121" s="91"/>
      <c r="P121" s="91"/>
      <c r="Q121" s="91"/>
      <c r="R121" s="91"/>
      <c r="S121" s="91"/>
      <c r="T121" s="91"/>
      <c r="U121" s="92"/>
    </row>
    <row r="122" ht="18.75" customHeight="1">
      <c r="A122" s="46" t="s">
        <v>356</v>
      </c>
      <c r="B122" s="47" t="str">
        <f>Source!$D$9</f>
        <v/>
      </c>
      <c r="C122" s="48" t="s">
        <v>357</v>
      </c>
      <c r="D122" s="49" t="str">
        <f>Source!$B$2</f>
        <v/>
      </c>
      <c r="E122" s="26" t="s">
        <v>358</v>
      </c>
      <c r="F122" s="27"/>
      <c r="G122" s="27"/>
      <c r="H122" s="27"/>
      <c r="I122" s="27"/>
      <c r="J122" s="28"/>
      <c r="K122" s="91"/>
      <c r="L122" s="91"/>
      <c r="M122" s="91"/>
      <c r="N122" s="91"/>
      <c r="O122" s="91"/>
      <c r="P122" s="91"/>
      <c r="Q122" s="91"/>
      <c r="R122" s="91"/>
      <c r="S122" s="91"/>
      <c r="T122" s="91"/>
      <c r="U122" s="92"/>
    </row>
    <row r="123" ht="18.75" customHeight="1">
      <c r="A123" s="32" t="s">
        <v>359</v>
      </c>
      <c r="B123" s="33" t="str">
        <f>Source!$D$18</f>
        <v/>
      </c>
      <c r="C123" s="34" t="s">
        <v>360</v>
      </c>
      <c r="D123" s="35" t="str">
        <f>Source!$B$3</f>
        <v/>
      </c>
      <c r="E123" s="87" t="s">
        <v>52</v>
      </c>
      <c r="F123" s="27"/>
      <c r="G123" s="27"/>
      <c r="H123" s="36"/>
      <c r="I123" s="29"/>
      <c r="J123" s="70"/>
      <c r="K123" s="91"/>
      <c r="L123" s="91"/>
      <c r="M123" s="91"/>
      <c r="N123" s="91"/>
      <c r="O123" s="91"/>
      <c r="P123" s="91"/>
      <c r="Q123" s="91"/>
      <c r="R123" s="91"/>
      <c r="S123" s="91"/>
      <c r="T123" s="91"/>
      <c r="U123" s="92"/>
    </row>
    <row r="124" ht="18.75" customHeight="1">
      <c r="A124" s="39" t="s">
        <v>361</v>
      </c>
      <c r="B124" s="40" t="str">
        <f>Source!$D$4</f>
        <v/>
      </c>
      <c r="C124" s="41" t="s">
        <v>362</v>
      </c>
      <c r="D124" s="42" t="str">
        <f>Source!$B$2</f>
        <v/>
      </c>
      <c r="E124" s="138" t="s">
        <v>363</v>
      </c>
      <c r="F124" s="139"/>
      <c r="G124" s="139"/>
      <c r="H124" s="140"/>
      <c r="I124" s="36"/>
      <c r="J124" s="70"/>
      <c r="K124" s="91"/>
      <c r="L124" s="91"/>
      <c r="M124" s="91"/>
      <c r="N124" s="91"/>
      <c r="O124" s="91"/>
      <c r="P124" s="91"/>
      <c r="Q124" s="91"/>
      <c r="R124" s="91"/>
      <c r="S124" s="91"/>
      <c r="T124" s="91"/>
      <c r="U124" s="92"/>
    </row>
    <row r="125">
      <c r="A125" s="31"/>
      <c r="B125" s="31"/>
      <c r="C125" s="31"/>
      <c r="D125" s="31"/>
      <c r="E125" s="154"/>
      <c r="F125" s="155" t="s">
        <v>364</v>
      </c>
      <c r="G125" s="142"/>
      <c r="H125" s="142"/>
      <c r="I125" s="142"/>
      <c r="J125" s="143"/>
      <c r="K125" s="91"/>
      <c r="L125" s="91"/>
      <c r="M125" s="91"/>
      <c r="N125" s="91"/>
      <c r="O125" s="91"/>
      <c r="P125" s="91"/>
      <c r="Q125" s="91"/>
      <c r="R125" s="91"/>
      <c r="S125" s="91"/>
      <c r="T125" s="91"/>
      <c r="U125" s="92"/>
    </row>
    <row r="126" ht="18.75" customHeight="1">
      <c r="A126" s="106" t="s">
        <v>365</v>
      </c>
      <c r="B126" s="107" t="str">
        <f>Source!$D$13</f>
        <v/>
      </c>
      <c r="C126" s="108" t="s">
        <v>366</v>
      </c>
      <c r="D126" s="109" t="str">
        <f>Source!$B$3</f>
        <v/>
      </c>
      <c r="E126" s="43" t="s">
        <v>367</v>
      </c>
      <c r="F126" s="27"/>
      <c r="G126" s="27"/>
      <c r="H126" s="27"/>
      <c r="I126" s="50"/>
      <c r="J126" s="156"/>
      <c r="K126" s="157"/>
      <c r="L126" s="157"/>
      <c r="M126" s="157"/>
      <c r="N126" s="157"/>
      <c r="O126" s="157"/>
      <c r="P126" s="157"/>
      <c r="Q126" s="157"/>
      <c r="R126" s="157"/>
      <c r="S126" s="157"/>
      <c r="T126" s="157"/>
      <c r="U126" s="158"/>
    </row>
  </sheetData>
  <mergeCells count="136">
    <mergeCell ref="P3:T3"/>
    <mergeCell ref="P4:T4"/>
    <mergeCell ref="B1:C1"/>
    <mergeCell ref="M1:N1"/>
    <mergeCell ref="E2:H2"/>
    <mergeCell ref="P2:R2"/>
    <mergeCell ref="T2:U2"/>
    <mergeCell ref="E3:H3"/>
    <mergeCell ref="E4:H4"/>
    <mergeCell ref="E5:H5"/>
    <mergeCell ref="P5:U5"/>
    <mergeCell ref="E6:J6"/>
    <mergeCell ref="P6:S6"/>
    <mergeCell ref="E7:G7"/>
    <mergeCell ref="P7:U7"/>
    <mergeCell ref="P8:T8"/>
    <mergeCell ref="P9:T9"/>
    <mergeCell ref="E8:G8"/>
    <mergeCell ref="E9:I9"/>
    <mergeCell ref="E10:G10"/>
    <mergeCell ref="E11:J11"/>
    <mergeCell ref="E12:J12"/>
    <mergeCell ref="E13:H13"/>
    <mergeCell ref="F14:G14"/>
    <mergeCell ref="E15:G15"/>
    <mergeCell ref="E16:G16"/>
    <mergeCell ref="E17:J17"/>
    <mergeCell ref="E18:G18"/>
    <mergeCell ref="E19:G19"/>
    <mergeCell ref="F20:G20"/>
    <mergeCell ref="E21:G21"/>
    <mergeCell ref="E22:H22"/>
    <mergeCell ref="E23:G23"/>
    <mergeCell ref="E24:G24"/>
    <mergeCell ref="E25:G25"/>
    <mergeCell ref="E26:G26"/>
    <mergeCell ref="E27:G27"/>
    <mergeCell ref="E28:G28"/>
    <mergeCell ref="E43:H43"/>
    <mergeCell ref="E44:G44"/>
    <mergeCell ref="E73:I73"/>
    <mergeCell ref="E74:I74"/>
    <mergeCell ref="E75:I75"/>
    <mergeCell ref="E76:I76"/>
    <mergeCell ref="E77:G77"/>
    <mergeCell ref="E78:G78"/>
    <mergeCell ref="E79:G79"/>
    <mergeCell ref="E80:I80"/>
    <mergeCell ref="E81:I81"/>
    <mergeCell ref="E82:G82"/>
    <mergeCell ref="E83:I83"/>
    <mergeCell ref="E84:G84"/>
    <mergeCell ref="E85:G85"/>
    <mergeCell ref="E86:G86"/>
    <mergeCell ref="E94:G94"/>
    <mergeCell ref="E95:H95"/>
    <mergeCell ref="E96:G96"/>
    <mergeCell ref="E97:I97"/>
    <mergeCell ref="E98:J98"/>
    <mergeCell ref="E99:G99"/>
    <mergeCell ref="E100:H100"/>
    <mergeCell ref="E101:J101"/>
    <mergeCell ref="E102:G102"/>
    <mergeCell ref="E103:G103"/>
    <mergeCell ref="E104:H104"/>
    <mergeCell ref="E105:G105"/>
    <mergeCell ref="E106:H106"/>
    <mergeCell ref="E107:H107"/>
    <mergeCell ref="F108:J108"/>
    <mergeCell ref="E109:G109"/>
    <mergeCell ref="E110:J110"/>
    <mergeCell ref="E111:H111"/>
    <mergeCell ref="E112:G112"/>
    <mergeCell ref="E113:H113"/>
    <mergeCell ref="E114:G114"/>
    <mergeCell ref="E122:J122"/>
    <mergeCell ref="E123:G123"/>
    <mergeCell ref="E124:H124"/>
    <mergeCell ref="F125:J125"/>
    <mergeCell ref="E126:I126"/>
    <mergeCell ref="E115:G115"/>
    <mergeCell ref="E116:H116"/>
    <mergeCell ref="E117:H117"/>
    <mergeCell ref="E118:H118"/>
    <mergeCell ref="E119:J119"/>
    <mergeCell ref="E120:H120"/>
    <mergeCell ref="F121:G121"/>
    <mergeCell ref="E29:J29"/>
    <mergeCell ref="E30:H30"/>
    <mergeCell ref="E31:G31"/>
    <mergeCell ref="E32:H32"/>
    <mergeCell ref="E33:I33"/>
    <mergeCell ref="E34:H34"/>
    <mergeCell ref="E35:G35"/>
    <mergeCell ref="E36:G36"/>
    <mergeCell ref="E37:H37"/>
    <mergeCell ref="E38:G38"/>
    <mergeCell ref="E39:H39"/>
    <mergeCell ref="E40:J40"/>
    <mergeCell ref="E41:H41"/>
    <mergeCell ref="E42:H42"/>
    <mergeCell ref="E45:H45"/>
    <mergeCell ref="E46:F46"/>
    <mergeCell ref="E47:H47"/>
    <mergeCell ref="E48:G48"/>
    <mergeCell ref="E49:H49"/>
    <mergeCell ref="E50:G50"/>
    <mergeCell ref="E51:I51"/>
    <mergeCell ref="E52:G52"/>
    <mergeCell ref="E53:J53"/>
    <mergeCell ref="E54:H54"/>
    <mergeCell ref="E55:H55"/>
    <mergeCell ref="E56:G56"/>
    <mergeCell ref="E57:I57"/>
    <mergeCell ref="E58:I58"/>
    <mergeCell ref="E59:G59"/>
    <mergeCell ref="E60:G60"/>
    <mergeCell ref="E61:F61"/>
    <mergeCell ref="E62:F62"/>
    <mergeCell ref="E63:H63"/>
    <mergeCell ref="E64:G64"/>
    <mergeCell ref="E65:F65"/>
    <mergeCell ref="E66:G66"/>
    <mergeCell ref="E67:G67"/>
    <mergeCell ref="E68:G68"/>
    <mergeCell ref="E69:H69"/>
    <mergeCell ref="E70:I70"/>
    <mergeCell ref="E71:I71"/>
    <mergeCell ref="E72:H72"/>
    <mergeCell ref="E87:G87"/>
    <mergeCell ref="E88:G88"/>
    <mergeCell ref="E89:I89"/>
    <mergeCell ref="E90:G90"/>
    <mergeCell ref="E91:G91"/>
    <mergeCell ref="E92:H92"/>
    <mergeCell ref="E93:I9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2" width="14.43"/>
    <col customWidth="1" min="3" max="3" width="21.57"/>
    <col customWidth="1" min="4" max="4" width="6.71"/>
    <col customWidth="1" min="5" max="5" width="1.57"/>
    <col customWidth="1" min="6" max="6" width="0.57"/>
    <col customWidth="1" min="7" max="7" width="1.29"/>
    <col customWidth="1" min="8" max="8" width="18.71"/>
    <col customWidth="1" min="9" max="9" width="1.29"/>
    <col customWidth="1" min="10" max="10" width="0.57"/>
    <col customWidth="1" min="11" max="11" width="1.57"/>
    <col customWidth="1" min="12" max="12" width="1.29"/>
    <col customWidth="1" min="13" max="13" width="3.71"/>
    <col customWidth="1" min="14" max="14" width="21.57"/>
    <col customWidth="1" min="15" max="15" width="1.29"/>
    <col customWidth="1" min="16" max="16" width="0.57"/>
  </cols>
  <sheetData>
    <row r="1">
      <c r="A1" s="159" t="s">
        <v>11</v>
      </c>
      <c r="B1" s="16"/>
      <c r="C1" s="160" t="s">
        <v>368</v>
      </c>
      <c r="D1" s="16"/>
      <c r="E1" s="161"/>
      <c r="F1" s="160" t="s">
        <v>369</v>
      </c>
      <c r="G1" s="27"/>
      <c r="H1" s="27"/>
      <c r="I1" s="27"/>
      <c r="J1" s="16"/>
      <c r="K1" s="161"/>
      <c r="L1" s="160" t="s">
        <v>370</v>
      </c>
      <c r="M1" s="27"/>
      <c r="N1" s="27"/>
      <c r="O1" s="16"/>
      <c r="P1" s="162"/>
    </row>
    <row r="2" ht="3.75" customHeight="1">
      <c r="A2" s="163"/>
      <c r="B2" s="164"/>
      <c r="C2" s="164"/>
      <c r="D2" s="164"/>
      <c r="E2" s="165"/>
      <c r="F2" s="165"/>
      <c r="G2" s="165"/>
      <c r="H2" s="165"/>
      <c r="I2" s="165"/>
      <c r="J2" s="165"/>
      <c r="K2" s="165"/>
      <c r="L2" s="165"/>
      <c r="M2" s="165"/>
      <c r="N2" s="165"/>
      <c r="O2" s="166"/>
      <c r="P2" s="166"/>
    </row>
    <row r="3">
      <c r="A3" s="167" t="s">
        <v>371</v>
      </c>
      <c r="B3" s="168"/>
      <c r="C3" s="168"/>
      <c r="D3" s="168"/>
      <c r="E3" s="168"/>
      <c r="F3" s="168"/>
      <c r="G3" s="168"/>
      <c r="H3" s="168"/>
      <c r="I3" s="168"/>
      <c r="J3" s="168"/>
      <c r="K3" s="168"/>
      <c r="L3" s="168"/>
      <c r="M3" s="168"/>
      <c r="N3" s="168"/>
      <c r="O3" s="169"/>
      <c r="P3" s="166"/>
    </row>
    <row r="4">
      <c r="A4" s="167" t="s">
        <v>372</v>
      </c>
      <c r="B4" s="168"/>
      <c r="C4" s="168"/>
      <c r="D4" s="168"/>
      <c r="E4" s="168"/>
      <c r="F4" s="168"/>
      <c r="G4" s="168"/>
      <c r="H4" s="168"/>
      <c r="I4" s="168"/>
      <c r="J4" s="168"/>
      <c r="K4" s="168"/>
      <c r="L4" s="168"/>
      <c r="M4" s="168"/>
      <c r="N4" s="168"/>
      <c r="O4" s="169"/>
      <c r="P4" s="166"/>
    </row>
    <row r="5" ht="7.5" customHeight="1">
      <c r="A5" s="170"/>
      <c r="B5" s="171"/>
      <c r="C5" s="172"/>
      <c r="D5" s="172"/>
      <c r="E5" s="173"/>
      <c r="F5" s="174"/>
      <c r="G5" s="174"/>
      <c r="H5" s="174"/>
      <c r="I5" s="174"/>
      <c r="J5" s="174"/>
      <c r="K5" s="175"/>
      <c r="L5" s="174"/>
      <c r="M5" s="175"/>
      <c r="N5" s="175"/>
      <c r="O5" s="175"/>
      <c r="P5" s="175"/>
    </row>
    <row r="6" ht="7.5" customHeight="1">
      <c r="A6" s="176"/>
      <c r="B6" s="177"/>
      <c r="C6" s="177"/>
      <c r="D6" s="177"/>
      <c r="E6" s="178"/>
      <c r="F6" s="179"/>
      <c r="G6" s="179"/>
      <c r="H6" s="179"/>
      <c r="I6" s="179"/>
      <c r="J6" s="179"/>
      <c r="K6" s="180"/>
      <c r="L6" s="180"/>
      <c r="M6" s="180"/>
      <c r="N6" s="180"/>
      <c r="O6" s="180"/>
      <c r="P6" s="180"/>
    </row>
    <row r="7" ht="2.25" customHeight="1">
      <c r="A7" s="181" t="s">
        <v>373</v>
      </c>
      <c r="B7" s="182"/>
      <c r="C7" s="183" t="s">
        <v>374</v>
      </c>
      <c r="D7" s="183" t="str">
        <f>Source!$V$2</f>
        <v/>
      </c>
      <c r="E7" s="184"/>
      <c r="F7" s="185"/>
      <c r="G7" s="186"/>
      <c r="H7" s="186"/>
      <c r="I7" s="186"/>
      <c r="J7" s="187"/>
      <c r="K7" s="188"/>
      <c r="L7" s="189"/>
      <c r="M7" s="189"/>
      <c r="N7" s="189"/>
      <c r="O7" s="189"/>
      <c r="P7" s="190"/>
    </row>
    <row r="8" ht="6.0" customHeight="1">
      <c r="A8" s="191"/>
      <c r="B8" s="192"/>
      <c r="C8" s="193"/>
      <c r="D8" s="193"/>
      <c r="E8" s="184"/>
      <c r="F8" s="194"/>
      <c r="G8" s="195"/>
      <c r="H8" s="196"/>
      <c r="I8" s="197"/>
      <c r="J8" s="198"/>
      <c r="K8" s="199"/>
      <c r="L8" s="200"/>
      <c r="M8" s="201"/>
      <c r="N8" s="201"/>
      <c r="O8" s="202"/>
      <c r="P8" s="188"/>
    </row>
    <row r="9" ht="15.75" customHeight="1">
      <c r="A9" s="191"/>
      <c r="B9" s="192"/>
      <c r="C9" s="193"/>
      <c r="D9" s="193"/>
      <c r="E9" s="184"/>
      <c r="F9" s="194"/>
      <c r="G9" s="203"/>
      <c r="H9" s="204" t="s">
        <v>375</v>
      </c>
      <c r="I9" s="205"/>
      <c r="J9" s="206"/>
      <c r="K9" s="207"/>
      <c r="L9" s="208"/>
      <c r="M9" s="209" t="str">
        <f>Source!$AT$44</f>
        <v/>
      </c>
      <c r="N9" s="210" t="s">
        <v>376</v>
      </c>
      <c r="O9" s="211"/>
      <c r="P9" s="188"/>
    </row>
    <row r="10" ht="6.0" customHeight="1">
      <c r="A10" s="191"/>
      <c r="B10" s="192"/>
      <c r="C10" s="193"/>
      <c r="D10" s="193"/>
      <c r="E10" s="184"/>
      <c r="F10" s="194"/>
      <c r="G10" s="212"/>
      <c r="H10" s="213"/>
      <c r="I10" s="214"/>
      <c r="J10" s="206"/>
      <c r="K10" s="207"/>
      <c r="L10" s="215"/>
      <c r="M10" s="216"/>
      <c r="N10" s="216"/>
      <c r="O10" s="217"/>
      <c r="P10" s="188"/>
    </row>
    <row r="11" ht="2.25" customHeight="1">
      <c r="A11" s="218"/>
      <c r="B11" s="219"/>
      <c r="C11" s="220"/>
      <c r="D11" s="220"/>
      <c r="E11" s="184"/>
      <c r="F11" s="221"/>
      <c r="G11" s="222"/>
      <c r="H11" s="222"/>
      <c r="I11" s="222"/>
      <c r="J11" s="223"/>
      <c r="K11" s="224"/>
      <c r="L11" s="225"/>
      <c r="M11" s="225"/>
      <c r="N11" s="225"/>
      <c r="O11" s="226"/>
      <c r="P11" s="190"/>
    </row>
    <row r="12" ht="7.5" customHeight="1">
      <c r="A12" s="227"/>
      <c r="B12" s="228"/>
      <c r="C12" s="228"/>
      <c r="D12" s="228"/>
      <c r="E12" s="229"/>
      <c r="F12" s="230"/>
      <c r="G12" s="231"/>
      <c r="H12" s="231"/>
      <c r="I12" s="231"/>
      <c r="J12" s="232"/>
      <c r="K12" s="233"/>
      <c r="L12" s="233"/>
      <c r="M12" s="233"/>
      <c r="N12" s="233"/>
      <c r="O12" s="234"/>
      <c r="P12" s="234"/>
    </row>
    <row r="13" ht="7.5" customHeight="1">
      <c r="A13" s="235"/>
      <c r="B13" s="236"/>
      <c r="C13" s="236"/>
      <c r="D13" s="236"/>
      <c r="E13" s="237"/>
      <c r="F13" s="238"/>
      <c r="G13" s="239"/>
      <c r="H13" s="239"/>
      <c r="I13" s="239"/>
      <c r="J13" s="240"/>
      <c r="K13" s="240"/>
      <c r="L13" s="240"/>
      <c r="M13" s="240"/>
      <c r="N13" s="240"/>
      <c r="O13" s="241"/>
      <c r="P13" s="242"/>
    </row>
    <row r="14" ht="2.25" customHeight="1">
      <c r="A14" s="243" t="s">
        <v>377</v>
      </c>
      <c r="B14" s="244"/>
      <c r="C14" s="245" t="s">
        <v>378</v>
      </c>
      <c r="D14" s="245" t="str">
        <f>Source!$V$3</f>
        <v/>
      </c>
      <c r="E14" s="246"/>
      <c r="F14" s="185"/>
      <c r="G14" s="247"/>
      <c r="H14" s="247"/>
      <c r="I14" s="247"/>
      <c r="J14" s="248"/>
      <c r="K14" s="249"/>
      <c r="L14" s="250"/>
      <c r="M14" s="250"/>
      <c r="N14" s="250"/>
      <c r="O14" s="251"/>
      <c r="P14" s="252"/>
    </row>
    <row r="15" ht="6.0" customHeight="1">
      <c r="A15" s="191"/>
      <c r="B15" s="253"/>
      <c r="C15" s="254"/>
      <c r="D15" s="254"/>
      <c r="E15" s="246"/>
      <c r="F15" s="194"/>
      <c r="G15" s="255"/>
      <c r="H15" s="196"/>
      <c r="I15" s="197"/>
      <c r="J15" s="206"/>
      <c r="K15" s="249"/>
      <c r="L15" s="256"/>
      <c r="M15" s="257"/>
      <c r="N15" s="257"/>
      <c r="O15" s="202"/>
      <c r="P15" s="258"/>
    </row>
    <row r="16" ht="15.75" customHeight="1">
      <c r="A16" s="191"/>
      <c r="B16" s="253"/>
      <c r="C16" s="254"/>
      <c r="D16" s="254"/>
      <c r="E16" s="246"/>
      <c r="F16" s="194"/>
      <c r="G16" s="203"/>
      <c r="H16" s="259" t="s">
        <v>379</v>
      </c>
      <c r="I16" s="205"/>
      <c r="J16" s="206"/>
      <c r="K16" s="249"/>
      <c r="L16" s="208"/>
      <c r="M16" s="260" t="str">
        <f>Source!$B$8</f>
        <v/>
      </c>
      <c r="N16" s="261">
        <v>1500.0</v>
      </c>
      <c r="O16" s="262"/>
      <c r="P16" s="258"/>
    </row>
    <row r="17" ht="6.0" customHeight="1">
      <c r="A17" s="191"/>
      <c r="B17" s="253"/>
      <c r="C17" s="254"/>
      <c r="D17" s="254"/>
      <c r="E17" s="246"/>
      <c r="F17" s="194"/>
      <c r="G17" s="203"/>
      <c r="H17" s="263" t="s">
        <v>380</v>
      </c>
      <c r="I17" s="264"/>
      <c r="J17" s="206"/>
      <c r="K17" s="249"/>
      <c r="L17" s="215"/>
      <c r="M17" s="215"/>
      <c r="N17" s="215"/>
      <c r="O17" s="265"/>
      <c r="P17" s="258"/>
    </row>
    <row r="18" ht="9.75" customHeight="1">
      <c r="A18" s="191"/>
      <c r="B18" s="253"/>
      <c r="C18" s="254"/>
      <c r="D18" s="254"/>
      <c r="E18" s="246"/>
      <c r="F18" s="194"/>
      <c r="G18" s="203"/>
      <c r="H18" s="266"/>
      <c r="I18" s="264"/>
      <c r="J18" s="206"/>
      <c r="K18" s="249"/>
      <c r="L18" s="267"/>
      <c r="M18" s="267"/>
      <c r="N18" s="267"/>
      <c r="O18" s="268"/>
      <c r="P18" s="252"/>
    </row>
    <row r="19" ht="15.75" customHeight="1">
      <c r="A19" s="191"/>
      <c r="B19" s="253"/>
      <c r="C19" s="254"/>
      <c r="D19" s="254"/>
      <c r="E19" s="246"/>
      <c r="F19" s="194"/>
      <c r="G19" s="203"/>
      <c r="H19" s="269" t="s">
        <v>381</v>
      </c>
      <c r="I19" s="264"/>
      <c r="J19" s="206"/>
      <c r="K19" s="249"/>
      <c r="L19" s="270"/>
      <c r="M19" s="270"/>
      <c r="N19" s="270"/>
      <c r="O19" s="252"/>
      <c r="P19" s="252"/>
    </row>
    <row r="20" ht="6.0" customHeight="1">
      <c r="A20" s="271"/>
      <c r="B20" s="272"/>
      <c r="C20" s="273"/>
      <c r="D20" s="273"/>
      <c r="E20" s="246"/>
      <c r="F20" s="194"/>
      <c r="G20" s="212"/>
      <c r="H20" s="213"/>
      <c r="I20" s="214"/>
      <c r="J20" s="206"/>
      <c r="K20" s="249"/>
      <c r="L20" s="270"/>
      <c r="M20" s="270"/>
      <c r="N20" s="270"/>
      <c r="O20" s="252"/>
      <c r="P20" s="252"/>
    </row>
    <row r="21" ht="2.25" customHeight="1">
      <c r="A21" s="274"/>
      <c r="B21" s="275"/>
      <c r="C21" s="276"/>
      <c r="D21" s="276"/>
      <c r="E21" s="246"/>
      <c r="F21" s="221"/>
      <c r="G21" s="222"/>
      <c r="H21" s="222"/>
      <c r="I21" s="222"/>
      <c r="J21" s="223"/>
      <c r="K21" s="249"/>
      <c r="L21" s="270"/>
      <c r="M21" s="270"/>
      <c r="N21" s="270"/>
      <c r="O21" s="252"/>
      <c r="P21" s="252"/>
    </row>
    <row r="22" ht="7.5" customHeight="1">
      <c r="A22" s="277"/>
      <c r="B22" s="278"/>
      <c r="C22" s="278"/>
      <c r="D22" s="278"/>
      <c r="E22" s="279"/>
      <c r="F22" s="280"/>
      <c r="G22" s="281"/>
      <c r="H22" s="281"/>
      <c r="I22" s="281"/>
      <c r="J22" s="282"/>
      <c r="K22" s="283"/>
      <c r="L22" s="283"/>
      <c r="M22" s="283"/>
      <c r="N22" s="283"/>
      <c r="O22" s="284"/>
      <c r="P22" s="284"/>
    </row>
    <row r="23" ht="7.5" customHeight="1">
      <c r="A23" s="285"/>
      <c r="B23" s="286"/>
      <c r="C23" s="286"/>
      <c r="D23" s="286"/>
      <c r="E23" s="287"/>
      <c r="F23" s="288"/>
      <c r="G23" s="289"/>
      <c r="H23" s="289"/>
      <c r="I23" s="289"/>
      <c r="J23" s="290"/>
      <c r="K23" s="290"/>
      <c r="L23" s="290"/>
      <c r="M23" s="290"/>
      <c r="N23" s="290"/>
      <c r="O23" s="291"/>
      <c r="P23" s="292"/>
    </row>
    <row r="24" ht="2.25" customHeight="1">
      <c r="A24" s="293" t="s">
        <v>382</v>
      </c>
      <c r="B24" s="294"/>
      <c r="C24" s="295" t="s">
        <v>383</v>
      </c>
      <c r="D24" s="296" t="str">
        <f>Source!$V$4</f>
        <v/>
      </c>
      <c r="E24" s="297"/>
      <c r="F24" s="185"/>
      <c r="G24" s="247"/>
      <c r="H24" s="247"/>
      <c r="I24" s="247"/>
      <c r="J24" s="248"/>
      <c r="K24" s="298"/>
      <c r="L24" s="299"/>
      <c r="M24" s="299"/>
      <c r="N24" s="299"/>
      <c r="O24" s="300"/>
      <c r="P24" s="301"/>
    </row>
    <row r="25" ht="6.0" customHeight="1">
      <c r="A25" s="191"/>
      <c r="B25" s="302"/>
      <c r="C25" s="303"/>
      <c r="D25" s="303"/>
      <c r="E25" s="297"/>
      <c r="F25" s="194"/>
      <c r="G25" s="255"/>
      <c r="H25" s="196"/>
      <c r="I25" s="197"/>
      <c r="J25" s="206"/>
      <c r="K25" s="304"/>
      <c r="L25" s="256"/>
      <c r="M25" s="257"/>
      <c r="N25" s="257"/>
      <c r="O25" s="202"/>
      <c r="P25" s="305"/>
    </row>
    <row r="26" ht="15.75" customHeight="1">
      <c r="A26" s="191"/>
      <c r="B26" s="302"/>
      <c r="C26" s="303"/>
      <c r="D26" s="303"/>
      <c r="E26" s="297"/>
      <c r="F26" s="194"/>
      <c r="G26" s="203"/>
      <c r="H26" s="306" t="s">
        <v>384</v>
      </c>
      <c r="I26" s="205"/>
      <c r="J26" s="206"/>
      <c r="K26" s="304"/>
      <c r="L26" s="208"/>
      <c r="M26" s="260" t="str">
        <f>Source!$B$8</f>
        <v/>
      </c>
      <c r="N26" s="261">
        <v>2500.0</v>
      </c>
      <c r="O26" s="262"/>
      <c r="P26" s="305"/>
    </row>
    <row r="27" ht="6.0" customHeight="1">
      <c r="A27" s="191"/>
      <c r="B27" s="302"/>
      <c r="C27" s="303"/>
      <c r="D27" s="303"/>
      <c r="E27" s="297"/>
      <c r="F27" s="194"/>
      <c r="G27" s="203"/>
      <c r="H27" s="307" t="s">
        <v>385</v>
      </c>
      <c r="I27" s="264"/>
      <c r="J27" s="206"/>
      <c r="K27" s="304"/>
      <c r="L27" s="215"/>
      <c r="M27" s="215"/>
      <c r="N27" s="215"/>
      <c r="O27" s="265"/>
      <c r="P27" s="305"/>
    </row>
    <row r="28" ht="9.75" customHeight="1">
      <c r="A28" s="191"/>
      <c r="B28" s="302"/>
      <c r="C28" s="303"/>
      <c r="D28" s="303"/>
      <c r="E28" s="297"/>
      <c r="F28" s="194"/>
      <c r="G28" s="203"/>
      <c r="H28" s="266"/>
      <c r="I28" s="264"/>
      <c r="J28" s="206"/>
      <c r="K28" s="308"/>
      <c r="L28" s="309"/>
      <c r="M28" s="309"/>
      <c r="N28" s="309"/>
      <c r="O28" s="310"/>
      <c r="P28" s="301"/>
    </row>
    <row r="29" ht="15.75" customHeight="1">
      <c r="A29" s="191"/>
      <c r="B29" s="302"/>
      <c r="C29" s="303"/>
      <c r="D29" s="303"/>
      <c r="E29" s="297"/>
      <c r="F29" s="194"/>
      <c r="G29" s="203"/>
      <c r="H29" s="311" t="s">
        <v>386</v>
      </c>
      <c r="I29" s="264"/>
      <c r="J29" s="206"/>
      <c r="K29" s="308"/>
      <c r="L29" s="312"/>
      <c r="M29" s="312"/>
      <c r="N29" s="312"/>
      <c r="O29" s="301"/>
      <c r="P29" s="301"/>
    </row>
    <row r="30" ht="15.75" customHeight="1">
      <c r="A30" s="191"/>
      <c r="B30" s="302"/>
      <c r="C30" s="303"/>
      <c r="D30" s="303"/>
      <c r="E30" s="297"/>
      <c r="F30" s="194"/>
      <c r="G30" s="203"/>
      <c r="H30" s="311" t="s">
        <v>387</v>
      </c>
      <c r="I30" s="264"/>
      <c r="J30" s="206"/>
      <c r="K30" s="308"/>
      <c r="L30" s="312"/>
      <c r="M30" s="312"/>
      <c r="N30" s="312"/>
      <c r="O30" s="301"/>
      <c r="P30" s="301"/>
    </row>
    <row r="31" ht="15.75" customHeight="1">
      <c r="A31" s="191"/>
      <c r="B31" s="302"/>
      <c r="C31" s="303"/>
      <c r="D31" s="303"/>
      <c r="E31" s="297"/>
      <c r="F31" s="194"/>
      <c r="G31" s="203"/>
      <c r="H31" s="311" t="s">
        <v>388</v>
      </c>
      <c r="I31" s="264"/>
      <c r="J31" s="206"/>
      <c r="K31" s="308"/>
      <c r="L31" s="312"/>
      <c r="M31" s="312"/>
      <c r="N31" s="312"/>
      <c r="O31" s="301"/>
      <c r="P31" s="301"/>
    </row>
    <row r="32" ht="15.75" customHeight="1">
      <c r="A32" s="191"/>
      <c r="B32" s="302"/>
      <c r="C32" s="303"/>
      <c r="D32" s="303"/>
      <c r="E32" s="297"/>
      <c r="F32" s="194"/>
      <c r="G32" s="203"/>
      <c r="H32" s="313" t="s">
        <v>389</v>
      </c>
      <c r="I32" s="264"/>
      <c r="J32" s="206"/>
      <c r="K32" s="308"/>
      <c r="L32" s="312"/>
      <c r="M32" s="312"/>
      <c r="N32" s="312"/>
      <c r="O32" s="301"/>
      <c r="P32" s="301"/>
    </row>
    <row r="33" ht="6.0" customHeight="1">
      <c r="A33" s="191"/>
      <c r="B33" s="302"/>
      <c r="C33" s="303"/>
      <c r="D33" s="303"/>
      <c r="E33" s="297"/>
      <c r="F33" s="194"/>
      <c r="G33" s="212"/>
      <c r="H33" s="213"/>
      <c r="I33" s="214"/>
      <c r="J33" s="206"/>
      <c r="K33" s="308"/>
      <c r="L33" s="312"/>
      <c r="M33" s="312"/>
      <c r="N33" s="312"/>
      <c r="O33" s="301"/>
      <c r="P33" s="301"/>
    </row>
    <row r="34" ht="2.25" customHeight="1">
      <c r="A34" s="314"/>
      <c r="B34" s="315"/>
      <c r="C34" s="316"/>
      <c r="D34" s="316"/>
      <c r="E34" s="297"/>
      <c r="F34" s="221"/>
      <c r="G34" s="317"/>
      <c r="H34" s="317"/>
      <c r="I34" s="317"/>
      <c r="J34" s="223"/>
      <c r="K34" s="308"/>
      <c r="L34" s="312"/>
      <c r="M34" s="312"/>
      <c r="N34" s="312"/>
      <c r="O34" s="301"/>
      <c r="P34" s="301"/>
    </row>
    <row r="35" ht="7.5" customHeight="1">
      <c r="A35" s="318"/>
      <c r="B35" s="319"/>
      <c r="C35" s="319"/>
      <c r="D35" s="319"/>
      <c r="E35" s="319"/>
      <c r="F35" s="319"/>
      <c r="G35" s="319"/>
      <c r="H35" s="319"/>
      <c r="I35" s="319"/>
      <c r="J35" s="319"/>
      <c r="K35" s="319"/>
      <c r="L35" s="319"/>
      <c r="M35" s="319"/>
      <c r="N35" s="320"/>
      <c r="O35" s="321"/>
      <c r="P35" s="321"/>
    </row>
    <row r="36" ht="7.5" customHeight="1">
      <c r="A36" s="322"/>
      <c r="B36" s="323"/>
      <c r="C36" s="323"/>
      <c r="D36" s="323"/>
      <c r="E36" s="324"/>
      <c r="F36" s="325"/>
      <c r="G36" s="325"/>
      <c r="H36" s="325"/>
      <c r="I36" s="325"/>
      <c r="J36" s="325"/>
      <c r="K36" s="325"/>
      <c r="L36" s="325"/>
      <c r="M36" s="325"/>
      <c r="N36" s="325"/>
      <c r="O36" s="325"/>
      <c r="P36" s="325"/>
    </row>
    <row r="37" ht="2.25" customHeight="1">
      <c r="A37" s="326" t="s">
        <v>390</v>
      </c>
      <c r="B37" s="327"/>
      <c r="C37" s="328" t="s">
        <v>391</v>
      </c>
      <c r="D37" s="329" t="str">
        <f>Source!$V$17</f>
        <v/>
      </c>
      <c r="E37" s="330"/>
      <c r="F37" s="185"/>
      <c r="G37" s="186"/>
      <c r="H37" s="186"/>
      <c r="I37" s="186"/>
      <c r="J37" s="187"/>
      <c r="K37" s="331"/>
      <c r="L37" s="332"/>
      <c r="M37" s="332"/>
      <c r="N37" s="332"/>
      <c r="O37" s="332"/>
      <c r="P37" s="333"/>
    </row>
    <row r="38" ht="6.0" customHeight="1">
      <c r="A38" s="191"/>
      <c r="B38" s="334"/>
      <c r="C38" s="335"/>
      <c r="D38" s="335"/>
      <c r="E38" s="330"/>
      <c r="F38" s="194"/>
      <c r="G38" s="195"/>
      <c r="H38" s="196"/>
      <c r="I38" s="197"/>
      <c r="J38" s="198"/>
      <c r="K38" s="336"/>
      <c r="L38" s="200"/>
      <c r="M38" s="201"/>
      <c r="N38" s="201"/>
      <c r="O38" s="202"/>
      <c r="P38" s="331"/>
    </row>
    <row r="39" ht="15.75" customHeight="1">
      <c r="A39" s="191"/>
      <c r="B39" s="334"/>
      <c r="C39" s="335"/>
      <c r="D39" s="335"/>
      <c r="E39" s="330"/>
      <c r="F39" s="194"/>
      <c r="G39" s="203"/>
      <c r="H39" s="313" t="s">
        <v>392</v>
      </c>
      <c r="I39" s="205"/>
      <c r="J39" s="206"/>
      <c r="K39" s="337"/>
      <c r="L39" s="208"/>
      <c r="M39" s="260" t="str">
        <f>Source!$B$8</f>
        <v/>
      </c>
      <c r="N39" s="210">
        <v>2500.0</v>
      </c>
      <c r="O39" s="211"/>
      <c r="P39" s="331"/>
    </row>
    <row r="40" ht="6.0" customHeight="1">
      <c r="A40" s="191"/>
      <c r="B40" s="334"/>
      <c r="C40" s="335"/>
      <c r="D40" s="335"/>
      <c r="E40" s="330"/>
      <c r="F40" s="194"/>
      <c r="G40" s="212"/>
      <c r="H40" s="213"/>
      <c r="I40" s="214"/>
      <c r="J40" s="206"/>
      <c r="K40" s="337"/>
      <c r="L40" s="215"/>
      <c r="M40" s="216"/>
      <c r="N40" s="216"/>
      <c r="O40" s="217"/>
      <c r="P40" s="331"/>
    </row>
    <row r="41" ht="2.25" customHeight="1">
      <c r="A41" s="338"/>
      <c r="B41" s="339"/>
      <c r="C41" s="340"/>
      <c r="D41" s="340"/>
      <c r="E41" s="330"/>
      <c r="F41" s="221"/>
      <c r="G41" s="222"/>
      <c r="H41" s="222"/>
      <c r="I41" s="222"/>
      <c r="J41" s="223"/>
      <c r="K41" s="341"/>
      <c r="L41" s="342"/>
      <c r="M41" s="342"/>
      <c r="N41" s="342"/>
      <c r="O41" s="343"/>
      <c r="P41" s="333"/>
    </row>
    <row r="42" ht="7.5" customHeight="1">
      <c r="A42" s="170"/>
      <c r="B42" s="172"/>
      <c r="C42" s="172"/>
      <c r="D42" s="172"/>
      <c r="E42" s="173"/>
      <c r="F42" s="174"/>
      <c r="G42" s="344"/>
      <c r="H42" s="344"/>
      <c r="I42" s="344"/>
      <c r="J42" s="345"/>
      <c r="K42" s="346"/>
      <c r="L42" s="346"/>
      <c r="M42" s="346"/>
      <c r="N42" s="346"/>
      <c r="O42" s="175"/>
      <c r="P42" s="175"/>
    </row>
    <row r="43" ht="7.5" customHeight="1">
      <c r="A43" s="347"/>
      <c r="B43" s="348"/>
      <c r="C43" s="348"/>
      <c r="D43" s="348"/>
      <c r="E43" s="349"/>
      <c r="F43" s="350"/>
      <c r="G43" s="351"/>
      <c r="H43" s="351"/>
      <c r="I43" s="351"/>
      <c r="J43" s="352"/>
      <c r="K43" s="353"/>
      <c r="L43" s="352"/>
      <c r="M43" s="352"/>
      <c r="N43" s="352"/>
      <c r="O43" s="354"/>
      <c r="P43" s="355"/>
    </row>
    <row r="44" ht="2.25" customHeight="1">
      <c r="A44" s="356" t="s">
        <v>393</v>
      </c>
      <c r="B44" s="357"/>
      <c r="C44" s="358" t="s">
        <v>394</v>
      </c>
      <c r="D44" s="358" t="str">
        <f>Source!$V$5</f>
        <v/>
      </c>
      <c r="E44" s="359"/>
      <c r="F44" s="185"/>
      <c r="G44" s="247"/>
      <c r="H44" s="247"/>
      <c r="I44" s="247"/>
      <c r="J44" s="248"/>
      <c r="K44" s="360"/>
      <c r="L44" s="361"/>
      <c r="M44" s="361"/>
      <c r="N44" s="361"/>
      <c r="O44" s="362"/>
      <c r="P44" s="363"/>
    </row>
    <row r="45" ht="6.0" customHeight="1">
      <c r="A45" s="191"/>
      <c r="B45" s="364"/>
      <c r="C45" s="365"/>
      <c r="D45" s="365"/>
      <c r="E45" s="359"/>
      <c r="F45" s="194"/>
      <c r="G45" s="255"/>
      <c r="H45" s="196"/>
      <c r="I45" s="197"/>
      <c r="J45" s="206"/>
      <c r="K45" s="366"/>
      <c r="L45" s="256"/>
      <c r="M45" s="257"/>
      <c r="N45" s="257"/>
      <c r="O45" s="202"/>
      <c r="P45" s="367"/>
    </row>
    <row r="46" ht="15.75" customHeight="1">
      <c r="A46" s="191"/>
      <c r="B46" s="364"/>
      <c r="C46" s="365"/>
      <c r="D46" s="365"/>
      <c r="E46" s="359"/>
      <c r="F46" s="194"/>
      <c r="G46" s="203"/>
      <c r="H46" s="368" t="s">
        <v>395</v>
      </c>
      <c r="I46" s="205"/>
      <c r="J46" s="206"/>
      <c r="K46" s="366"/>
      <c r="L46" s="208"/>
      <c r="M46" s="260" t="str">
        <f>Source!$B$8</f>
        <v/>
      </c>
      <c r="N46" s="261">
        <v>7500.0</v>
      </c>
      <c r="O46" s="262"/>
      <c r="P46" s="367"/>
    </row>
    <row r="47" ht="6.0" customHeight="1">
      <c r="A47" s="191"/>
      <c r="B47" s="364"/>
      <c r="C47" s="365"/>
      <c r="D47" s="365"/>
      <c r="E47" s="359"/>
      <c r="F47" s="194"/>
      <c r="G47" s="203"/>
      <c r="H47" s="369" t="s">
        <v>396</v>
      </c>
      <c r="I47" s="264"/>
      <c r="J47" s="206"/>
      <c r="K47" s="366"/>
      <c r="L47" s="215"/>
      <c r="M47" s="215"/>
      <c r="N47" s="215"/>
      <c r="O47" s="265"/>
      <c r="P47" s="367"/>
    </row>
    <row r="48" ht="9.75" customHeight="1">
      <c r="A48" s="191"/>
      <c r="B48" s="364"/>
      <c r="C48" s="365"/>
      <c r="D48" s="365"/>
      <c r="E48" s="359"/>
      <c r="F48" s="194"/>
      <c r="G48" s="203"/>
      <c r="H48" s="266"/>
      <c r="I48" s="264"/>
      <c r="J48" s="206"/>
      <c r="K48" s="360"/>
      <c r="L48" s="370"/>
      <c r="M48" s="370"/>
      <c r="N48" s="370"/>
      <c r="O48" s="371"/>
      <c r="P48" s="363"/>
    </row>
    <row r="49" ht="15.75" customHeight="1">
      <c r="A49" s="191"/>
      <c r="B49" s="364"/>
      <c r="C49" s="365"/>
      <c r="D49" s="365"/>
      <c r="E49" s="359"/>
      <c r="F49" s="194"/>
      <c r="G49" s="203"/>
      <c r="H49" s="372" t="s">
        <v>397</v>
      </c>
      <c r="I49" s="264"/>
      <c r="J49" s="206"/>
      <c r="K49" s="360"/>
      <c r="L49" s="373"/>
      <c r="M49" s="373"/>
      <c r="N49" s="373"/>
      <c r="O49" s="363"/>
      <c r="P49" s="363"/>
    </row>
    <row r="50" ht="15.75" customHeight="1">
      <c r="A50" s="191"/>
      <c r="B50" s="364"/>
      <c r="C50" s="365"/>
      <c r="D50" s="365"/>
      <c r="E50" s="359"/>
      <c r="F50" s="194"/>
      <c r="G50" s="203"/>
      <c r="H50" s="372" t="s">
        <v>398</v>
      </c>
      <c r="I50" s="264"/>
      <c r="J50" s="206"/>
      <c r="K50" s="360"/>
      <c r="L50" s="373"/>
      <c r="M50" s="373"/>
      <c r="N50" s="373"/>
      <c r="O50" s="363"/>
      <c r="P50" s="363"/>
    </row>
    <row r="51" ht="15.75" customHeight="1">
      <c r="A51" s="191"/>
      <c r="B51" s="364"/>
      <c r="C51" s="365"/>
      <c r="D51" s="365"/>
      <c r="E51" s="359"/>
      <c r="F51" s="194"/>
      <c r="G51" s="203"/>
      <c r="H51" s="372" t="s">
        <v>399</v>
      </c>
      <c r="I51" s="264"/>
      <c r="J51" s="206"/>
      <c r="K51" s="360"/>
      <c r="L51" s="373"/>
      <c r="M51" s="373"/>
      <c r="N51" s="373"/>
      <c r="O51" s="363"/>
      <c r="P51" s="363"/>
    </row>
    <row r="52" ht="15.75" customHeight="1">
      <c r="A52" s="191"/>
      <c r="B52" s="364"/>
      <c r="C52" s="365"/>
      <c r="D52" s="365"/>
      <c r="E52" s="359"/>
      <c r="F52" s="194"/>
      <c r="G52" s="203"/>
      <c r="H52" s="374" t="s">
        <v>400</v>
      </c>
      <c r="I52" s="264"/>
      <c r="J52" s="206"/>
      <c r="K52" s="360"/>
      <c r="L52" s="373"/>
      <c r="M52" s="373"/>
      <c r="N52" s="373"/>
      <c r="O52" s="363"/>
      <c r="P52" s="363"/>
    </row>
    <row r="53" ht="15.75" customHeight="1">
      <c r="A53" s="191"/>
      <c r="B53" s="364"/>
      <c r="C53" s="365"/>
      <c r="D53" s="365"/>
      <c r="E53" s="359"/>
      <c r="F53" s="194"/>
      <c r="G53" s="203"/>
      <c r="H53" s="375" t="s">
        <v>401</v>
      </c>
      <c r="I53" s="264"/>
      <c r="J53" s="206"/>
      <c r="K53" s="360"/>
      <c r="L53" s="373"/>
      <c r="M53" s="373"/>
      <c r="N53" s="373"/>
      <c r="O53" s="363"/>
      <c r="P53" s="363"/>
    </row>
    <row r="54" ht="15.75" customHeight="1">
      <c r="A54" s="191"/>
      <c r="B54" s="364"/>
      <c r="C54" s="365"/>
      <c r="D54" s="365"/>
      <c r="E54" s="359"/>
      <c r="F54" s="194"/>
      <c r="G54" s="203"/>
      <c r="H54" s="375" t="s">
        <v>402</v>
      </c>
      <c r="I54" s="264"/>
      <c r="J54" s="206"/>
      <c r="K54" s="360"/>
      <c r="L54" s="373"/>
      <c r="M54" s="373"/>
      <c r="N54" s="373"/>
      <c r="O54" s="363"/>
      <c r="P54" s="363"/>
    </row>
    <row r="55" ht="15.75" customHeight="1">
      <c r="A55" s="191"/>
      <c r="B55" s="364"/>
      <c r="C55" s="365"/>
      <c r="D55" s="365"/>
      <c r="E55" s="359"/>
      <c r="F55" s="194"/>
      <c r="G55" s="203"/>
      <c r="H55" s="375" t="s">
        <v>403</v>
      </c>
      <c r="I55" s="264"/>
      <c r="J55" s="206"/>
      <c r="K55" s="360"/>
      <c r="L55" s="373"/>
      <c r="M55" s="373"/>
      <c r="N55" s="373"/>
      <c r="O55" s="363"/>
      <c r="P55" s="363"/>
    </row>
    <row r="56" ht="15.75" customHeight="1">
      <c r="A56" s="191"/>
      <c r="B56" s="364"/>
      <c r="C56" s="365"/>
      <c r="D56" s="365"/>
      <c r="E56" s="359"/>
      <c r="F56" s="194"/>
      <c r="G56" s="203"/>
      <c r="H56" s="375" t="s">
        <v>404</v>
      </c>
      <c r="I56" s="264"/>
      <c r="J56" s="206"/>
      <c r="K56" s="360"/>
      <c r="L56" s="373"/>
      <c r="M56" s="373"/>
      <c r="N56" s="373"/>
      <c r="O56" s="363"/>
      <c r="P56" s="363"/>
    </row>
    <row r="57" ht="15.75" customHeight="1">
      <c r="A57" s="191"/>
      <c r="B57" s="364"/>
      <c r="C57" s="365"/>
      <c r="D57" s="365"/>
      <c r="E57" s="359"/>
      <c r="F57" s="194"/>
      <c r="G57" s="203"/>
      <c r="H57" s="375" t="s">
        <v>405</v>
      </c>
      <c r="I57" s="264"/>
      <c r="J57" s="206"/>
      <c r="K57" s="360"/>
      <c r="L57" s="373"/>
      <c r="M57" s="373"/>
      <c r="N57" s="373"/>
      <c r="O57" s="363"/>
      <c r="P57" s="363"/>
    </row>
    <row r="58" ht="15.75" customHeight="1">
      <c r="A58" s="191"/>
      <c r="B58" s="364"/>
      <c r="C58" s="365"/>
      <c r="D58" s="365"/>
      <c r="E58" s="359"/>
      <c r="F58" s="194"/>
      <c r="G58" s="203"/>
      <c r="H58" s="375" t="s">
        <v>406</v>
      </c>
      <c r="I58" s="264"/>
      <c r="J58" s="206"/>
      <c r="K58" s="360"/>
      <c r="L58" s="373"/>
      <c r="M58" s="373"/>
      <c r="N58" s="373"/>
      <c r="O58" s="363"/>
      <c r="P58" s="363"/>
    </row>
    <row r="59" ht="15.75" customHeight="1">
      <c r="A59" s="191"/>
      <c r="B59" s="364"/>
      <c r="C59" s="365"/>
      <c r="D59" s="365"/>
      <c r="E59" s="359"/>
      <c r="F59" s="194"/>
      <c r="G59" s="203"/>
      <c r="H59" s="375" t="s">
        <v>407</v>
      </c>
      <c r="I59" s="264"/>
      <c r="J59" s="206"/>
      <c r="K59" s="360"/>
      <c r="L59" s="373"/>
      <c r="M59" s="373"/>
      <c r="N59" s="373"/>
      <c r="O59" s="363"/>
      <c r="P59" s="363"/>
    </row>
    <row r="60" ht="15.75" customHeight="1">
      <c r="A60" s="191"/>
      <c r="B60" s="364"/>
      <c r="C60" s="365"/>
      <c r="D60" s="365"/>
      <c r="E60" s="359"/>
      <c r="F60" s="194"/>
      <c r="G60" s="203"/>
      <c r="H60" s="263" t="s">
        <v>408</v>
      </c>
      <c r="I60" s="264"/>
      <c r="J60" s="206"/>
      <c r="K60" s="360"/>
      <c r="L60" s="373"/>
      <c r="M60" s="373"/>
      <c r="N60" s="373"/>
      <c r="O60" s="363"/>
      <c r="P60" s="363"/>
    </row>
    <row r="61" ht="15.75" customHeight="1">
      <c r="A61" s="191"/>
      <c r="B61" s="364"/>
      <c r="C61" s="365"/>
      <c r="D61" s="365"/>
      <c r="E61" s="359"/>
      <c r="F61" s="194"/>
      <c r="G61" s="203"/>
      <c r="H61" s="263" t="s">
        <v>409</v>
      </c>
      <c r="I61" s="264"/>
      <c r="J61" s="206"/>
      <c r="K61" s="360"/>
      <c r="L61" s="373"/>
      <c r="M61" s="373"/>
      <c r="N61" s="373"/>
      <c r="O61" s="363"/>
      <c r="P61" s="363"/>
    </row>
    <row r="62" ht="15.75" customHeight="1">
      <c r="A62" s="191"/>
      <c r="B62" s="364"/>
      <c r="C62" s="365"/>
      <c r="D62" s="365"/>
      <c r="E62" s="359"/>
      <c r="F62" s="194"/>
      <c r="G62" s="203"/>
      <c r="H62" s="269" t="s">
        <v>410</v>
      </c>
      <c r="I62" s="264"/>
      <c r="J62" s="206"/>
      <c r="K62" s="360"/>
      <c r="L62" s="373"/>
      <c r="M62" s="373"/>
      <c r="N62" s="373"/>
      <c r="O62" s="363"/>
      <c r="P62" s="363"/>
    </row>
    <row r="63" ht="6.0" customHeight="1">
      <c r="A63" s="191"/>
      <c r="B63" s="364"/>
      <c r="C63" s="365"/>
      <c r="D63" s="365"/>
      <c r="E63" s="359"/>
      <c r="F63" s="194"/>
      <c r="G63" s="212"/>
      <c r="H63" s="213"/>
      <c r="I63" s="214"/>
      <c r="J63" s="206"/>
      <c r="K63" s="360"/>
      <c r="L63" s="373"/>
      <c r="M63" s="373"/>
      <c r="N63" s="373"/>
      <c r="O63" s="363"/>
      <c r="P63" s="363"/>
    </row>
    <row r="64" ht="2.25" customHeight="1">
      <c r="A64" s="376"/>
      <c r="B64" s="377"/>
      <c r="C64" s="378"/>
      <c r="D64" s="378"/>
      <c r="E64" s="359"/>
      <c r="F64" s="221"/>
      <c r="G64" s="317"/>
      <c r="H64" s="317"/>
      <c r="I64" s="317"/>
      <c r="J64" s="223"/>
      <c r="K64" s="360"/>
      <c r="L64" s="373"/>
      <c r="M64" s="373"/>
      <c r="N64" s="373"/>
      <c r="O64" s="363"/>
      <c r="P64" s="363"/>
    </row>
    <row r="65" ht="7.5" customHeight="1">
      <c r="A65" s="379"/>
      <c r="B65" s="380"/>
      <c r="C65" s="380"/>
      <c r="D65" s="380"/>
      <c r="E65" s="381"/>
      <c r="F65" s="382"/>
      <c r="G65" s="383"/>
      <c r="H65" s="383"/>
      <c r="I65" s="383"/>
      <c r="J65" s="384"/>
      <c r="K65" s="385"/>
      <c r="L65" s="385"/>
      <c r="M65" s="385"/>
      <c r="N65" s="385"/>
      <c r="O65" s="386"/>
      <c r="P65" s="386"/>
    </row>
    <row r="66" ht="7.5" customHeight="1">
      <c r="A66" s="387"/>
      <c r="B66" s="388"/>
      <c r="C66" s="388"/>
      <c r="D66" s="388"/>
      <c r="E66" s="389"/>
      <c r="F66" s="390"/>
      <c r="G66" s="391"/>
      <c r="H66" s="391"/>
      <c r="I66" s="391"/>
      <c r="J66" s="392"/>
      <c r="K66" s="393"/>
      <c r="L66" s="393"/>
      <c r="M66" s="393"/>
      <c r="N66" s="393"/>
      <c r="O66" s="394"/>
      <c r="P66" s="394"/>
    </row>
    <row r="67" ht="2.25" customHeight="1">
      <c r="A67" s="395" t="s">
        <v>411</v>
      </c>
      <c r="B67" s="396"/>
      <c r="C67" s="397" t="s">
        <v>412</v>
      </c>
      <c r="D67" s="398" t="str">
        <f>Source!$V$6</f>
        <v/>
      </c>
      <c r="E67" s="399"/>
      <c r="F67" s="185"/>
      <c r="G67" s="247"/>
      <c r="H67" s="247"/>
      <c r="I67" s="247"/>
      <c r="J67" s="248"/>
      <c r="K67" s="400"/>
      <c r="L67" s="401"/>
      <c r="M67" s="401"/>
      <c r="N67" s="401"/>
      <c r="O67" s="402"/>
      <c r="P67" s="403"/>
    </row>
    <row r="68" ht="6.0" customHeight="1">
      <c r="A68" s="191"/>
      <c r="B68" s="404"/>
      <c r="C68" s="405"/>
      <c r="D68" s="405"/>
      <c r="E68" s="399"/>
      <c r="F68" s="194"/>
      <c r="G68" s="255"/>
      <c r="H68" s="196"/>
      <c r="I68" s="197"/>
      <c r="J68" s="206"/>
      <c r="K68" s="406"/>
      <c r="L68" s="256"/>
      <c r="M68" s="257"/>
      <c r="N68" s="257"/>
      <c r="O68" s="202"/>
      <c r="P68" s="407"/>
    </row>
    <row r="69" ht="15.75" customHeight="1">
      <c r="A69" s="191"/>
      <c r="B69" s="404"/>
      <c r="C69" s="405"/>
      <c r="D69" s="405"/>
      <c r="E69" s="399"/>
      <c r="F69" s="194"/>
      <c r="G69" s="203"/>
      <c r="H69" s="306" t="s">
        <v>413</v>
      </c>
      <c r="I69" s="205"/>
      <c r="J69" s="206"/>
      <c r="K69" s="406"/>
      <c r="L69" s="208"/>
      <c r="M69" s="260" t="str">
        <f>Source!$B$8</f>
        <v/>
      </c>
      <c r="N69" s="261">
        <v>0.0</v>
      </c>
      <c r="O69" s="262"/>
      <c r="P69" s="407"/>
    </row>
    <row r="70" ht="6.0" customHeight="1">
      <c r="A70" s="191"/>
      <c r="B70" s="404"/>
      <c r="C70" s="405"/>
      <c r="D70" s="405"/>
      <c r="E70" s="399"/>
      <c r="F70" s="194"/>
      <c r="G70" s="203"/>
      <c r="H70" s="307" t="s">
        <v>414</v>
      </c>
      <c r="I70" s="264"/>
      <c r="J70" s="206"/>
      <c r="K70" s="406"/>
      <c r="L70" s="215"/>
      <c r="M70" s="215"/>
      <c r="N70" s="215"/>
      <c r="O70" s="265"/>
      <c r="P70" s="407"/>
    </row>
    <row r="71" ht="9.75" customHeight="1">
      <c r="A71" s="191"/>
      <c r="B71" s="404"/>
      <c r="C71" s="405"/>
      <c r="D71" s="405"/>
      <c r="E71" s="399"/>
      <c r="F71" s="194"/>
      <c r="G71" s="203"/>
      <c r="H71" s="266"/>
      <c r="I71" s="264"/>
      <c r="J71" s="206"/>
      <c r="K71" s="400"/>
      <c r="L71" s="408"/>
      <c r="M71" s="408"/>
      <c r="N71" s="408"/>
      <c r="O71" s="409"/>
      <c r="P71" s="403"/>
    </row>
    <row r="72" ht="15.75" customHeight="1">
      <c r="A72" s="191"/>
      <c r="B72" s="404"/>
      <c r="C72" s="405"/>
      <c r="D72" s="405"/>
      <c r="E72" s="399"/>
      <c r="F72" s="194"/>
      <c r="G72" s="203"/>
      <c r="H72" s="410" t="s">
        <v>415</v>
      </c>
      <c r="I72" s="264"/>
      <c r="J72" s="206"/>
      <c r="K72" s="400"/>
      <c r="L72" s="411"/>
      <c r="M72" s="411"/>
      <c r="N72" s="411"/>
      <c r="O72" s="403"/>
      <c r="P72" s="403"/>
    </row>
    <row r="73" ht="15.75" customHeight="1">
      <c r="A73" s="191"/>
      <c r="B73" s="404"/>
      <c r="C73" s="405"/>
      <c r="D73" s="405"/>
      <c r="E73" s="399"/>
      <c r="F73" s="194"/>
      <c r="G73" s="203"/>
      <c r="H73" s="410" t="s">
        <v>416</v>
      </c>
      <c r="I73" s="264"/>
      <c r="J73" s="206"/>
      <c r="K73" s="400"/>
      <c r="L73" s="411"/>
      <c r="M73" s="411"/>
      <c r="N73" s="411"/>
      <c r="O73" s="403"/>
      <c r="P73" s="403"/>
    </row>
    <row r="74" ht="15.75" customHeight="1">
      <c r="A74" s="191"/>
      <c r="B74" s="404"/>
      <c r="C74" s="405"/>
      <c r="D74" s="405"/>
      <c r="E74" s="399"/>
      <c r="F74" s="194"/>
      <c r="G74" s="203"/>
      <c r="H74" s="410" t="s">
        <v>417</v>
      </c>
      <c r="I74" s="264"/>
      <c r="J74" s="206"/>
      <c r="K74" s="400"/>
      <c r="L74" s="411"/>
      <c r="M74" s="411"/>
      <c r="N74" s="411"/>
      <c r="O74" s="403"/>
      <c r="P74" s="403"/>
    </row>
    <row r="75" ht="15.75" customHeight="1">
      <c r="A75" s="191"/>
      <c r="B75" s="404"/>
      <c r="C75" s="405"/>
      <c r="D75" s="405"/>
      <c r="E75" s="399"/>
      <c r="F75" s="194"/>
      <c r="G75" s="203"/>
      <c r="H75" s="412" t="s">
        <v>418</v>
      </c>
      <c r="I75" s="264"/>
      <c r="J75" s="206"/>
      <c r="K75" s="400"/>
      <c r="L75" s="411"/>
      <c r="M75" s="411"/>
      <c r="N75" s="411"/>
      <c r="O75" s="403"/>
      <c r="P75" s="403"/>
    </row>
    <row r="76" ht="6.0" customHeight="1">
      <c r="A76" s="191"/>
      <c r="B76" s="404"/>
      <c r="C76" s="405"/>
      <c r="D76" s="405"/>
      <c r="E76" s="399"/>
      <c r="F76" s="194"/>
      <c r="G76" s="212"/>
      <c r="H76" s="213"/>
      <c r="I76" s="214"/>
      <c r="J76" s="206"/>
      <c r="K76" s="400"/>
      <c r="L76" s="411"/>
      <c r="M76" s="411"/>
      <c r="N76" s="411"/>
      <c r="O76" s="403"/>
      <c r="P76" s="403"/>
    </row>
    <row r="77" ht="2.25" customHeight="1">
      <c r="A77" s="413"/>
      <c r="B77" s="414"/>
      <c r="C77" s="415"/>
      <c r="D77" s="415"/>
      <c r="E77" s="399"/>
      <c r="F77" s="221"/>
      <c r="G77" s="317"/>
      <c r="H77" s="317"/>
      <c r="I77" s="317"/>
      <c r="J77" s="223"/>
      <c r="K77" s="400"/>
      <c r="L77" s="411"/>
      <c r="M77" s="411"/>
      <c r="N77" s="411"/>
      <c r="O77" s="403"/>
      <c r="P77" s="403"/>
    </row>
    <row r="78" ht="7.5" customHeight="1">
      <c r="A78" s="416"/>
      <c r="B78" s="417"/>
      <c r="C78" s="417"/>
      <c r="D78" s="417"/>
      <c r="E78" s="418"/>
      <c r="F78" s="419"/>
      <c r="G78" s="420"/>
      <c r="H78" s="420"/>
      <c r="I78" s="420"/>
      <c r="J78" s="421"/>
      <c r="K78" s="422"/>
      <c r="L78" s="422"/>
      <c r="M78" s="422"/>
      <c r="N78" s="422"/>
      <c r="O78" s="423"/>
      <c r="P78" s="423"/>
    </row>
    <row r="79" ht="7.5" customHeight="1">
      <c r="A79" s="176"/>
      <c r="B79" s="177"/>
      <c r="C79" s="177"/>
      <c r="D79" s="177"/>
      <c r="E79" s="178"/>
      <c r="F79" s="179"/>
      <c r="G79" s="179"/>
      <c r="H79" s="179"/>
      <c r="I79" s="179"/>
      <c r="J79" s="179"/>
      <c r="K79" s="180"/>
      <c r="L79" s="180"/>
      <c r="M79" s="180"/>
      <c r="N79" s="180"/>
      <c r="O79" s="180"/>
      <c r="P79" s="180"/>
    </row>
    <row r="80" ht="2.25" customHeight="1">
      <c r="A80" s="424" t="s">
        <v>419</v>
      </c>
      <c r="B80" s="182"/>
      <c r="C80" s="425" t="s">
        <v>420</v>
      </c>
      <c r="D80" s="183" t="str">
        <f>Source!$V$7</f>
        <v/>
      </c>
      <c r="E80" s="184"/>
      <c r="F80" s="185"/>
      <c r="G80" s="186"/>
      <c r="H80" s="186"/>
      <c r="I80" s="186"/>
      <c r="J80" s="187"/>
      <c r="K80" s="188"/>
      <c r="L80" s="189"/>
      <c r="M80" s="189"/>
      <c r="N80" s="189"/>
      <c r="O80" s="189"/>
      <c r="P80" s="190"/>
    </row>
    <row r="81" ht="6.0" customHeight="1">
      <c r="A81" s="191"/>
      <c r="B81" s="192"/>
      <c r="C81" s="193"/>
      <c r="D81" s="193"/>
      <c r="E81" s="184"/>
      <c r="F81" s="194"/>
      <c r="G81" s="195"/>
      <c r="H81" s="196"/>
      <c r="I81" s="197"/>
      <c r="J81" s="198"/>
      <c r="K81" s="199"/>
      <c r="L81" s="200"/>
      <c r="M81" s="201"/>
      <c r="N81" s="201"/>
      <c r="O81" s="202"/>
      <c r="P81" s="188"/>
    </row>
    <row r="82" ht="15.75" customHeight="1">
      <c r="A82" s="191"/>
      <c r="B82" s="192"/>
      <c r="C82" s="193"/>
      <c r="D82" s="193"/>
      <c r="E82" s="184"/>
      <c r="F82" s="194"/>
      <c r="G82" s="203"/>
      <c r="H82" s="426" t="s">
        <v>421</v>
      </c>
      <c r="I82" s="205"/>
      <c r="J82" s="206"/>
      <c r="K82" s="207"/>
      <c r="L82" s="208"/>
      <c r="M82" s="260" t="str">
        <f>Source!$B$8</f>
        <v/>
      </c>
      <c r="N82" s="210">
        <v>0.0</v>
      </c>
      <c r="O82" s="211"/>
      <c r="P82" s="188"/>
    </row>
    <row r="83" ht="6.0" customHeight="1">
      <c r="A83" s="191"/>
      <c r="B83" s="192"/>
      <c r="C83" s="193"/>
      <c r="D83" s="193"/>
      <c r="E83" s="184"/>
      <c r="F83" s="194"/>
      <c r="G83" s="212"/>
      <c r="H83" s="213"/>
      <c r="I83" s="214"/>
      <c r="J83" s="206"/>
      <c r="K83" s="207"/>
      <c r="L83" s="215"/>
      <c r="M83" s="216"/>
      <c r="N83" s="216"/>
      <c r="O83" s="217"/>
      <c r="P83" s="188"/>
    </row>
    <row r="84" ht="2.25" customHeight="1">
      <c r="A84" s="218"/>
      <c r="B84" s="219"/>
      <c r="C84" s="220"/>
      <c r="D84" s="220"/>
      <c r="E84" s="184"/>
      <c r="F84" s="221"/>
      <c r="G84" s="222"/>
      <c r="H84" s="222"/>
      <c r="I84" s="222"/>
      <c r="J84" s="223"/>
      <c r="K84" s="224"/>
      <c r="L84" s="225"/>
      <c r="M84" s="225"/>
      <c r="N84" s="225"/>
      <c r="O84" s="226"/>
      <c r="P84" s="190"/>
    </row>
    <row r="85" ht="7.5" customHeight="1">
      <c r="A85" s="227"/>
      <c r="B85" s="228"/>
      <c r="C85" s="228"/>
      <c r="D85" s="228"/>
      <c r="E85" s="229"/>
      <c r="F85" s="230"/>
      <c r="G85" s="231"/>
      <c r="H85" s="231"/>
      <c r="I85" s="231"/>
      <c r="J85" s="232"/>
      <c r="K85" s="233"/>
      <c r="L85" s="233"/>
      <c r="M85" s="233"/>
      <c r="N85" s="233"/>
      <c r="O85" s="234"/>
      <c r="P85" s="234"/>
    </row>
    <row r="86" ht="7.5" customHeight="1">
      <c r="A86" s="427"/>
      <c r="B86" s="428"/>
      <c r="C86" s="428"/>
      <c r="D86" s="428"/>
      <c r="E86" s="429"/>
      <c r="F86" s="430"/>
      <c r="G86" s="431"/>
      <c r="H86" s="431"/>
      <c r="I86" s="431"/>
      <c r="J86" s="432"/>
      <c r="K86" s="433"/>
      <c r="L86" s="433"/>
      <c r="M86" s="433"/>
      <c r="N86" s="433"/>
      <c r="O86" s="434"/>
      <c r="P86" s="434"/>
    </row>
    <row r="87" ht="2.25" customHeight="1">
      <c r="A87" s="435" t="s">
        <v>422</v>
      </c>
      <c r="B87" s="436"/>
      <c r="C87" s="437" t="s">
        <v>412</v>
      </c>
      <c r="D87" s="438" t="str">
        <f>Source!$V$8</f>
        <v/>
      </c>
      <c r="E87" s="439"/>
      <c r="F87" s="185"/>
      <c r="G87" s="247"/>
      <c r="H87" s="247"/>
      <c r="I87" s="247"/>
      <c r="J87" s="248"/>
      <c r="K87" s="440"/>
      <c r="L87" s="441"/>
      <c r="M87" s="441"/>
      <c r="N87" s="441"/>
      <c r="O87" s="442"/>
      <c r="P87" s="443"/>
    </row>
    <row r="88" ht="6.0" customHeight="1">
      <c r="A88" s="191"/>
      <c r="B88" s="444"/>
      <c r="C88" s="445"/>
      <c r="D88" s="445"/>
      <c r="E88" s="439"/>
      <c r="F88" s="194"/>
      <c r="G88" s="255"/>
      <c r="H88" s="196"/>
      <c r="I88" s="197"/>
      <c r="J88" s="206"/>
      <c r="K88" s="446"/>
      <c r="L88" s="256"/>
      <c r="M88" s="257"/>
      <c r="N88" s="257"/>
      <c r="O88" s="202"/>
      <c r="P88" s="407"/>
    </row>
    <row r="89" ht="15.75" customHeight="1">
      <c r="A89" s="191"/>
      <c r="B89" s="444"/>
      <c r="C89" s="445"/>
      <c r="D89" s="445"/>
      <c r="E89" s="439"/>
      <c r="F89" s="194"/>
      <c r="G89" s="203"/>
      <c r="H89" s="306" t="s">
        <v>423</v>
      </c>
      <c r="I89" s="205"/>
      <c r="J89" s="206"/>
      <c r="K89" s="446"/>
      <c r="L89" s="208"/>
      <c r="M89" s="260" t="str">
        <f>Source!$B$8</f>
        <v/>
      </c>
      <c r="N89" s="261">
        <v>0.0</v>
      </c>
      <c r="O89" s="262"/>
      <c r="P89" s="407"/>
    </row>
    <row r="90" ht="6.0" customHeight="1">
      <c r="A90" s="191"/>
      <c r="B90" s="444"/>
      <c r="C90" s="445"/>
      <c r="D90" s="445"/>
      <c r="E90" s="439"/>
      <c r="F90" s="194"/>
      <c r="G90" s="203"/>
      <c r="H90" s="307" t="s">
        <v>424</v>
      </c>
      <c r="I90" s="264"/>
      <c r="J90" s="206"/>
      <c r="K90" s="446"/>
      <c r="L90" s="215"/>
      <c r="M90" s="215"/>
      <c r="N90" s="215"/>
      <c r="O90" s="265"/>
      <c r="P90" s="407"/>
    </row>
    <row r="91" ht="9.75" customHeight="1">
      <c r="A91" s="191"/>
      <c r="B91" s="444"/>
      <c r="C91" s="445"/>
      <c r="D91" s="445"/>
      <c r="E91" s="439"/>
      <c r="F91" s="194"/>
      <c r="G91" s="203"/>
      <c r="H91" s="266"/>
      <c r="I91" s="264"/>
      <c r="J91" s="206"/>
      <c r="K91" s="440"/>
      <c r="L91" s="447"/>
      <c r="M91" s="447"/>
      <c r="N91" s="447"/>
      <c r="O91" s="448"/>
      <c r="P91" s="449"/>
    </row>
    <row r="92" ht="15.75" customHeight="1">
      <c r="A92" s="191"/>
      <c r="B92" s="444"/>
      <c r="C92" s="445"/>
      <c r="D92" s="445"/>
      <c r="E92" s="439"/>
      <c r="F92" s="194"/>
      <c r="G92" s="203"/>
      <c r="H92" s="410" t="s">
        <v>425</v>
      </c>
      <c r="I92" s="264"/>
      <c r="J92" s="206"/>
      <c r="K92" s="440"/>
      <c r="L92" s="450"/>
      <c r="M92" s="450"/>
      <c r="N92" s="450"/>
      <c r="O92" s="451"/>
      <c r="P92" s="451"/>
    </row>
    <row r="93" ht="15.75" customHeight="1">
      <c r="A93" s="191"/>
      <c r="B93" s="444"/>
      <c r="C93" s="445"/>
      <c r="D93" s="445"/>
      <c r="E93" s="439"/>
      <c r="F93" s="194"/>
      <c r="G93" s="203"/>
      <c r="H93" s="410" t="s">
        <v>426</v>
      </c>
      <c r="I93" s="264"/>
      <c r="J93" s="206"/>
      <c r="K93" s="440"/>
      <c r="L93" s="450"/>
      <c r="M93" s="450"/>
      <c r="N93" s="450"/>
      <c r="O93" s="451"/>
      <c r="P93" s="451"/>
    </row>
    <row r="94" ht="6.0" customHeight="1">
      <c r="A94" s="191"/>
      <c r="B94" s="444"/>
      <c r="C94" s="445"/>
      <c r="D94" s="445"/>
      <c r="E94" s="439"/>
      <c r="F94" s="194"/>
      <c r="G94" s="212"/>
      <c r="H94" s="213"/>
      <c r="I94" s="214"/>
      <c r="J94" s="206"/>
      <c r="K94" s="440"/>
      <c r="L94" s="450"/>
      <c r="M94" s="450"/>
      <c r="N94" s="450"/>
      <c r="O94" s="451"/>
      <c r="P94" s="451"/>
    </row>
    <row r="95" ht="2.25" customHeight="1">
      <c r="A95" s="452"/>
      <c r="B95" s="453"/>
      <c r="C95" s="454"/>
      <c r="D95" s="454"/>
      <c r="E95" s="439"/>
      <c r="F95" s="221"/>
      <c r="G95" s="317"/>
      <c r="H95" s="317"/>
      <c r="I95" s="317"/>
      <c r="J95" s="223"/>
      <c r="K95" s="440"/>
      <c r="L95" s="450"/>
      <c r="M95" s="450"/>
      <c r="N95" s="450"/>
      <c r="O95" s="451"/>
      <c r="P95" s="451"/>
    </row>
    <row r="96" ht="7.5" customHeight="1">
      <c r="A96" s="455"/>
      <c r="B96" s="456"/>
      <c r="C96" s="456"/>
      <c r="D96" s="456"/>
      <c r="E96" s="457"/>
      <c r="F96" s="458"/>
      <c r="G96" s="459"/>
      <c r="H96" s="459"/>
      <c r="I96" s="459"/>
      <c r="J96" s="460"/>
      <c r="K96" s="461"/>
      <c r="L96" s="461"/>
      <c r="M96" s="461"/>
      <c r="N96" s="461"/>
      <c r="O96" s="462"/>
      <c r="P96" s="462"/>
    </row>
    <row r="97" ht="7.5" customHeight="1">
      <c r="A97" s="387"/>
      <c r="B97" s="388"/>
      <c r="C97" s="388"/>
      <c r="D97" s="388"/>
      <c r="E97" s="389"/>
      <c r="F97" s="390"/>
      <c r="G97" s="391"/>
      <c r="H97" s="391"/>
      <c r="I97" s="391"/>
      <c r="J97" s="392"/>
      <c r="K97" s="393"/>
      <c r="L97" s="393"/>
      <c r="M97" s="393"/>
      <c r="N97" s="393"/>
      <c r="O97" s="394"/>
      <c r="P97" s="394"/>
    </row>
    <row r="98" ht="2.25" customHeight="1">
      <c r="A98" s="463" t="s">
        <v>427</v>
      </c>
      <c r="B98" s="396"/>
      <c r="C98" s="398" t="s">
        <v>412</v>
      </c>
      <c r="D98" s="398" t="str">
        <f>Source!$V$9</f>
        <v/>
      </c>
      <c r="E98" s="399"/>
      <c r="F98" s="185"/>
      <c r="G98" s="247"/>
      <c r="H98" s="247"/>
      <c r="I98" s="247"/>
      <c r="J98" s="248"/>
      <c r="K98" s="400"/>
      <c r="L98" s="401"/>
      <c r="M98" s="401"/>
      <c r="N98" s="401"/>
      <c r="O98" s="402"/>
      <c r="P98" s="403"/>
    </row>
    <row r="99" ht="6.0" customHeight="1">
      <c r="A99" s="191"/>
      <c r="B99" s="404"/>
      <c r="C99" s="405"/>
      <c r="D99" s="405"/>
      <c r="E99" s="399"/>
      <c r="F99" s="194"/>
      <c r="G99" s="255"/>
      <c r="H99" s="196"/>
      <c r="I99" s="197"/>
      <c r="J99" s="206"/>
      <c r="K99" s="406"/>
      <c r="L99" s="256"/>
      <c r="M99" s="257"/>
      <c r="N99" s="257"/>
      <c r="O99" s="202"/>
      <c r="P99" s="407"/>
    </row>
    <row r="100" ht="15.75" customHeight="1">
      <c r="A100" s="191"/>
      <c r="B100" s="404"/>
      <c r="C100" s="405"/>
      <c r="D100" s="405"/>
      <c r="E100" s="399"/>
      <c r="F100" s="194"/>
      <c r="G100" s="203"/>
      <c r="H100" s="368" t="s">
        <v>428</v>
      </c>
      <c r="I100" s="205"/>
      <c r="J100" s="206"/>
      <c r="K100" s="406"/>
      <c r="L100" s="208"/>
      <c r="M100" s="260" t="str">
        <f>Source!$B$8</f>
        <v/>
      </c>
      <c r="N100" s="261" t="s">
        <v>429</v>
      </c>
      <c r="O100" s="262"/>
      <c r="P100" s="407"/>
    </row>
    <row r="101" ht="6.0" customHeight="1">
      <c r="A101" s="191"/>
      <c r="B101" s="404"/>
      <c r="C101" s="405"/>
      <c r="D101" s="405"/>
      <c r="E101" s="399"/>
      <c r="F101" s="194"/>
      <c r="G101" s="203"/>
      <c r="H101" s="369" t="s">
        <v>430</v>
      </c>
      <c r="I101" s="264"/>
      <c r="J101" s="206"/>
      <c r="K101" s="406"/>
      <c r="L101" s="215"/>
      <c r="M101" s="215"/>
      <c r="N101" s="215"/>
      <c r="O101" s="265"/>
      <c r="P101" s="407"/>
    </row>
    <row r="102" ht="9.75" customHeight="1">
      <c r="A102" s="191"/>
      <c r="B102" s="404"/>
      <c r="C102" s="405"/>
      <c r="D102" s="405"/>
      <c r="E102" s="399"/>
      <c r="F102" s="194"/>
      <c r="G102" s="203"/>
      <c r="H102" s="266"/>
      <c r="I102" s="264"/>
      <c r="J102" s="206"/>
      <c r="K102" s="400"/>
      <c r="L102" s="408"/>
      <c r="M102" s="408"/>
      <c r="N102" s="408"/>
      <c r="O102" s="409"/>
      <c r="P102" s="403"/>
    </row>
    <row r="103" ht="15.75" customHeight="1">
      <c r="A103" s="191"/>
      <c r="B103" s="404"/>
      <c r="C103" s="405"/>
      <c r="D103" s="405"/>
      <c r="E103" s="399"/>
      <c r="F103" s="194"/>
      <c r="G103" s="203"/>
      <c r="H103" s="375" t="s">
        <v>431</v>
      </c>
      <c r="I103" s="264"/>
      <c r="J103" s="206"/>
      <c r="K103" s="400"/>
      <c r="L103" s="411"/>
      <c r="M103" s="411"/>
      <c r="N103" s="411"/>
      <c r="O103" s="403"/>
      <c r="P103" s="403"/>
    </row>
    <row r="104" ht="15.75" customHeight="1">
      <c r="A104" s="191"/>
      <c r="B104" s="404"/>
      <c r="C104" s="405"/>
      <c r="D104" s="405"/>
      <c r="E104" s="399"/>
      <c r="F104" s="194"/>
      <c r="G104" s="203"/>
      <c r="H104" s="375" t="s">
        <v>432</v>
      </c>
      <c r="I104" s="264"/>
      <c r="J104" s="206"/>
      <c r="K104" s="400"/>
      <c r="L104" s="411"/>
      <c r="M104" s="411"/>
      <c r="N104" s="411"/>
      <c r="O104" s="403"/>
      <c r="P104" s="403"/>
    </row>
    <row r="105" ht="15.75" customHeight="1">
      <c r="A105" s="191"/>
      <c r="B105" s="404"/>
      <c r="C105" s="405"/>
      <c r="D105" s="405"/>
      <c r="E105" s="399"/>
      <c r="F105" s="194"/>
      <c r="G105" s="203"/>
      <c r="H105" s="375" t="s">
        <v>433</v>
      </c>
      <c r="I105" s="264"/>
      <c r="J105" s="206"/>
      <c r="K105" s="400"/>
      <c r="L105" s="411"/>
      <c r="M105" s="411"/>
      <c r="N105" s="411"/>
      <c r="O105" s="403"/>
      <c r="P105" s="403"/>
    </row>
    <row r="106" ht="15.75" customHeight="1">
      <c r="A106" s="191"/>
      <c r="B106" s="404"/>
      <c r="C106" s="405"/>
      <c r="D106" s="405"/>
      <c r="E106" s="399"/>
      <c r="F106" s="194"/>
      <c r="G106" s="203"/>
      <c r="H106" s="464" t="s">
        <v>434</v>
      </c>
      <c r="I106" s="264"/>
      <c r="J106" s="206"/>
      <c r="K106" s="400"/>
      <c r="L106" s="411"/>
      <c r="M106" s="411"/>
      <c r="N106" s="411"/>
      <c r="O106" s="403"/>
      <c r="P106" s="403"/>
    </row>
    <row r="107" ht="15.75" customHeight="1">
      <c r="A107" s="191"/>
      <c r="B107" s="404"/>
      <c r="C107" s="405"/>
      <c r="D107" s="405"/>
      <c r="E107" s="399"/>
      <c r="F107" s="194"/>
      <c r="G107" s="203"/>
      <c r="H107" s="375" t="s">
        <v>435</v>
      </c>
      <c r="I107" s="264"/>
      <c r="J107" s="206"/>
      <c r="K107" s="400"/>
      <c r="L107" s="411"/>
      <c r="M107" s="411"/>
      <c r="N107" s="411"/>
      <c r="O107" s="403"/>
      <c r="P107" s="403"/>
    </row>
    <row r="108" ht="15.75" customHeight="1">
      <c r="A108" s="191"/>
      <c r="B108" s="404"/>
      <c r="C108" s="405"/>
      <c r="D108" s="405"/>
      <c r="E108" s="399"/>
      <c r="F108" s="194"/>
      <c r="G108" s="203"/>
      <c r="H108" s="410" t="s">
        <v>436</v>
      </c>
      <c r="I108" s="264"/>
      <c r="J108" s="206"/>
      <c r="K108" s="400"/>
      <c r="L108" s="411"/>
      <c r="M108" s="411"/>
      <c r="N108" s="411"/>
      <c r="O108" s="403"/>
      <c r="P108" s="403"/>
    </row>
    <row r="109" ht="15.75" customHeight="1">
      <c r="A109" s="191"/>
      <c r="B109" s="404"/>
      <c r="C109" s="405"/>
      <c r="D109" s="405"/>
      <c r="E109" s="399"/>
      <c r="F109" s="194"/>
      <c r="G109" s="203"/>
      <c r="H109" s="410" t="s">
        <v>437</v>
      </c>
      <c r="I109" s="264"/>
      <c r="J109" s="206"/>
      <c r="K109" s="400"/>
      <c r="L109" s="411"/>
      <c r="M109" s="411"/>
      <c r="N109" s="411"/>
      <c r="O109" s="403"/>
      <c r="P109" s="403"/>
    </row>
    <row r="110" ht="15.75" customHeight="1">
      <c r="A110" s="191"/>
      <c r="B110" s="404"/>
      <c r="C110" s="405"/>
      <c r="D110" s="405"/>
      <c r="E110" s="399"/>
      <c r="F110" s="194"/>
      <c r="G110" s="203"/>
      <c r="H110" s="410" t="s">
        <v>438</v>
      </c>
      <c r="I110" s="264"/>
      <c r="J110" s="206"/>
      <c r="K110" s="400"/>
      <c r="L110" s="411"/>
      <c r="M110" s="411"/>
      <c r="N110" s="411"/>
      <c r="O110" s="403"/>
      <c r="P110" s="403"/>
    </row>
    <row r="111" ht="15.75" customHeight="1">
      <c r="A111" s="191"/>
      <c r="B111" s="404"/>
      <c r="C111" s="405"/>
      <c r="D111" s="405"/>
      <c r="E111" s="399"/>
      <c r="F111" s="194"/>
      <c r="G111" s="203"/>
      <c r="H111" s="263" t="s">
        <v>439</v>
      </c>
      <c r="I111" s="264"/>
      <c r="J111" s="206"/>
      <c r="K111" s="400"/>
      <c r="L111" s="411"/>
      <c r="M111" s="411"/>
      <c r="N111" s="411"/>
      <c r="O111" s="403"/>
      <c r="P111" s="403"/>
    </row>
    <row r="112" ht="15.75" customHeight="1">
      <c r="A112" s="191"/>
      <c r="B112" s="404"/>
      <c r="C112" s="405"/>
      <c r="D112" s="405"/>
      <c r="E112" s="399"/>
      <c r="F112" s="194"/>
      <c r="G112" s="203"/>
      <c r="H112" s="263" t="s">
        <v>440</v>
      </c>
      <c r="I112" s="264"/>
      <c r="J112" s="206"/>
      <c r="K112" s="400"/>
      <c r="L112" s="411"/>
      <c r="M112" s="411"/>
      <c r="N112" s="411"/>
      <c r="O112" s="403"/>
      <c r="P112" s="403"/>
    </row>
    <row r="113" ht="6.0" customHeight="1">
      <c r="A113" s="191"/>
      <c r="B113" s="404"/>
      <c r="C113" s="405"/>
      <c r="D113" s="405"/>
      <c r="E113" s="399"/>
      <c r="F113" s="194"/>
      <c r="G113" s="212"/>
      <c r="H113" s="213"/>
      <c r="I113" s="214"/>
      <c r="J113" s="206"/>
      <c r="K113" s="400"/>
      <c r="L113" s="411"/>
      <c r="M113" s="411"/>
      <c r="N113" s="411"/>
      <c r="O113" s="403"/>
      <c r="P113" s="403"/>
    </row>
    <row r="114" ht="2.25" customHeight="1">
      <c r="A114" s="413"/>
      <c r="B114" s="414"/>
      <c r="C114" s="415"/>
      <c r="D114" s="415"/>
      <c r="E114" s="399"/>
      <c r="F114" s="221"/>
      <c r="G114" s="317"/>
      <c r="H114" s="317"/>
      <c r="I114" s="317"/>
      <c r="J114" s="223"/>
      <c r="K114" s="400"/>
      <c r="L114" s="411"/>
      <c r="M114" s="411"/>
      <c r="N114" s="411"/>
      <c r="O114" s="403"/>
      <c r="P114" s="403"/>
    </row>
    <row r="115" ht="7.5" customHeight="1">
      <c r="A115" s="416"/>
      <c r="B115" s="417"/>
      <c r="C115" s="417"/>
      <c r="D115" s="417"/>
      <c r="E115" s="418"/>
      <c r="F115" s="419"/>
      <c r="G115" s="420"/>
      <c r="H115" s="420"/>
      <c r="I115" s="420"/>
      <c r="J115" s="421"/>
      <c r="K115" s="422"/>
      <c r="L115" s="422"/>
      <c r="M115" s="422"/>
      <c r="N115" s="422"/>
      <c r="O115" s="423"/>
      <c r="P115" s="423"/>
    </row>
    <row r="116" ht="7.5" customHeight="1">
      <c r="A116" s="347"/>
      <c r="B116" s="348"/>
      <c r="C116" s="348"/>
      <c r="D116" s="348"/>
      <c r="E116" s="349"/>
      <c r="F116" s="350"/>
      <c r="G116" s="350"/>
      <c r="H116" s="350"/>
      <c r="I116" s="350"/>
      <c r="J116" s="350"/>
      <c r="K116" s="355"/>
      <c r="L116" s="355"/>
      <c r="M116" s="355"/>
      <c r="N116" s="355"/>
      <c r="O116" s="355"/>
      <c r="P116" s="355"/>
    </row>
    <row r="117" ht="2.25" customHeight="1">
      <c r="A117" s="465" t="s">
        <v>441</v>
      </c>
      <c r="B117" s="357"/>
      <c r="C117" s="466" t="s">
        <v>442</v>
      </c>
      <c r="D117" s="358" t="str">
        <f>Source!$V$10</f>
        <v/>
      </c>
      <c r="E117" s="359"/>
      <c r="F117" s="185"/>
      <c r="G117" s="186"/>
      <c r="H117" s="186"/>
      <c r="I117" s="186"/>
      <c r="J117" s="187"/>
      <c r="K117" s="467"/>
      <c r="L117" s="468"/>
      <c r="M117" s="468"/>
      <c r="N117" s="468"/>
      <c r="O117" s="468"/>
      <c r="P117" s="363"/>
    </row>
    <row r="118" ht="6.0" customHeight="1">
      <c r="A118" s="191"/>
      <c r="B118" s="364"/>
      <c r="C118" s="365"/>
      <c r="D118" s="365"/>
      <c r="E118" s="359"/>
      <c r="F118" s="194"/>
      <c r="G118" s="195"/>
      <c r="H118" s="196"/>
      <c r="I118" s="197"/>
      <c r="J118" s="198"/>
      <c r="K118" s="469"/>
      <c r="L118" s="200"/>
      <c r="M118" s="201"/>
      <c r="N118" s="201"/>
      <c r="O118" s="202"/>
      <c r="P118" s="467"/>
    </row>
    <row r="119" ht="15.75" customHeight="1">
      <c r="A119" s="191"/>
      <c r="B119" s="364"/>
      <c r="C119" s="365"/>
      <c r="D119" s="365"/>
      <c r="E119" s="359"/>
      <c r="F119" s="194"/>
      <c r="G119" s="203"/>
      <c r="H119" s="426" t="s">
        <v>443</v>
      </c>
      <c r="I119" s="205"/>
      <c r="J119" s="206"/>
      <c r="K119" s="366"/>
      <c r="L119" s="208"/>
      <c r="M119" s="260" t="str">
        <f>Source!$B$8</f>
        <v/>
      </c>
      <c r="N119" s="470" t="s">
        <v>444</v>
      </c>
      <c r="O119" s="211"/>
      <c r="P119" s="467"/>
    </row>
    <row r="120" ht="6.0" customHeight="1">
      <c r="A120" s="191"/>
      <c r="B120" s="364"/>
      <c r="C120" s="365"/>
      <c r="D120" s="365"/>
      <c r="E120" s="359"/>
      <c r="F120" s="194"/>
      <c r="G120" s="212"/>
      <c r="H120" s="213"/>
      <c r="I120" s="214"/>
      <c r="J120" s="206"/>
      <c r="K120" s="366"/>
      <c r="L120" s="215"/>
      <c r="M120" s="216"/>
      <c r="N120" s="216"/>
      <c r="O120" s="217"/>
      <c r="P120" s="467"/>
    </row>
    <row r="121" ht="3.75" customHeight="1">
      <c r="A121" s="376"/>
      <c r="B121" s="377"/>
      <c r="C121" s="378"/>
      <c r="D121" s="378"/>
      <c r="E121" s="359"/>
      <c r="F121" s="221"/>
      <c r="G121" s="222"/>
      <c r="H121" s="222"/>
      <c r="I121" s="222"/>
      <c r="J121" s="223"/>
      <c r="K121" s="471"/>
      <c r="L121" s="225"/>
      <c r="M121" s="225"/>
      <c r="N121" s="225"/>
      <c r="O121" s="226"/>
      <c r="P121" s="472"/>
    </row>
    <row r="122" ht="7.5" customHeight="1">
      <c r="A122" s="379"/>
      <c r="B122" s="380"/>
      <c r="C122" s="380"/>
      <c r="D122" s="380"/>
      <c r="E122" s="381"/>
      <c r="F122" s="382"/>
      <c r="G122" s="383"/>
      <c r="H122" s="383"/>
      <c r="I122" s="383"/>
      <c r="J122" s="384"/>
      <c r="K122" s="385"/>
      <c r="L122" s="473"/>
      <c r="M122" s="473"/>
      <c r="N122" s="473"/>
      <c r="O122" s="474"/>
      <c r="P122" s="386"/>
    </row>
    <row r="123" ht="7.5" customHeight="1">
      <c r="A123" s="475"/>
      <c r="B123" s="476"/>
      <c r="C123" s="476"/>
      <c r="D123" s="476"/>
      <c r="E123" s="477"/>
      <c r="F123" s="478"/>
      <c r="G123" s="478"/>
      <c r="H123" s="478"/>
      <c r="I123" s="478"/>
      <c r="J123" s="478"/>
      <c r="K123" s="479"/>
      <c r="L123" s="480"/>
      <c r="M123" s="480"/>
      <c r="N123" s="480"/>
      <c r="O123" s="480"/>
      <c r="P123" s="479"/>
    </row>
    <row r="124" ht="2.25" customHeight="1">
      <c r="A124" s="481" t="s">
        <v>445</v>
      </c>
      <c r="B124" s="482"/>
      <c r="C124" s="483" t="s">
        <v>446</v>
      </c>
      <c r="D124" s="483" t="str">
        <f>Source!$V$11</f>
        <v/>
      </c>
      <c r="E124" s="484"/>
      <c r="F124" s="185"/>
      <c r="G124" s="186"/>
      <c r="H124" s="186"/>
      <c r="I124" s="186"/>
      <c r="J124" s="187"/>
      <c r="K124" s="485"/>
      <c r="L124" s="486"/>
      <c r="M124" s="486"/>
      <c r="N124" s="486"/>
      <c r="O124" s="486"/>
      <c r="P124" s="487"/>
    </row>
    <row r="125" ht="6.0" customHeight="1">
      <c r="A125" s="191"/>
      <c r="B125" s="488"/>
      <c r="C125" s="489"/>
      <c r="D125" s="489"/>
      <c r="E125" s="484"/>
      <c r="F125" s="194"/>
      <c r="G125" s="195"/>
      <c r="H125" s="196"/>
      <c r="I125" s="197"/>
      <c r="J125" s="198"/>
      <c r="K125" s="490"/>
      <c r="L125" s="200"/>
      <c r="M125" s="201"/>
      <c r="N125" s="201"/>
      <c r="O125" s="202"/>
      <c r="P125" s="485"/>
    </row>
    <row r="126" ht="15.75" customHeight="1">
      <c r="A126" s="191"/>
      <c r="B126" s="488"/>
      <c r="C126" s="489"/>
      <c r="D126" s="489"/>
      <c r="E126" s="484"/>
      <c r="F126" s="194"/>
      <c r="G126" s="203"/>
      <c r="H126" s="204" t="s">
        <v>447</v>
      </c>
      <c r="I126" s="205"/>
      <c r="J126" s="206"/>
      <c r="K126" s="491"/>
      <c r="L126" s="208"/>
      <c r="M126" s="260" t="str">
        <f>Source!$B$8</f>
        <v/>
      </c>
      <c r="N126" s="470">
        <v>0.0</v>
      </c>
      <c r="O126" s="211"/>
      <c r="P126" s="485"/>
    </row>
    <row r="127" ht="6.0" customHeight="1">
      <c r="A127" s="191"/>
      <c r="B127" s="488"/>
      <c r="C127" s="489"/>
      <c r="D127" s="489"/>
      <c r="E127" s="484"/>
      <c r="F127" s="194"/>
      <c r="G127" s="212"/>
      <c r="H127" s="213"/>
      <c r="I127" s="214"/>
      <c r="J127" s="206"/>
      <c r="K127" s="491"/>
      <c r="L127" s="215"/>
      <c r="M127" s="216"/>
      <c r="N127" s="216"/>
      <c r="O127" s="217"/>
      <c r="P127" s="485"/>
    </row>
    <row r="128" ht="2.25" customHeight="1">
      <c r="A128" s="492"/>
      <c r="B128" s="493"/>
      <c r="C128" s="494"/>
      <c r="D128" s="494"/>
      <c r="E128" s="484"/>
      <c r="F128" s="221"/>
      <c r="G128" s="222"/>
      <c r="H128" s="222"/>
      <c r="I128" s="222"/>
      <c r="J128" s="223"/>
      <c r="K128" s="495"/>
      <c r="L128" s="496"/>
      <c r="M128" s="496"/>
      <c r="N128" s="496"/>
      <c r="O128" s="497"/>
      <c r="P128" s="487"/>
    </row>
    <row r="129" ht="7.5" customHeight="1">
      <c r="A129" s="498"/>
      <c r="B129" s="499"/>
      <c r="C129" s="499"/>
      <c r="D129" s="499"/>
      <c r="E129" s="500"/>
      <c r="F129" s="501"/>
      <c r="G129" s="502"/>
      <c r="H129" s="502"/>
      <c r="I129" s="502"/>
      <c r="J129" s="503"/>
      <c r="K129" s="504"/>
      <c r="L129" s="504"/>
      <c r="M129" s="504"/>
      <c r="N129" s="504"/>
      <c r="O129" s="505"/>
      <c r="P129" s="505"/>
    </row>
    <row r="130" ht="7.5" customHeight="1">
      <c r="A130" s="475"/>
      <c r="B130" s="476"/>
      <c r="C130" s="476"/>
      <c r="D130" s="476"/>
      <c r="E130" s="477"/>
      <c r="F130" s="478"/>
      <c r="G130" s="478"/>
      <c r="H130" s="478"/>
      <c r="I130" s="478"/>
      <c r="J130" s="478"/>
      <c r="K130" s="479"/>
      <c r="L130" s="480"/>
      <c r="M130" s="480"/>
      <c r="N130" s="480"/>
      <c r="O130" s="480"/>
      <c r="P130" s="479"/>
    </row>
    <row r="131" ht="2.25" customHeight="1">
      <c r="A131" s="481" t="s">
        <v>448</v>
      </c>
      <c r="B131" s="482"/>
      <c r="C131" s="483" t="s">
        <v>449</v>
      </c>
      <c r="D131" s="483" t="str">
        <f>Source!$V$12</f>
        <v/>
      </c>
      <c r="E131" s="484"/>
      <c r="F131" s="185"/>
      <c r="G131" s="186"/>
      <c r="H131" s="186"/>
      <c r="I131" s="186"/>
      <c r="J131" s="187"/>
      <c r="K131" s="485"/>
      <c r="L131" s="486"/>
      <c r="M131" s="486"/>
      <c r="N131" s="486"/>
      <c r="O131" s="486"/>
      <c r="P131" s="487"/>
    </row>
    <row r="132" ht="6.0" customHeight="1">
      <c r="A132" s="191"/>
      <c r="B132" s="488"/>
      <c r="C132" s="489"/>
      <c r="D132" s="489"/>
      <c r="E132" s="484"/>
      <c r="F132" s="194"/>
      <c r="G132" s="195"/>
      <c r="H132" s="196"/>
      <c r="I132" s="197"/>
      <c r="J132" s="198"/>
      <c r="K132" s="490"/>
      <c r="L132" s="200"/>
      <c r="M132" s="201"/>
      <c r="N132" s="201"/>
      <c r="O132" s="202"/>
      <c r="P132" s="485"/>
    </row>
    <row r="133" ht="15.75" customHeight="1">
      <c r="A133" s="191"/>
      <c r="B133" s="488"/>
      <c r="C133" s="489"/>
      <c r="D133" s="489"/>
      <c r="E133" s="484"/>
      <c r="F133" s="194"/>
      <c r="G133" s="203"/>
      <c r="H133" s="204" t="s">
        <v>450</v>
      </c>
      <c r="I133" s="205"/>
      <c r="J133" s="206"/>
      <c r="K133" s="491"/>
      <c r="L133" s="208"/>
      <c r="M133" s="260" t="str">
        <f>Source!$B$8</f>
        <v/>
      </c>
      <c r="N133" s="470" t="s">
        <v>451</v>
      </c>
      <c r="O133" s="211"/>
      <c r="P133" s="485"/>
    </row>
    <row r="134" ht="6.0" customHeight="1">
      <c r="A134" s="191"/>
      <c r="B134" s="488"/>
      <c r="C134" s="489"/>
      <c r="D134" s="489"/>
      <c r="E134" s="484"/>
      <c r="F134" s="194"/>
      <c r="G134" s="212"/>
      <c r="H134" s="213"/>
      <c r="I134" s="214"/>
      <c r="J134" s="206"/>
      <c r="K134" s="491"/>
      <c r="L134" s="215"/>
      <c r="M134" s="216"/>
      <c r="N134" s="216"/>
      <c r="O134" s="217"/>
      <c r="P134" s="485"/>
    </row>
    <row r="135" ht="2.25" customHeight="1">
      <c r="A135" s="492"/>
      <c r="B135" s="493"/>
      <c r="C135" s="494"/>
      <c r="D135" s="494"/>
      <c r="E135" s="484"/>
      <c r="F135" s="221"/>
      <c r="G135" s="222"/>
      <c r="H135" s="222"/>
      <c r="I135" s="222"/>
      <c r="J135" s="223"/>
      <c r="K135" s="495"/>
      <c r="L135" s="496"/>
      <c r="M135" s="496"/>
      <c r="N135" s="496"/>
      <c r="O135" s="497"/>
      <c r="P135" s="487"/>
    </row>
    <row r="136" ht="7.5" customHeight="1">
      <c r="A136" s="498"/>
      <c r="B136" s="499"/>
      <c r="C136" s="499"/>
      <c r="D136" s="499"/>
      <c r="E136" s="500"/>
      <c r="F136" s="501"/>
      <c r="G136" s="502"/>
      <c r="H136" s="502"/>
      <c r="I136" s="502"/>
      <c r="J136" s="503"/>
      <c r="K136" s="504"/>
      <c r="L136" s="504"/>
      <c r="M136" s="504"/>
      <c r="N136" s="504"/>
      <c r="O136" s="505"/>
      <c r="P136" s="505"/>
    </row>
    <row r="137" ht="7.5" customHeight="1">
      <c r="A137" s="347"/>
      <c r="B137" s="348"/>
      <c r="C137" s="348"/>
      <c r="D137" s="348"/>
      <c r="E137" s="349"/>
      <c r="F137" s="350"/>
      <c r="G137" s="351"/>
      <c r="H137" s="351"/>
      <c r="I137" s="351"/>
      <c r="J137" s="352"/>
      <c r="K137" s="353"/>
      <c r="L137" s="352"/>
      <c r="M137" s="352"/>
      <c r="N137" s="352"/>
      <c r="O137" s="354"/>
      <c r="P137" s="355"/>
    </row>
    <row r="138" ht="2.25" customHeight="1">
      <c r="A138" s="356" t="s">
        <v>452</v>
      </c>
      <c r="B138" s="357"/>
      <c r="C138" s="358" t="s">
        <v>394</v>
      </c>
      <c r="D138" s="358" t="str">
        <f>Source!$V$13</f>
        <v/>
      </c>
      <c r="E138" s="359"/>
      <c r="F138" s="185"/>
      <c r="G138" s="247"/>
      <c r="H138" s="247"/>
      <c r="I138" s="247"/>
      <c r="J138" s="248"/>
      <c r="K138" s="360"/>
      <c r="L138" s="361"/>
      <c r="M138" s="361"/>
      <c r="N138" s="361"/>
      <c r="O138" s="362"/>
      <c r="P138" s="363"/>
    </row>
    <row r="139" ht="6.0" customHeight="1">
      <c r="A139" s="191"/>
      <c r="B139" s="364"/>
      <c r="C139" s="365"/>
      <c r="D139" s="365"/>
      <c r="E139" s="359"/>
      <c r="F139" s="194"/>
      <c r="G139" s="255"/>
      <c r="H139" s="196"/>
      <c r="I139" s="197"/>
      <c r="J139" s="206"/>
      <c r="K139" s="366"/>
      <c r="L139" s="256"/>
      <c r="M139" s="257"/>
      <c r="N139" s="257"/>
      <c r="O139" s="202"/>
      <c r="P139" s="367"/>
    </row>
    <row r="140" ht="15.75" customHeight="1">
      <c r="A140" s="191"/>
      <c r="B140" s="364"/>
      <c r="C140" s="365"/>
      <c r="D140" s="365"/>
      <c r="E140" s="359"/>
      <c r="F140" s="194"/>
      <c r="G140" s="203"/>
      <c r="H140" s="259" t="s">
        <v>453</v>
      </c>
      <c r="I140" s="205"/>
      <c r="J140" s="206"/>
      <c r="K140" s="366"/>
      <c r="L140" s="208"/>
      <c r="M140" s="260" t="str">
        <f>Source!$B$8</f>
        <v/>
      </c>
      <c r="N140" s="261">
        <v>0.0</v>
      </c>
      <c r="O140" s="262"/>
      <c r="P140" s="367"/>
    </row>
    <row r="141" ht="6.0" customHeight="1">
      <c r="A141" s="191"/>
      <c r="B141" s="364"/>
      <c r="C141" s="365"/>
      <c r="D141" s="365"/>
      <c r="E141" s="359"/>
      <c r="F141" s="194"/>
      <c r="G141" s="203"/>
      <c r="H141" s="506" t="s">
        <v>454</v>
      </c>
      <c r="I141" s="264"/>
      <c r="J141" s="206"/>
      <c r="K141" s="366"/>
      <c r="L141" s="215"/>
      <c r="M141" s="215"/>
      <c r="N141" s="215"/>
      <c r="O141" s="265"/>
      <c r="P141" s="367"/>
    </row>
    <row r="142" ht="9.75" customHeight="1">
      <c r="A142" s="191"/>
      <c r="B142" s="364"/>
      <c r="C142" s="365"/>
      <c r="D142" s="365"/>
      <c r="E142" s="359"/>
      <c r="F142" s="194"/>
      <c r="G142" s="203"/>
      <c r="H142" s="266"/>
      <c r="I142" s="264"/>
      <c r="J142" s="206"/>
      <c r="K142" s="360"/>
      <c r="L142" s="370"/>
      <c r="M142" s="370"/>
      <c r="N142" s="370"/>
      <c r="O142" s="371"/>
      <c r="P142" s="363"/>
    </row>
    <row r="143" ht="15.75" customHeight="1">
      <c r="A143" s="191"/>
      <c r="B143" s="364"/>
      <c r="C143" s="365"/>
      <c r="D143" s="365"/>
      <c r="E143" s="359"/>
      <c r="F143" s="194"/>
      <c r="G143" s="203"/>
      <c r="H143" s="269" t="s">
        <v>455</v>
      </c>
      <c r="I143" s="264"/>
      <c r="J143" s="206"/>
      <c r="K143" s="360"/>
      <c r="L143" s="373"/>
      <c r="M143" s="373"/>
      <c r="N143" s="373"/>
      <c r="O143" s="363"/>
      <c r="P143" s="363"/>
    </row>
    <row r="144" ht="6.0" customHeight="1">
      <c r="A144" s="191"/>
      <c r="B144" s="364"/>
      <c r="C144" s="365"/>
      <c r="D144" s="365"/>
      <c r="E144" s="359"/>
      <c r="F144" s="194"/>
      <c r="G144" s="212"/>
      <c r="H144" s="213"/>
      <c r="I144" s="214"/>
      <c r="J144" s="206"/>
      <c r="K144" s="360"/>
      <c r="L144" s="373"/>
      <c r="M144" s="373"/>
      <c r="N144" s="373"/>
      <c r="O144" s="363"/>
      <c r="P144" s="363"/>
    </row>
    <row r="145" ht="2.25" customHeight="1">
      <c r="A145" s="376"/>
      <c r="B145" s="377"/>
      <c r="C145" s="378"/>
      <c r="D145" s="378"/>
      <c r="E145" s="359"/>
      <c r="F145" s="221"/>
      <c r="G145" s="317"/>
      <c r="H145" s="317"/>
      <c r="I145" s="317"/>
      <c r="J145" s="223"/>
      <c r="K145" s="360"/>
      <c r="L145" s="373"/>
      <c r="M145" s="373"/>
      <c r="N145" s="373"/>
      <c r="O145" s="363"/>
      <c r="P145" s="363"/>
    </row>
    <row r="146" ht="7.5" customHeight="1">
      <c r="A146" s="379"/>
      <c r="B146" s="380"/>
      <c r="C146" s="380"/>
      <c r="D146" s="380"/>
      <c r="E146" s="381"/>
      <c r="F146" s="382"/>
      <c r="G146" s="383"/>
      <c r="H146" s="383"/>
      <c r="I146" s="383"/>
      <c r="J146" s="384"/>
      <c r="K146" s="385"/>
      <c r="L146" s="385"/>
      <c r="M146" s="385"/>
      <c r="N146" s="385"/>
      <c r="O146" s="386"/>
      <c r="P146" s="386"/>
    </row>
    <row r="147" ht="3.75" customHeight="1">
      <c r="A147" s="507"/>
      <c r="B147" s="333"/>
      <c r="C147" s="333"/>
      <c r="D147" s="333"/>
      <c r="E147" s="333"/>
      <c r="F147" s="333"/>
      <c r="G147" s="333"/>
      <c r="H147" s="333"/>
      <c r="I147" s="333"/>
      <c r="J147" s="333"/>
      <c r="K147" s="333"/>
      <c r="L147" s="333"/>
      <c r="M147" s="333"/>
      <c r="N147" s="333"/>
      <c r="O147" s="333"/>
      <c r="P147" s="333"/>
    </row>
    <row r="148">
      <c r="A148" s="508" t="s">
        <v>456</v>
      </c>
      <c r="B148" s="142"/>
      <c r="C148" s="142"/>
      <c r="D148" s="142"/>
      <c r="E148" s="142"/>
      <c r="F148" s="142"/>
      <c r="G148" s="142"/>
      <c r="H148" s="142"/>
      <c r="I148" s="142"/>
      <c r="J148" s="142"/>
      <c r="K148" s="142"/>
      <c r="L148" s="142"/>
      <c r="M148" s="142"/>
      <c r="N148" s="142"/>
      <c r="O148" s="142"/>
      <c r="P148" s="153"/>
    </row>
    <row r="149" ht="3.75" customHeight="1">
      <c r="A149" s="507"/>
      <c r="B149" s="333"/>
      <c r="C149" s="333"/>
      <c r="D149" s="333"/>
      <c r="E149" s="333"/>
      <c r="F149" s="333"/>
      <c r="G149" s="333"/>
      <c r="H149" s="333"/>
      <c r="I149" s="333"/>
      <c r="J149" s="333"/>
      <c r="K149" s="333"/>
      <c r="L149" s="333"/>
      <c r="M149" s="333"/>
      <c r="N149" s="333"/>
      <c r="O149" s="333"/>
      <c r="P149" s="333"/>
    </row>
    <row r="150" ht="7.5" customHeight="1">
      <c r="A150" s="509"/>
      <c r="B150" s="510"/>
      <c r="C150" s="510"/>
      <c r="D150" s="510"/>
      <c r="E150" s="511"/>
      <c r="F150" s="512"/>
      <c r="G150" s="512"/>
      <c r="H150" s="512"/>
      <c r="I150" s="512"/>
      <c r="J150" s="512"/>
      <c r="K150" s="513"/>
      <c r="L150" s="513"/>
      <c r="M150" s="513"/>
      <c r="N150" s="513"/>
      <c r="O150" s="513"/>
      <c r="P150" s="513"/>
    </row>
    <row r="151" ht="2.25" customHeight="1">
      <c r="A151" s="514" t="s">
        <v>457</v>
      </c>
      <c r="B151" s="515"/>
      <c r="C151" s="516" t="s">
        <v>458</v>
      </c>
      <c r="D151" s="516" t="str">
        <f>Source!$V$14</f>
        <v/>
      </c>
      <c r="E151" s="517"/>
      <c r="F151" s="185"/>
      <c r="G151" s="186"/>
      <c r="H151" s="186"/>
      <c r="I151" s="186"/>
      <c r="J151" s="187"/>
      <c r="K151" s="518"/>
      <c r="L151" s="519"/>
      <c r="M151" s="519"/>
      <c r="N151" s="519"/>
      <c r="O151" s="519"/>
      <c r="P151" s="520"/>
    </row>
    <row r="152" ht="6.0" customHeight="1">
      <c r="A152" s="191"/>
      <c r="B152" s="521"/>
      <c r="C152" s="522"/>
      <c r="D152" s="522"/>
      <c r="E152" s="517"/>
      <c r="F152" s="194"/>
      <c r="G152" s="195"/>
      <c r="H152" s="196"/>
      <c r="I152" s="197"/>
      <c r="J152" s="198"/>
      <c r="K152" s="523"/>
      <c r="L152" s="200"/>
      <c r="M152" s="201"/>
      <c r="N152" s="201"/>
      <c r="O152" s="202"/>
      <c r="P152" s="518"/>
    </row>
    <row r="153" ht="15.75" customHeight="1">
      <c r="A153" s="191"/>
      <c r="B153" s="521"/>
      <c r="C153" s="522"/>
      <c r="D153" s="522"/>
      <c r="E153" s="517"/>
      <c r="F153" s="194"/>
      <c r="G153" s="203"/>
      <c r="H153" s="204" t="s">
        <v>459</v>
      </c>
      <c r="I153" s="205"/>
      <c r="J153" s="206"/>
      <c r="K153" s="524"/>
      <c r="L153" s="208"/>
      <c r="M153" s="260" t="str">
        <f>Source!$B$8</f>
        <v/>
      </c>
      <c r="N153" s="470" t="s">
        <v>460</v>
      </c>
      <c r="O153" s="211"/>
      <c r="P153" s="518"/>
    </row>
    <row r="154" ht="6.0" customHeight="1">
      <c r="A154" s="191"/>
      <c r="B154" s="521"/>
      <c r="C154" s="522"/>
      <c r="D154" s="522"/>
      <c r="E154" s="517"/>
      <c r="F154" s="194"/>
      <c r="G154" s="212"/>
      <c r="H154" s="213"/>
      <c r="I154" s="214"/>
      <c r="J154" s="206"/>
      <c r="K154" s="524"/>
      <c r="L154" s="215"/>
      <c r="M154" s="216"/>
      <c r="N154" s="216"/>
      <c r="O154" s="217"/>
      <c r="P154" s="518"/>
    </row>
    <row r="155" ht="2.25" customHeight="1">
      <c r="A155" s="525"/>
      <c r="B155" s="526"/>
      <c r="C155" s="527"/>
      <c r="D155" s="527"/>
      <c r="E155" s="517"/>
      <c r="F155" s="221"/>
      <c r="G155" s="222"/>
      <c r="H155" s="222"/>
      <c r="I155" s="222"/>
      <c r="J155" s="223"/>
      <c r="K155" s="528"/>
      <c r="L155" s="529"/>
      <c r="M155" s="529"/>
      <c r="N155" s="529"/>
      <c r="O155" s="530"/>
      <c r="P155" s="520"/>
    </row>
    <row r="156" ht="7.5" customHeight="1">
      <c r="A156" s="531"/>
      <c r="B156" s="532"/>
      <c r="C156" s="532"/>
      <c r="D156" s="532"/>
      <c r="E156" s="533"/>
      <c r="F156" s="534"/>
      <c r="G156" s="535"/>
      <c r="H156" s="535"/>
      <c r="I156" s="535"/>
      <c r="J156" s="536"/>
      <c r="K156" s="537"/>
      <c r="L156" s="537"/>
      <c r="M156" s="537"/>
      <c r="N156" s="537"/>
      <c r="O156" s="538"/>
      <c r="P156" s="538"/>
    </row>
    <row r="157" ht="7.5" customHeight="1">
      <c r="A157" s="235"/>
      <c r="B157" s="236"/>
      <c r="C157" s="236"/>
      <c r="D157" s="236"/>
      <c r="E157" s="237"/>
      <c r="F157" s="238"/>
      <c r="G157" s="238"/>
      <c r="H157" s="238"/>
      <c r="I157" s="238"/>
      <c r="J157" s="238"/>
      <c r="K157" s="242"/>
      <c r="L157" s="242"/>
      <c r="M157" s="242"/>
      <c r="N157" s="242"/>
      <c r="O157" s="242"/>
      <c r="P157" s="242"/>
    </row>
    <row r="158" ht="2.25" customHeight="1">
      <c r="A158" s="243" t="s">
        <v>461</v>
      </c>
      <c r="B158" s="244"/>
      <c r="C158" s="245" t="s">
        <v>378</v>
      </c>
      <c r="D158" s="245" t="str">
        <f>Source!$V$15</f>
        <v/>
      </c>
      <c r="E158" s="246"/>
      <c r="F158" s="185"/>
      <c r="G158" s="186"/>
      <c r="H158" s="186"/>
      <c r="I158" s="186"/>
      <c r="J158" s="187"/>
      <c r="K158" s="258"/>
      <c r="L158" s="539"/>
      <c r="M158" s="539"/>
      <c r="N158" s="539"/>
      <c r="O158" s="539"/>
      <c r="P158" s="252"/>
    </row>
    <row r="159" ht="6.0" customHeight="1">
      <c r="A159" s="191"/>
      <c r="B159" s="253"/>
      <c r="C159" s="254"/>
      <c r="D159" s="254"/>
      <c r="E159" s="246"/>
      <c r="F159" s="194"/>
      <c r="G159" s="195"/>
      <c r="H159" s="196"/>
      <c r="I159" s="197"/>
      <c r="J159" s="198"/>
      <c r="K159" s="540"/>
      <c r="L159" s="200"/>
      <c r="M159" s="201"/>
      <c r="N159" s="201"/>
      <c r="O159" s="202"/>
      <c r="P159" s="258"/>
    </row>
    <row r="160" ht="15.75" customHeight="1">
      <c r="A160" s="191"/>
      <c r="B160" s="253"/>
      <c r="C160" s="254"/>
      <c r="D160" s="254"/>
      <c r="E160" s="246"/>
      <c r="F160" s="194"/>
      <c r="G160" s="203"/>
      <c r="H160" s="204" t="s">
        <v>462</v>
      </c>
      <c r="I160" s="205"/>
      <c r="J160" s="206"/>
      <c r="K160" s="541"/>
      <c r="L160" s="208"/>
      <c r="M160" s="260" t="str">
        <f>Source!$B$8</f>
        <v/>
      </c>
      <c r="N160" s="470">
        <v>0.0</v>
      </c>
      <c r="O160" s="211"/>
      <c r="P160" s="258"/>
    </row>
    <row r="161" ht="6.0" customHeight="1">
      <c r="A161" s="191"/>
      <c r="B161" s="253"/>
      <c r="C161" s="254"/>
      <c r="D161" s="254"/>
      <c r="E161" s="246"/>
      <c r="F161" s="194"/>
      <c r="G161" s="212"/>
      <c r="H161" s="213"/>
      <c r="I161" s="214"/>
      <c r="J161" s="206"/>
      <c r="K161" s="541"/>
      <c r="L161" s="215"/>
      <c r="M161" s="216"/>
      <c r="N161" s="216"/>
      <c r="O161" s="217"/>
      <c r="P161" s="258"/>
    </row>
    <row r="162" ht="2.25" customHeight="1">
      <c r="A162" s="271"/>
      <c r="B162" s="272"/>
      <c r="C162" s="273"/>
      <c r="D162" s="273"/>
      <c r="E162" s="246"/>
      <c r="F162" s="221"/>
      <c r="G162" s="222"/>
      <c r="H162" s="222"/>
      <c r="I162" s="222"/>
      <c r="J162" s="223"/>
      <c r="K162" s="249"/>
      <c r="L162" s="267"/>
      <c r="M162" s="267"/>
      <c r="N162" s="267"/>
      <c r="O162" s="268"/>
      <c r="P162" s="252"/>
    </row>
    <row r="163" ht="7.5" customHeight="1">
      <c r="A163" s="277"/>
      <c r="B163" s="278"/>
      <c r="C163" s="278"/>
      <c r="D163" s="278"/>
      <c r="E163" s="279"/>
      <c r="F163" s="280"/>
      <c r="G163" s="281"/>
      <c r="H163" s="281"/>
      <c r="I163" s="281"/>
      <c r="J163" s="282"/>
      <c r="K163" s="283"/>
      <c r="L163" s="283"/>
      <c r="M163" s="283"/>
      <c r="N163" s="283"/>
      <c r="O163" s="284"/>
      <c r="P163" s="284"/>
    </row>
    <row r="164" ht="7.5" customHeight="1">
      <c r="A164" s="285"/>
      <c r="B164" s="286"/>
      <c r="C164" s="286"/>
      <c r="D164" s="286"/>
      <c r="E164" s="287"/>
      <c r="F164" s="288"/>
      <c r="G164" s="288"/>
      <c r="H164" s="288"/>
      <c r="I164" s="288"/>
      <c r="J164" s="288"/>
      <c r="K164" s="292"/>
      <c r="L164" s="292"/>
      <c r="M164" s="292"/>
      <c r="N164" s="292"/>
      <c r="O164" s="292"/>
      <c r="P164" s="292"/>
    </row>
    <row r="165" ht="2.25" customHeight="1">
      <c r="A165" s="542" t="s">
        <v>461</v>
      </c>
      <c r="B165" s="294"/>
      <c r="C165" s="296" t="s">
        <v>383</v>
      </c>
      <c r="D165" s="296" t="str">
        <f>Source!$V$16</f>
        <v/>
      </c>
      <c r="E165" s="297"/>
      <c r="F165" s="185"/>
      <c r="G165" s="186"/>
      <c r="H165" s="186"/>
      <c r="I165" s="186"/>
      <c r="J165" s="187"/>
      <c r="K165" s="543"/>
      <c r="L165" s="544"/>
      <c r="M165" s="544"/>
      <c r="N165" s="544"/>
      <c r="O165" s="544"/>
      <c r="P165" s="301"/>
    </row>
    <row r="166" ht="6.0" customHeight="1">
      <c r="A166" s="191"/>
      <c r="B166" s="302"/>
      <c r="C166" s="303"/>
      <c r="D166" s="303"/>
      <c r="E166" s="297"/>
      <c r="F166" s="194"/>
      <c r="G166" s="195"/>
      <c r="H166" s="196"/>
      <c r="I166" s="197"/>
      <c r="J166" s="198"/>
      <c r="K166" s="545"/>
      <c r="L166" s="200"/>
      <c r="M166" s="201"/>
      <c r="N166" s="201"/>
      <c r="O166" s="202"/>
      <c r="P166" s="543"/>
    </row>
    <row r="167" ht="15.75" customHeight="1">
      <c r="A167" s="191"/>
      <c r="B167" s="302"/>
      <c r="C167" s="303"/>
      <c r="D167" s="303"/>
      <c r="E167" s="297"/>
      <c r="F167" s="194"/>
      <c r="G167" s="203"/>
      <c r="H167" s="204" t="s">
        <v>463</v>
      </c>
      <c r="I167" s="205"/>
      <c r="J167" s="206"/>
      <c r="K167" s="304"/>
      <c r="L167" s="208"/>
      <c r="M167" s="260" t="str">
        <f>Source!$B$8</f>
        <v/>
      </c>
      <c r="N167" s="470" t="s">
        <v>464</v>
      </c>
      <c r="O167" s="211"/>
      <c r="P167" s="543"/>
    </row>
    <row r="168" ht="6.0" customHeight="1">
      <c r="A168" s="191"/>
      <c r="B168" s="302"/>
      <c r="C168" s="303"/>
      <c r="D168" s="303"/>
      <c r="E168" s="297"/>
      <c r="F168" s="194"/>
      <c r="G168" s="212"/>
      <c r="H168" s="213"/>
      <c r="I168" s="214"/>
      <c r="J168" s="206"/>
      <c r="K168" s="304"/>
      <c r="L168" s="215"/>
      <c r="M168" s="216"/>
      <c r="N168" s="216"/>
      <c r="O168" s="217"/>
      <c r="P168" s="543"/>
    </row>
    <row r="169" ht="2.25" customHeight="1">
      <c r="A169" s="314"/>
      <c r="B169" s="315"/>
      <c r="C169" s="316"/>
      <c r="D169" s="316"/>
      <c r="E169" s="297"/>
      <c r="F169" s="221"/>
      <c r="G169" s="222"/>
      <c r="H169" s="222"/>
      <c r="I169" s="222"/>
      <c r="J169" s="223"/>
      <c r="K169" s="308"/>
      <c r="L169" s="309"/>
      <c r="M169" s="309"/>
      <c r="N169" s="309"/>
      <c r="O169" s="310"/>
      <c r="P169" s="301"/>
    </row>
    <row r="170" ht="7.5" customHeight="1">
      <c r="A170" s="318"/>
      <c r="B170" s="319"/>
      <c r="C170" s="319"/>
      <c r="D170" s="319"/>
      <c r="E170" s="546"/>
      <c r="F170" s="547"/>
      <c r="G170" s="548"/>
      <c r="H170" s="548"/>
      <c r="I170" s="548"/>
      <c r="J170" s="549"/>
      <c r="K170" s="320"/>
      <c r="L170" s="320"/>
      <c r="M170" s="320"/>
      <c r="N170" s="320"/>
      <c r="O170" s="321"/>
      <c r="P170" s="301"/>
    </row>
    <row r="171" ht="2.25" customHeight="1">
      <c r="A171" s="507"/>
      <c r="B171" s="333"/>
      <c r="C171" s="333"/>
      <c r="D171" s="333"/>
      <c r="E171" s="333"/>
      <c r="F171" s="333"/>
      <c r="G171" s="333"/>
      <c r="H171" s="333"/>
      <c r="I171" s="333"/>
      <c r="J171" s="333"/>
      <c r="K171" s="333"/>
      <c r="L171" s="333"/>
      <c r="M171" s="333"/>
      <c r="N171" s="333"/>
      <c r="O171" s="333"/>
      <c r="P171" s="550"/>
    </row>
  </sheetData>
  <mergeCells count="94">
    <mergeCell ref="C87:C95"/>
    <mergeCell ref="D87:D95"/>
    <mergeCell ref="A67:B77"/>
    <mergeCell ref="C67:C77"/>
    <mergeCell ref="D67:D77"/>
    <mergeCell ref="A80:B84"/>
    <mergeCell ref="C80:C84"/>
    <mergeCell ref="D80:D84"/>
    <mergeCell ref="A87:B95"/>
    <mergeCell ref="C131:C135"/>
    <mergeCell ref="D131:D135"/>
    <mergeCell ref="A117:B121"/>
    <mergeCell ref="C117:C121"/>
    <mergeCell ref="D117:D121"/>
    <mergeCell ref="A124:B128"/>
    <mergeCell ref="C124:C128"/>
    <mergeCell ref="D124:D128"/>
    <mergeCell ref="A131:B135"/>
    <mergeCell ref="C158:C162"/>
    <mergeCell ref="D158:D162"/>
    <mergeCell ref="A165:B169"/>
    <mergeCell ref="C165:C169"/>
    <mergeCell ref="D165:D169"/>
    <mergeCell ref="A138:B145"/>
    <mergeCell ref="C138:C145"/>
    <mergeCell ref="D138:D145"/>
    <mergeCell ref="A151:B155"/>
    <mergeCell ref="C151:C155"/>
    <mergeCell ref="D151:D155"/>
    <mergeCell ref="A158:B162"/>
    <mergeCell ref="I26:I33"/>
    <mergeCell ref="G38:I38"/>
    <mergeCell ref="I39:I40"/>
    <mergeCell ref="G45:I45"/>
    <mergeCell ref="I46:I63"/>
    <mergeCell ref="H47:H48"/>
    <mergeCell ref="G68:I68"/>
    <mergeCell ref="I69:I76"/>
    <mergeCell ref="H70:H71"/>
    <mergeCell ref="G81:I81"/>
    <mergeCell ref="I82:I83"/>
    <mergeCell ref="G88:I88"/>
    <mergeCell ref="H90:H91"/>
    <mergeCell ref="G99:I99"/>
    <mergeCell ref="H141:H142"/>
    <mergeCell ref="G152:I152"/>
    <mergeCell ref="I153:I154"/>
    <mergeCell ref="G159:I159"/>
    <mergeCell ref="I160:I161"/>
    <mergeCell ref="G166:I166"/>
    <mergeCell ref="I167:I168"/>
    <mergeCell ref="H101:H102"/>
    <mergeCell ref="G118:I118"/>
    <mergeCell ref="I119:I120"/>
    <mergeCell ref="G125:I125"/>
    <mergeCell ref="I126:I127"/>
    <mergeCell ref="G132:I132"/>
    <mergeCell ref="G139:I139"/>
    <mergeCell ref="A1:B1"/>
    <mergeCell ref="C1:D1"/>
    <mergeCell ref="F1:J1"/>
    <mergeCell ref="L1:O1"/>
    <mergeCell ref="A3:O3"/>
    <mergeCell ref="A4:O4"/>
    <mergeCell ref="A7:B11"/>
    <mergeCell ref="C7:C11"/>
    <mergeCell ref="D7:D11"/>
    <mergeCell ref="A14:B20"/>
    <mergeCell ref="C14:C20"/>
    <mergeCell ref="D14:D20"/>
    <mergeCell ref="C24:C34"/>
    <mergeCell ref="D24:D34"/>
    <mergeCell ref="G8:I8"/>
    <mergeCell ref="I9:I10"/>
    <mergeCell ref="G15:I15"/>
    <mergeCell ref="I16:I20"/>
    <mergeCell ref="H17:H18"/>
    <mergeCell ref="G25:I25"/>
    <mergeCell ref="H27:H28"/>
    <mergeCell ref="A24:B34"/>
    <mergeCell ref="A37:B41"/>
    <mergeCell ref="C37:C41"/>
    <mergeCell ref="D37:D41"/>
    <mergeCell ref="A44:B64"/>
    <mergeCell ref="C44:C64"/>
    <mergeCell ref="D44:D64"/>
    <mergeCell ref="A98:B114"/>
    <mergeCell ref="C98:C114"/>
    <mergeCell ref="D98:D114"/>
    <mergeCell ref="I89:I94"/>
    <mergeCell ref="I100:I113"/>
    <mergeCell ref="I133:I134"/>
    <mergeCell ref="I140:I144"/>
    <mergeCell ref="A148:P14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6"/>
    <col customWidth="1" min="2" max="2" width="3.86"/>
    <col customWidth="1" min="3" max="3" width="1.86"/>
    <col customWidth="1" min="4" max="4" width="24.43"/>
    <col customWidth="1" min="5" max="5" width="1.57"/>
    <col customWidth="1" min="6" max="16" width="7.29"/>
    <col customWidth="1" min="17" max="17" width="0.57"/>
  </cols>
  <sheetData>
    <row r="1">
      <c r="A1" s="551"/>
      <c r="B1" s="552" t="s">
        <v>465</v>
      </c>
      <c r="C1" s="27"/>
      <c r="D1" s="27"/>
      <c r="E1" s="553"/>
      <c r="F1" s="18" t="s">
        <v>11</v>
      </c>
      <c r="G1" s="27"/>
      <c r="H1" s="27"/>
      <c r="I1" s="27"/>
      <c r="J1" s="27"/>
      <c r="K1" s="27"/>
      <c r="L1" s="27"/>
      <c r="M1" s="27"/>
      <c r="N1" s="27"/>
      <c r="O1" s="27"/>
      <c r="P1" s="28"/>
      <c r="Q1" s="554"/>
    </row>
    <row r="2">
      <c r="A2" s="555"/>
      <c r="B2" s="556" t="s">
        <v>466</v>
      </c>
      <c r="C2" s="168"/>
      <c r="D2" s="169"/>
      <c r="E2" s="557"/>
      <c r="F2" s="557"/>
      <c r="G2" s="557"/>
      <c r="H2" s="557"/>
      <c r="I2" s="557"/>
      <c r="J2" s="557"/>
      <c r="K2" s="557"/>
      <c r="L2" s="557"/>
      <c r="M2" s="557"/>
      <c r="N2" s="557"/>
      <c r="O2" s="557"/>
      <c r="P2" s="557"/>
      <c r="Q2" s="557"/>
    </row>
    <row r="3" ht="26.25" customHeight="1">
      <c r="A3" s="558" t="str">
        <f>Source!$B$6</f>
        <v/>
      </c>
      <c r="B3" s="559" t="str">
        <f>Source!$AB$39</f>
        <v/>
      </c>
      <c r="C3" s="560" t="str">
        <f>Source!$B$7</f>
        <v/>
      </c>
      <c r="D3" s="561" t="s">
        <v>467</v>
      </c>
      <c r="E3" s="562"/>
      <c r="F3" s="563" t="s">
        <v>468</v>
      </c>
      <c r="G3" s="139"/>
      <c r="H3" s="139"/>
      <c r="I3" s="564"/>
      <c r="J3" s="565"/>
      <c r="K3" s="566"/>
      <c r="L3" s="567"/>
      <c r="M3" s="567"/>
      <c r="N3" s="567"/>
      <c r="O3" s="567"/>
      <c r="P3" s="568"/>
      <c r="Q3" s="31"/>
    </row>
    <row r="4" ht="26.25" customHeight="1">
      <c r="A4" s="558" t="str">
        <f>Source!$B$6</f>
        <v/>
      </c>
      <c r="B4" s="559" t="str">
        <f>IMAGE("https://i.ibb.co/ZKvLNwv/4305432.png",4,24,24)</f>
        <v/>
      </c>
      <c r="C4" s="569" t="str">
        <f>Source!$B$7</f>
        <v/>
      </c>
      <c r="D4" s="570" t="s">
        <v>469</v>
      </c>
      <c r="E4" s="571"/>
      <c r="F4" s="572" t="s">
        <v>470</v>
      </c>
      <c r="G4" s="27"/>
      <c r="H4" s="27"/>
      <c r="I4" s="27"/>
      <c r="J4" s="27"/>
      <c r="K4" s="27"/>
      <c r="L4" s="27"/>
      <c r="M4" s="565"/>
      <c r="N4" s="566"/>
      <c r="O4" s="566"/>
      <c r="P4" s="573"/>
      <c r="Q4" s="31"/>
    </row>
    <row r="5" ht="26.25" customHeight="1">
      <c r="A5" s="558" t="str">
        <f>Source!$B$6</f>
        <v/>
      </c>
      <c r="B5" s="559" t="str">
        <f>Source!$AQ$146</f>
        <v/>
      </c>
      <c r="C5" s="560" t="str">
        <f>Source!$B$7</f>
        <v/>
      </c>
      <c r="D5" s="574" t="s">
        <v>471</v>
      </c>
      <c r="E5" s="562"/>
      <c r="F5" s="575" t="s">
        <v>472</v>
      </c>
      <c r="G5" s="142"/>
      <c r="H5" s="142"/>
      <c r="I5" s="142"/>
      <c r="J5" s="142"/>
      <c r="K5" s="142"/>
      <c r="L5" s="142"/>
      <c r="M5" s="142"/>
      <c r="N5" s="142"/>
      <c r="O5" s="142"/>
      <c r="P5" s="143"/>
      <c r="Q5" s="576"/>
    </row>
    <row r="6" ht="26.25" customHeight="1">
      <c r="A6" s="558" t="str">
        <f>Source!$B$6</f>
        <v/>
      </c>
      <c r="B6" s="559" t="str">
        <f>Source!$Y$30</f>
        <v/>
      </c>
      <c r="C6" s="569" t="str">
        <f>Source!$B$7</f>
        <v/>
      </c>
      <c r="D6" s="570" t="s">
        <v>473</v>
      </c>
      <c r="E6" s="571"/>
      <c r="F6" s="577" t="s">
        <v>472</v>
      </c>
      <c r="G6" s="142"/>
      <c r="H6" s="142"/>
      <c r="I6" s="142"/>
      <c r="J6" s="142"/>
      <c r="K6" s="142"/>
      <c r="L6" s="142"/>
      <c r="M6" s="142"/>
      <c r="N6" s="142"/>
      <c r="O6" s="142"/>
      <c r="P6" s="143"/>
      <c r="Q6" s="576"/>
    </row>
    <row r="7" ht="26.25" customHeight="1">
      <c r="A7" s="558" t="str">
        <f>Source!$B$6</f>
        <v/>
      </c>
      <c r="B7" s="559" t="str">
        <f>IMAGE("https://i.ibb.co/ZBB5v1F/map.png",4,28,28)</f>
        <v/>
      </c>
      <c r="C7" s="560" t="str">
        <f>Source!$B$7</f>
        <v/>
      </c>
      <c r="D7" s="561" t="s">
        <v>474</v>
      </c>
      <c r="E7" s="562"/>
      <c r="F7" s="575" t="s">
        <v>475</v>
      </c>
      <c r="G7" s="142"/>
      <c r="H7" s="142"/>
      <c r="I7" s="142"/>
      <c r="J7" s="142"/>
      <c r="K7" s="142"/>
      <c r="L7" s="142"/>
      <c r="M7" s="142"/>
      <c r="N7" s="142"/>
      <c r="O7" s="142"/>
      <c r="P7" s="143"/>
      <c r="Q7" s="576"/>
    </row>
    <row r="8" ht="26.25" customHeight="1">
      <c r="A8" s="558" t="str">
        <f>Source!$B$6</f>
        <v/>
      </c>
      <c r="B8" s="559" t="str">
        <f>Source!$S$7</f>
        <v/>
      </c>
      <c r="C8" s="569" t="str">
        <f>Source!$B$7</f>
        <v/>
      </c>
      <c r="D8" s="570" t="s">
        <v>476</v>
      </c>
      <c r="E8" s="571"/>
      <c r="F8" s="572" t="s">
        <v>477</v>
      </c>
      <c r="G8" s="27"/>
      <c r="H8" s="27"/>
      <c r="I8" s="27"/>
      <c r="J8" s="27"/>
      <c r="K8" s="27"/>
      <c r="L8" s="27"/>
      <c r="M8" s="27"/>
      <c r="N8" s="27"/>
      <c r="O8" s="27"/>
      <c r="P8" s="28"/>
      <c r="Q8" s="576"/>
    </row>
    <row r="9" ht="7.5" customHeight="1">
      <c r="A9" s="578"/>
      <c r="B9" s="579"/>
      <c r="C9" s="579"/>
      <c r="D9" s="579"/>
      <c r="E9" s="579"/>
      <c r="F9" s="579"/>
      <c r="G9" s="579"/>
      <c r="H9" s="579"/>
      <c r="I9" s="579"/>
      <c r="J9" s="579"/>
      <c r="K9" s="579"/>
      <c r="L9" s="579"/>
      <c r="M9" s="579"/>
      <c r="N9" s="579"/>
      <c r="O9" s="579"/>
      <c r="P9" s="555"/>
      <c r="Q9" s="580"/>
    </row>
    <row r="10" ht="3.75" customHeight="1">
      <c r="A10" s="581"/>
      <c r="B10" s="582"/>
      <c r="C10" s="583"/>
      <c r="D10" s="583"/>
      <c r="E10" s="583"/>
      <c r="F10" s="583"/>
      <c r="G10" s="583"/>
      <c r="H10" s="583"/>
      <c r="I10" s="583"/>
      <c r="J10" s="583"/>
      <c r="K10" s="583"/>
      <c r="L10" s="583"/>
      <c r="M10" s="583"/>
      <c r="N10" s="583"/>
      <c r="O10" s="583"/>
      <c r="P10" s="583"/>
      <c r="Q10" s="580"/>
    </row>
    <row r="11" ht="7.5" customHeight="1">
      <c r="A11" s="578"/>
      <c r="B11" s="579"/>
      <c r="C11" s="579"/>
      <c r="D11" s="579"/>
      <c r="E11" s="579"/>
      <c r="F11" s="579"/>
      <c r="G11" s="579"/>
      <c r="H11" s="579"/>
      <c r="I11" s="579"/>
      <c r="J11" s="579"/>
      <c r="K11" s="579"/>
      <c r="L11" s="579"/>
      <c r="M11" s="579"/>
      <c r="N11" s="579"/>
      <c r="O11" s="579"/>
      <c r="P11" s="555"/>
      <c r="Q11" s="580"/>
    </row>
    <row r="12">
      <c r="A12" s="578"/>
      <c r="B12" s="584" t="s">
        <v>478</v>
      </c>
      <c r="C12" s="168"/>
      <c r="D12" s="169"/>
      <c r="E12" s="557"/>
      <c r="F12" s="557"/>
      <c r="G12" s="557"/>
      <c r="H12" s="557"/>
      <c r="I12" s="557"/>
      <c r="J12" s="557"/>
      <c r="K12" s="557"/>
      <c r="L12" s="557"/>
      <c r="M12" s="557"/>
      <c r="N12" s="557"/>
      <c r="O12" s="557"/>
      <c r="P12" s="557"/>
      <c r="Q12" s="557"/>
    </row>
    <row r="13" ht="26.25" customHeight="1">
      <c r="A13" s="558" t="str">
        <f>Source!$B$6</f>
        <v/>
      </c>
      <c r="B13" s="559" t="str">
        <f>Source!$AB$39</f>
        <v/>
      </c>
      <c r="C13" s="560" t="str">
        <f>Source!$B$7</f>
        <v/>
      </c>
      <c r="D13" s="561" t="s">
        <v>467</v>
      </c>
      <c r="E13" s="562"/>
      <c r="F13" s="585" t="s">
        <v>479</v>
      </c>
      <c r="G13" s="27"/>
      <c r="H13" s="27"/>
      <c r="I13" s="27"/>
      <c r="J13" s="27"/>
      <c r="K13" s="27"/>
      <c r="L13" s="16"/>
      <c r="M13" s="565"/>
      <c r="N13" s="567"/>
      <c r="O13" s="567"/>
      <c r="P13" s="568"/>
      <c r="Q13" s="31"/>
    </row>
    <row r="14" ht="7.5" customHeight="1">
      <c r="A14" s="578"/>
      <c r="B14" s="579"/>
      <c r="C14" s="579"/>
      <c r="D14" s="579"/>
      <c r="E14" s="579"/>
      <c r="F14" s="579"/>
      <c r="G14" s="579"/>
      <c r="H14" s="579"/>
      <c r="I14" s="579"/>
      <c r="J14" s="579"/>
      <c r="K14" s="579"/>
      <c r="L14" s="579"/>
      <c r="M14" s="579"/>
      <c r="N14" s="579"/>
      <c r="O14" s="579"/>
      <c r="P14" s="555"/>
      <c r="Q14" s="580"/>
    </row>
    <row r="15" ht="3.75" customHeight="1">
      <c r="A15" s="581"/>
      <c r="B15" s="582"/>
      <c r="C15" s="583"/>
      <c r="D15" s="583"/>
      <c r="E15" s="583"/>
      <c r="F15" s="583"/>
      <c r="G15" s="583"/>
      <c r="H15" s="583"/>
      <c r="I15" s="583"/>
      <c r="J15" s="583"/>
      <c r="K15" s="583"/>
      <c r="L15" s="583"/>
      <c r="M15" s="583"/>
      <c r="N15" s="583"/>
      <c r="O15" s="583"/>
      <c r="P15" s="583"/>
      <c r="Q15" s="580"/>
    </row>
    <row r="16" ht="7.5" customHeight="1">
      <c r="A16" s="578"/>
      <c r="B16" s="579"/>
      <c r="C16" s="579"/>
      <c r="D16" s="579"/>
      <c r="E16" s="579"/>
      <c r="F16" s="579"/>
      <c r="G16" s="579"/>
      <c r="H16" s="579"/>
      <c r="I16" s="579"/>
      <c r="J16" s="579"/>
      <c r="K16" s="579"/>
      <c r="L16" s="579"/>
      <c r="M16" s="579"/>
      <c r="N16" s="579"/>
      <c r="O16" s="579"/>
      <c r="P16" s="555"/>
      <c r="Q16" s="580"/>
    </row>
    <row r="17">
      <c r="A17" s="578"/>
      <c r="B17" s="586" t="s">
        <v>480</v>
      </c>
      <c r="C17" s="168"/>
      <c r="D17" s="169"/>
      <c r="E17" s="557"/>
      <c r="F17" s="557"/>
      <c r="G17" s="557"/>
      <c r="H17" s="557"/>
      <c r="I17" s="557"/>
      <c r="J17" s="557"/>
      <c r="K17" s="557"/>
      <c r="L17" s="557"/>
      <c r="M17" s="557"/>
      <c r="N17" s="557"/>
      <c r="O17" s="557"/>
      <c r="P17" s="557"/>
      <c r="Q17" s="557"/>
    </row>
    <row r="18" ht="26.25" customHeight="1">
      <c r="A18" s="558" t="str">
        <f>Source!$B$6</f>
        <v/>
      </c>
      <c r="B18" s="559" t="str">
        <f>Source!$AE$25</f>
        <v/>
      </c>
      <c r="C18" s="560" t="str">
        <f>Source!$B$7</f>
        <v/>
      </c>
      <c r="D18" s="561" t="s">
        <v>481</v>
      </c>
      <c r="E18" s="562"/>
      <c r="F18" s="585" t="s">
        <v>482</v>
      </c>
      <c r="G18" s="27"/>
      <c r="H18" s="27"/>
      <c r="I18" s="27"/>
      <c r="J18" s="27"/>
      <c r="K18" s="27"/>
      <c r="L18" s="27"/>
      <c r="M18" s="27"/>
      <c r="N18" s="16"/>
      <c r="O18" s="565"/>
      <c r="P18" s="27"/>
      <c r="Q18" s="31"/>
    </row>
    <row r="19" ht="26.25" customHeight="1">
      <c r="A19" s="558" t="str">
        <f>Source!$B$6</f>
        <v/>
      </c>
      <c r="B19" s="559" t="str">
        <f>Source!$AQ$138</f>
        <v/>
      </c>
      <c r="C19" s="569" t="str">
        <f>Source!$B$7</f>
        <v/>
      </c>
      <c r="D19" s="570" t="s">
        <v>483</v>
      </c>
      <c r="E19" s="571"/>
      <c r="F19" s="572" t="s">
        <v>484</v>
      </c>
      <c r="G19" s="27"/>
      <c r="H19" s="27"/>
      <c r="I19" s="27"/>
      <c r="J19" s="27"/>
      <c r="K19" s="27"/>
      <c r="L19" s="565"/>
      <c r="M19" s="27"/>
      <c r="N19" s="27"/>
      <c r="O19" s="27"/>
      <c r="P19" s="27"/>
      <c r="Q19" s="31"/>
    </row>
    <row r="20" ht="26.25" customHeight="1">
      <c r="A20" s="558" t="str">
        <f>Source!$B$6</f>
        <v/>
      </c>
      <c r="B20" s="559" t="str">
        <f>Source!$AN$104</f>
        <v/>
      </c>
      <c r="C20" s="560" t="str">
        <f>Source!$B$7</f>
        <v/>
      </c>
      <c r="D20" s="561" t="s">
        <v>485</v>
      </c>
      <c r="E20" s="562"/>
      <c r="F20" s="585" t="s">
        <v>486</v>
      </c>
      <c r="G20" s="27"/>
      <c r="H20" s="27"/>
      <c r="I20" s="27"/>
      <c r="J20" s="27"/>
      <c r="K20" s="565"/>
      <c r="L20" s="27"/>
      <c r="M20" s="27"/>
      <c r="N20" s="27"/>
      <c r="O20" s="27"/>
      <c r="P20" s="27"/>
      <c r="Q20" s="31"/>
    </row>
    <row r="21" ht="26.25" customHeight="1">
      <c r="A21" s="558" t="str">
        <f>Source!$B$6</f>
        <v/>
      </c>
      <c r="B21" s="559" t="str">
        <f>Source!$AQ$133</f>
        <v/>
      </c>
      <c r="C21" s="569" t="str">
        <f>Source!$B$7</f>
        <v/>
      </c>
      <c r="D21" s="570" t="s">
        <v>487</v>
      </c>
      <c r="E21" s="571"/>
      <c r="F21" s="572" t="s">
        <v>488</v>
      </c>
      <c r="G21" s="27"/>
      <c r="H21" s="27"/>
      <c r="I21" s="27"/>
      <c r="J21" s="27"/>
      <c r="K21" s="27"/>
      <c r="L21" s="27"/>
      <c r="M21" s="27"/>
      <c r="N21" s="16"/>
      <c r="O21" s="565"/>
      <c r="P21" s="27"/>
      <c r="Q21" s="31"/>
    </row>
    <row r="22" ht="26.25" customHeight="1">
      <c r="A22" s="558" t="str">
        <f>Source!$B$6</f>
        <v/>
      </c>
      <c r="B22" s="559" t="str">
        <f>Source!$AQ$205</f>
        <v/>
      </c>
      <c r="C22" s="560" t="str">
        <f>Source!$B$7</f>
        <v/>
      </c>
      <c r="D22" s="561" t="s">
        <v>489</v>
      </c>
      <c r="E22" s="562"/>
      <c r="F22" s="585" t="s">
        <v>490</v>
      </c>
      <c r="G22" s="27"/>
      <c r="H22" s="27"/>
      <c r="I22" s="27"/>
      <c r="J22" s="27"/>
      <c r="K22" s="27"/>
      <c r="L22" s="27"/>
      <c r="M22" s="27"/>
      <c r="N22" s="27"/>
      <c r="O22" s="16"/>
      <c r="P22" s="565"/>
      <c r="Q22" s="31"/>
    </row>
    <row r="23" ht="26.25" customHeight="1">
      <c r="A23" s="558" t="str">
        <f>Source!$B$6</f>
        <v/>
      </c>
      <c r="B23" s="559" t="str">
        <f>IMAGE("https://i.ibb.co/dQfV8w5/8145721.png",4,26,26)</f>
        <v/>
      </c>
      <c r="C23" s="569" t="str">
        <f>Source!$B$7</f>
        <v/>
      </c>
      <c r="D23" s="570" t="s">
        <v>491</v>
      </c>
      <c r="E23" s="571"/>
      <c r="F23" s="572" t="s">
        <v>492</v>
      </c>
      <c r="G23" s="27"/>
      <c r="H23" s="27"/>
      <c r="I23" s="27"/>
      <c r="J23" s="27"/>
      <c r="K23" s="27"/>
      <c r="L23" s="27"/>
      <c r="M23" s="27"/>
      <c r="N23" s="16"/>
      <c r="O23" s="565"/>
      <c r="P23" s="27"/>
      <c r="Q23" s="31"/>
    </row>
    <row r="24" ht="26.25" customHeight="1">
      <c r="A24" s="558" t="str">
        <f>Source!$B$6</f>
        <v/>
      </c>
      <c r="B24" s="559" t="str">
        <f>Source!$D$13</f>
        <v/>
      </c>
      <c r="C24" s="560" t="str">
        <f>Source!$B$7</f>
        <v/>
      </c>
      <c r="D24" s="561" t="s">
        <v>493</v>
      </c>
      <c r="E24" s="562"/>
      <c r="F24" s="585" t="s">
        <v>494</v>
      </c>
      <c r="G24" s="27"/>
      <c r="H24" s="27"/>
      <c r="I24" s="27"/>
      <c r="J24" s="27"/>
      <c r="K24" s="27"/>
      <c r="L24" s="27"/>
      <c r="M24" s="27"/>
      <c r="N24" s="565"/>
      <c r="O24" s="27"/>
      <c r="P24" s="27"/>
      <c r="Q24" s="31"/>
    </row>
    <row r="25" ht="26.25" customHeight="1">
      <c r="A25" s="558" t="str">
        <f>Source!$B$6</f>
        <v/>
      </c>
      <c r="B25" s="559" t="str">
        <f>Source!$D$4</f>
        <v/>
      </c>
      <c r="C25" s="569" t="str">
        <f>Source!$B$7</f>
        <v/>
      </c>
      <c r="D25" s="570" t="s">
        <v>495</v>
      </c>
      <c r="E25" s="571"/>
      <c r="F25" s="572" t="s">
        <v>363</v>
      </c>
      <c r="G25" s="27"/>
      <c r="H25" s="27"/>
      <c r="I25" s="27"/>
      <c r="J25" s="27"/>
      <c r="K25" s="27"/>
      <c r="L25" s="27"/>
      <c r="M25" s="565"/>
      <c r="N25" s="27"/>
      <c r="O25" s="27"/>
      <c r="P25" s="27"/>
      <c r="Q25" s="31"/>
    </row>
    <row r="26" ht="26.25" customHeight="1">
      <c r="A26" s="558" t="str">
        <f>Source!$B$6</f>
        <v/>
      </c>
      <c r="B26" s="559" t="str">
        <f>Source!$D$4</f>
        <v/>
      </c>
      <c r="C26" s="560" t="str">
        <f>Source!$B$7</f>
        <v/>
      </c>
      <c r="D26" s="561" t="s">
        <v>496</v>
      </c>
      <c r="E26" s="562"/>
      <c r="F26" s="585" t="s">
        <v>497</v>
      </c>
      <c r="G26" s="27"/>
      <c r="H26" s="27"/>
      <c r="I26" s="27"/>
      <c r="J26" s="27"/>
      <c r="K26" s="27"/>
      <c r="L26" s="27"/>
      <c r="M26" s="27"/>
      <c r="N26" s="565"/>
      <c r="O26" s="27"/>
      <c r="P26" s="27"/>
      <c r="Q26" s="31"/>
    </row>
    <row r="27" ht="7.5" customHeight="1">
      <c r="A27" s="578"/>
      <c r="B27" s="579"/>
      <c r="C27" s="579"/>
      <c r="D27" s="579"/>
      <c r="E27" s="579"/>
      <c r="F27" s="579"/>
      <c r="G27" s="579"/>
      <c r="H27" s="579"/>
      <c r="I27" s="579"/>
      <c r="J27" s="579"/>
      <c r="K27" s="579"/>
      <c r="L27" s="579"/>
      <c r="M27" s="579"/>
      <c r="N27" s="579"/>
      <c r="O27" s="579"/>
      <c r="P27" s="555"/>
      <c r="Q27" s="580"/>
    </row>
    <row r="28" ht="3.75" customHeight="1">
      <c r="A28" s="581"/>
      <c r="B28" s="582"/>
      <c r="C28" s="583"/>
      <c r="D28" s="583"/>
      <c r="E28" s="583"/>
      <c r="F28" s="583"/>
      <c r="G28" s="583"/>
      <c r="H28" s="583"/>
      <c r="I28" s="583"/>
      <c r="J28" s="583"/>
      <c r="K28" s="583"/>
      <c r="L28" s="583"/>
      <c r="M28" s="583"/>
      <c r="N28" s="583"/>
      <c r="O28" s="583"/>
      <c r="P28" s="583"/>
      <c r="Q28" s="580"/>
    </row>
    <row r="29" ht="7.5" customHeight="1">
      <c r="A29" s="578"/>
      <c r="B29" s="579"/>
      <c r="C29" s="579"/>
      <c r="D29" s="579"/>
      <c r="E29" s="579"/>
      <c r="F29" s="579"/>
      <c r="G29" s="579"/>
      <c r="H29" s="579"/>
      <c r="I29" s="579"/>
      <c r="J29" s="579"/>
      <c r="K29" s="579"/>
      <c r="L29" s="579"/>
      <c r="M29" s="579"/>
      <c r="N29" s="579"/>
      <c r="O29" s="579"/>
      <c r="P29" s="555"/>
      <c r="Q29" s="580"/>
    </row>
    <row r="30">
      <c r="A30" s="578"/>
      <c r="B30" s="584" t="s">
        <v>498</v>
      </c>
      <c r="C30" s="168"/>
      <c r="D30" s="169"/>
      <c r="E30" s="557"/>
      <c r="F30" s="557"/>
      <c r="G30" s="557"/>
      <c r="H30" s="557"/>
      <c r="I30" s="557"/>
      <c r="J30" s="557"/>
      <c r="K30" s="557"/>
      <c r="L30" s="557"/>
      <c r="M30" s="557"/>
      <c r="N30" s="557"/>
      <c r="O30" s="557"/>
      <c r="P30" s="557"/>
      <c r="Q30" s="557"/>
    </row>
    <row r="31" ht="26.25" customHeight="1">
      <c r="A31" s="558" t="str">
        <f>Source!$B$6</f>
        <v/>
      </c>
      <c r="B31" s="559" t="str">
        <f>Source!$P$42</f>
        <v/>
      </c>
      <c r="C31" s="560" t="str">
        <f>Source!$B$7</f>
        <v/>
      </c>
      <c r="D31" s="587" t="s">
        <v>499</v>
      </c>
      <c r="E31" s="562"/>
      <c r="F31" s="585" t="s">
        <v>500</v>
      </c>
      <c r="G31" s="27"/>
      <c r="H31" s="27"/>
      <c r="I31" s="27"/>
      <c r="J31" s="27"/>
      <c r="K31" s="27"/>
      <c r="L31" s="27"/>
      <c r="M31" s="27"/>
      <c r="N31" s="27"/>
      <c r="O31" s="27"/>
      <c r="P31" s="28"/>
      <c r="Q31" s="588"/>
    </row>
    <row r="32" ht="7.5" customHeight="1">
      <c r="A32" s="578"/>
      <c r="B32" s="579"/>
      <c r="C32" s="579"/>
      <c r="D32" s="579"/>
      <c r="E32" s="579"/>
      <c r="F32" s="579"/>
      <c r="G32" s="579"/>
      <c r="H32" s="579"/>
      <c r="I32" s="579"/>
      <c r="J32" s="579"/>
      <c r="K32" s="579"/>
      <c r="L32" s="579"/>
      <c r="M32" s="579"/>
      <c r="N32" s="579"/>
      <c r="O32" s="579"/>
      <c r="P32" s="555"/>
      <c r="Q32" s="580"/>
    </row>
    <row r="33" ht="3.75" customHeight="1">
      <c r="A33" s="581"/>
      <c r="B33" s="582"/>
      <c r="C33" s="583"/>
      <c r="D33" s="583"/>
      <c r="E33" s="583"/>
      <c r="F33" s="583"/>
      <c r="G33" s="583"/>
      <c r="H33" s="583"/>
      <c r="I33" s="583"/>
      <c r="J33" s="583"/>
      <c r="K33" s="583"/>
      <c r="L33" s="583"/>
      <c r="M33" s="583"/>
      <c r="N33" s="583"/>
      <c r="O33" s="583"/>
      <c r="P33" s="583"/>
      <c r="Q33" s="580"/>
    </row>
    <row r="34" ht="7.5" customHeight="1">
      <c r="A34" s="578"/>
      <c r="B34" s="579"/>
      <c r="C34" s="579"/>
      <c r="D34" s="579"/>
      <c r="E34" s="579"/>
      <c r="F34" s="579"/>
      <c r="G34" s="579"/>
      <c r="H34" s="579"/>
      <c r="I34" s="579"/>
      <c r="J34" s="579"/>
      <c r="K34" s="579"/>
      <c r="L34" s="579"/>
      <c r="M34" s="579"/>
      <c r="N34" s="579"/>
      <c r="O34" s="579"/>
      <c r="P34" s="555"/>
      <c r="Q34" s="580"/>
    </row>
    <row r="35">
      <c r="A35" s="578"/>
      <c r="B35" s="584" t="s">
        <v>501</v>
      </c>
      <c r="C35" s="168"/>
      <c r="D35" s="169"/>
      <c r="E35" s="557"/>
      <c r="F35" s="589"/>
      <c r="G35" s="589"/>
      <c r="H35" s="589"/>
      <c r="I35" s="589"/>
      <c r="J35" s="589"/>
      <c r="K35" s="589"/>
      <c r="L35" s="589"/>
      <c r="M35" s="589"/>
      <c r="N35" s="589"/>
      <c r="O35" s="589"/>
      <c r="P35" s="589"/>
      <c r="Q35" s="557"/>
    </row>
    <row r="36" ht="26.25" customHeight="1">
      <c r="A36" s="558" t="str">
        <f>Source!$B$6</f>
        <v/>
      </c>
      <c r="B36" s="559" t="str">
        <f>IMAGE("https://i.ibb.co/jJY5ScX/illustration-rare.png",4,26,26)</f>
        <v/>
      </c>
      <c r="C36" s="560" t="str">
        <f>Source!$B$7</f>
        <v/>
      </c>
      <c r="D36" s="561" t="s">
        <v>502</v>
      </c>
      <c r="E36" s="562"/>
      <c r="F36" s="585" t="s">
        <v>503</v>
      </c>
      <c r="G36" s="27"/>
      <c r="H36" s="27"/>
      <c r="I36" s="27"/>
      <c r="J36" s="27"/>
      <c r="K36" s="27"/>
      <c r="L36" s="27"/>
      <c r="M36" s="565"/>
      <c r="N36" s="568"/>
      <c r="O36" s="568"/>
      <c r="P36" s="568"/>
      <c r="Q36" s="588"/>
    </row>
    <row r="37" ht="26.25" customHeight="1">
      <c r="A37" s="558" t="str">
        <f>Source!$B$6</f>
        <v/>
      </c>
      <c r="B37" s="559" t="str">
        <f>Source!$AB$2</f>
        <v/>
      </c>
      <c r="C37" s="569" t="str">
        <f>Source!$B$7</f>
        <v/>
      </c>
      <c r="D37" s="570" t="s">
        <v>504</v>
      </c>
      <c r="E37" s="571"/>
      <c r="F37" s="572" t="s">
        <v>505</v>
      </c>
      <c r="G37" s="27"/>
      <c r="H37" s="27"/>
      <c r="I37" s="27"/>
      <c r="J37" s="27"/>
      <c r="K37" s="27"/>
      <c r="L37" s="27"/>
      <c r="M37" s="27"/>
      <c r="N37" s="27"/>
      <c r="O37" s="565"/>
      <c r="P37" s="568"/>
      <c r="Q37" s="31"/>
    </row>
    <row r="38" ht="26.25" customHeight="1">
      <c r="A38" s="558" t="str">
        <f>Source!$B$6</f>
        <v/>
      </c>
      <c r="B38" s="559" t="str">
        <f>Source!$AT$44</f>
        <v/>
      </c>
      <c r="C38" s="560" t="str">
        <f>Source!$B$7</f>
        <v/>
      </c>
      <c r="D38" s="561" t="s">
        <v>506</v>
      </c>
      <c r="E38" s="562"/>
      <c r="F38" s="585" t="s">
        <v>503</v>
      </c>
      <c r="G38" s="27"/>
      <c r="H38" s="27"/>
      <c r="I38" s="27"/>
      <c r="J38" s="27"/>
      <c r="K38" s="27"/>
      <c r="L38" s="27"/>
      <c r="M38" s="565"/>
      <c r="N38" s="568"/>
      <c r="O38" s="568"/>
      <c r="P38" s="568"/>
      <c r="Q38" s="588"/>
    </row>
    <row r="39" ht="33.75" customHeight="1">
      <c r="A39" s="590" t="str">
        <f>Source!$B$6</f>
        <v/>
      </c>
      <c r="B39" s="591" t="str">
        <f>Source!$D$5</f>
        <v/>
      </c>
      <c r="C39" s="592" t="str">
        <f>Source!$B$7</f>
        <v/>
      </c>
      <c r="D39" s="593" t="s">
        <v>507</v>
      </c>
      <c r="E39" s="594"/>
      <c r="F39" s="577" t="s">
        <v>508</v>
      </c>
      <c r="G39" s="142"/>
      <c r="H39" s="142"/>
      <c r="I39" s="142"/>
      <c r="J39" s="142"/>
      <c r="K39" s="142"/>
      <c r="L39" s="142"/>
      <c r="M39" s="142"/>
      <c r="N39" s="153"/>
      <c r="O39" s="595"/>
      <c r="P39" s="153"/>
      <c r="Q39" s="31"/>
    </row>
    <row r="40" ht="26.25" customHeight="1">
      <c r="A40" s="558" t="str">
        <f>Source!$B$6</f>
        <v/>
      </c>
      <c r="B40" s="559" t="str">
        <f>Source!$D$8</f>
        <v/>
      </c>
      <c r="C40" s="596" t="str">
        <f>Source!$B$7</f>
        <v/>
      </c>
      <c r="D40" s="597" t="s">
        <v>509</v>
      </c>
      <c r="E40" s="562"/>
      <c r="F40" s="596" t="s">
        <v>510</v>
      </c>
      <c r="G40" s="27"/>
      <c r="H40" s="27"/>
      <c r="I40" s="27"/>
      <c r="J40" s="27"/>
      <c r="K40" s="27"/>
      <c r="L40" s="565"/>
      <c r="M40" s="568"/>
      <c r="N40" s="568"/>
      <c r="O40" s="568"/>
      <c r="P40" s="568"/>
      <c r="Q40" s="31"/>
    </row>
    <row r="41" ht="26.25" customHeight="1">
      <c r="A41" s="558" t="str">
        <f>Source!$B$6</f>
        <v/>
      </c>
      <c r="B41" s="559" t="str">
        <f>Source!$P$20</f>
        <v/>
      </c>
      <c r="C41" s="598" t="str">
        <f>Source!$B$7</f>
        <v/>
      </c>
      <c r="D41" s="599" t="s">
        <v>511</v>
      </c>
      <c r="E41" s="571"/>
      <c r="F41" s="598" t="s">
        <v>512</v>
      </c>
      <c r="G41" s="27"/>
      <c r="H41" s="27"/>
      <c r="I41" s="27"/>
      <c r="J41" s="27"/>
      <c r="K41" s="27"/>
      <c r="L41" s="27"/>
      <c r="M41" s="565"/>
      <c r="N41" s="568"/>
      <c r="O41" s="568"/>
      <c r="P41" s="568"/>
      <c r="Q41" s="588"/>
    </row>
    <row r="42" ht="7.5" customHeight="1">
      <c r="A42" s="578"/>
      <c r="B42" s="579"/>
      <c r="C42" s="579"/>
      <c r="D42" s="579"/>
      <c r="E42" s="579"/>
      <c r="F42" s="579"/>
      <c r="G42" s="579"/>
      <c r="H42" s="579"/>
      <c r="I42" s="579"/>
      <c r="J42" s="579"/>
      <c r="K42" s="579"/>
      <c r="L42" s="579"/>
      <c r="M42" s="579"/>
      <c r="N42" s="579"/>
      <c r="O42" s="579"/>
      <c r="P42" s="555"/>
      <c r="Q42" s="580"/>
    </row>
    <row r="43" ht="3.75" customHeight="1">
      <c r="A43" s="581"/>
      <c r="B43" s="582"/>
      <c r="C43" s="583"/>
      <c r="D43" s="583"/>
      <c r="E43" s="583"/>
      <c r="F43" s="583"/>
      <c r="G43" s="583"/>
      <c r="H43" s="583"/>
      <c r="I43" s="583"/>
      <c r="J43" s="583"/>
      <c r="K43" s="583"/>
      <c r="L43" s="583"/>
      <c r="M43" s="583"/>
      <c r="N43" s="583"/>
      <c r="O43" s="583"/>
      <c r="P43" s="583"/>
      <c r="Q43" s="580"/>
    </row>
    <row r="44" ht="7.5" customHeight="1">
      <c r="A44" s="578"/>
      <c r="B44" s="579"/>
      <c r="C44" s="579"/>
      <c r="D44" s="579"/>
      <c r="E44" s="579"/>
      <c r="F44" s="579"/>
      <c r="G44" s="579"/>
      <c r="H44" s="579"/>
      <c r="I44" s="579"/>
      <c r="J44" s="579"/>
      <c r="K44" s="579"/>
      <c r="L44" s="579"/>
      <c r="M44" s="579"/>
      <c r="N44" s="579"/>
      <c r="O44" s="579"/>
      <c r="P44" s="555"/>
      <c r="Q44" s="580"/>
    </row>
    <row r="45">
      <c r="A45" s="578"/>
      <c r="B45" s="584" t="s">
        <v>373</v>
      </c>
      <c r="C45" s="168"/>
      <c r="D45" s="169"/>
      <c r="E45" s="557"/>
      <c r="F45" s="589"/>
      <c r="G45" s="589"/>
      <c r="H45" s="589"/>
      <c r="I45" s="589"/>
      <c r="J45" s="589"/>
      <c r="K45" s="589"/>
      <c r="L45" s="589"/>
      <c r="M45" s="589"/>
      <c r="N45" s="589"/>
      <c r="O45" s="589"/>
      <c r="P45" s="589"/>
      <c r="Q45" s="557"/>
    </row>
    <row r="46" ht="26.25" customHeight="1">
      <c r="A46" s="558" t="str">
        <f>Source!$B$6</f>
        <v/>
      </c>
      <c r="B46" s="559" t="str">
        <f>Source!$AB$3</f>
        <v/>
      </c>
      <c r="C46" s="560" t="str">
        <f>Source!$B$7</f>
        <v/>
      </c>
      <c r="D46" s="561" t="s">
        <v>513</v>
      </c>
      <c r="E46" s="562"/>
      <c r="F46" s="585" t="s">
        <v>514</v>
      </c>
      <c r="G46" s="27"/>
      <c r="H46" s="27"/>
      <c r="I46" s="27"/>
      <c r="J46" s="27"/>
      <c r="K46" s="27"/>
      <c r="L46" s="565"/>
      <c r="M46" s="568"/>
      <c r="N46" s="568"/>
      <c r="O46" s="568"/>
      <c r="P46" s="568"/>
      <c r="Q46" s="588"/>
    </row>
    <row r="47" ht="26.25" customHeight="1">
      <c r="A47" s="558" t="str">
        <f>Source!$B$6</f>
        <v/>
      </c>
      <c r="B47" s="559" t="str">
        <f>Source!$AB$39</f>
        <v/>
      </c>
      <c r="C47" s="569"/>
      <c r="D47" s="570" t="s">
        <v>467</v>
      </c>
      <c r="E47" s="571"/>
      <c r="F47" s="572" t="s">
        <v>515</v>
      </c>
      <c r="G47" s="27"/>
      <c r="H47" s="27"/>
      <c r="I47" s="27"/>
      <c r="J47" s="27"/>
      <c r="K47" s="27"/>
      <c r="L47" s="565"/>
      <c r="M47" s="568"/>
      <c r="N47" s="568"/>
      <c r="O47" s="568"/>
      <c r="P47" s="568"/>
      <c r="Q47" s="31"/>
    </row>
    <row r="48" ht="26.25" customHeight="1">
      <c r="A48" s="558" t="str">
        <f>Source!$B$6</f>
        <v/>
      </c>
      <c r="B48" s="559" t="str">
        <f>Source!$AB$3</f>
        <v/>
      </c>
      <c r="C48" s="560" t="str">
        <f>Source!$B$7</f>
        <v/>
      </c>
      <c r="D48" s="561" t="s">
        <v>513</v>
      </c>
      <c r="E48" s="562"/>
      <c r="F48" s="585" t="s">
        <v>516</v>
      </c>
      <c r="G48" s="27"/>
      <c r="H48" s="27"/>
      <c r="I48" s="27"/>
      <c r="J48" s="27"/>
      <c r="K48" s="27"/>
      <c r="L48" s="27"/>
      <c r="M48" s="27"/>
      <c r="N48" s="565"/>
      <c r="O48" s="568"/>
      <c r="P48" s="568"/>
      <c r="Q48" s="588"/>
    </row>
    <row r="49" ht="26.25" customHeight="1">
      <c r="A49" s="558" t="str">
        <f>Source!$B$6</f>
        <v/>
      </c>
      <c r="B49" s="559" t="str">
        <f>Source!$AB$39</f>
        <v/>
      </c>
      <c r="C49" s="569"/>
      <c r="D49" s="570" t="s">
        <v>467</v>
      </c>
      <c r="E49" s="571"/>
      <c r="F49" s="572" t="s">
        <v>517</v>
      </c>
      <c r="G49" s="27"/>
      <c r="H49" s="27"/>
      <c r="I49" s="27"/>
      <c r="J49" s="27"/>
      <c r="K49" s="27"/>
      <c r="L49" s="27"/>
      <c r="M49" s="27"/>
      <c r="N49" s="27"/>
      <c r="O49" s="27"/>
      <c r="P49" s="565"/>
      <c r="Q49" s="31"/>
    </row>
    <row r="50" ht="26.25" customHeight="1">
      <c r="A50" s="558" t="str">
        <f>Source!$B$6</f>
        <v/>
      </c>
      <c r="B50" s="559" t="str">
        <f>Source!$AB$39</f>
        <v/>
      </c>
      <c r="C50" s="560"/>
      <c r="D50" s="587" t="s">
        <v>467</v>
      </c>
      <c r="E50" s="562"/>
      <c r="F50" s="585" t="s">
        <v>518</v>
      </c>
      <c r="G50" s="27"/>
      <c r="H50" s="27"/>
      <c r="I50" s="27"/>
      <c r="J50" s="27"/>
      <c r="K50" s="27"/>
      <c r="L50" s="27"/>
      <c r="M50" s="27"/>
      <c r="N50" s="27"/>
      <c r="O50" s="27"/>
      <c r="P50" s="565"/>
      <c r="Q50" s="31"/>
    </row>
    <row r="51" ht="26.25" customHeight="1">
      <c r="A51" s="558" t="str">
        <f>Source!$B$6</f>
        <v/>
      </c>
      <c r="B51" s="559" t="str">
        <f>Source!$AQ$60</f>
        <v/>
      </c>
      <c r="C51" s="569" t="str">
        <f>Source!$B$7</f>
        <v/>
      </c>
      <c r="D51" s="600" t="s">
        <v>519</v>
      </c>
      <c r="E51" s="571"/>
      <c r="F51" s="572" t="s">
        <v>520</v>
      </c>
      <c r="G51" s="27"/>
      <c r="H51" s="27"/>
      <c r="I51" s="27"/>
      <c r="J51" s="27"/>
      <c r="K51" s="27"/>
      <c r="L51" s="27"/>
      <c r="M51" s="27"/>
      <c r="N51" s="27"/>
      <c r="O51" s="565"/>
      <c r="P51" s="568"/>
      <c r="Q51" s="31"/>
    </row>
    <row r="52" ht="26.25" customHeight="1">
      <c r="A52" s="558" t="str">
        <f>Source!$B$6</f>
        <v/>
      </c>
      <c r="B52" s="559" t="str">
        <f>Source!$AQ$178</f>
        <v/>
      </c>
      <c r="C52" s="560" t="str">
        <f>Source!$B$7</f>
        <v/>
      </c>
      <c r="D52" s="561" t="s">
        <v>521</v>
      </c>
      <c r="E52" s="562"/>
      <c r="F52" s="585" t="s">
        <v>520</v>
      </c>
      <c r="G52" s="27"/>
      <c r="H52" s="27"/>
      <c r="I52" s="27"/>
      <c r="J52" s="27"/>
      <c r="K52" s="27"/>
      <c r="L52" s="27"/>
      <c r="M52" s="27"/>
      <c r="N52" s="27"/>
      <c r="O52" s="565"/>
      <c r="P52" s="568"/>
      <c r="Q52" s="588"/>
    </row>
    <row r="53" ht="26.25" customHeight="1">
      <c r="A53" s="558" t="str">
        <f>Source!$B$6</f>
        <v/>
      </c>
      <c r="B53" s="559" t="str">
        <f>IMAGE("https://i.ibb.co/7XCZGBH/spray1.png",4,18,24)</f>
        <v/>
      </c>
      <c r="C53" s="569" t="str">
        <f>Source!$B$7</f>
        <v/>
      </c>
      <c r="D53" s="570" t="s">
        <v>522</v>
      </c>
      <c r="E53" s="571"/>
      <c r="F53" s="572" t="s">
        <v>523</v>
      </c>
      <c r="G53" s="27"/>
      <c r="H53" s="27"/>
      <c r="I53" s="27"/>
      <c r="J53" s="27"/>
      <c r="K53" s="27"/>
      <c r="L53" s="27"/>
      <c r="M53" s="27"/>
      <c r="N53" s="27"/>
      <c r="O53" s="565"/>
      <c r="P53" s="568"/>
      <c r="Q53" s="31"/>
    </row>
    <row r="54" ht="26.25" customHeight="1">
      <c r="A54" s="558" t="str">
        <f>Source!$B$6</f>
        <v/>
      </c>
      <c r="B54" s="559" t="str">
        <f>Source!$D$5</f>
        <v/>
      </c>
      <c r="C54" s="560" t="str">
        <f>Source!$B$7</f>
        <v/>
      </c>
      <c r="D54" s="561" t="s">
        <v>524</v>
      </c>
      <c r="E54" s="562"/>
      <c r="F54" s="585" t="s">
        <v>525</v>
      </c>
      <c r="G54" s="27"/>
      <c r="H54" s="27"/>
      <c r="I54" s="27"/>
      <c r="J54" s="27"/>
      <c r="K54" s="27"/>
      <c r="L54" s="27"/>
      <c r="M54" s="565"/>
      <c r="N54" s="568"/>
      <c r="O54" s="568"/>
      <c r="P54" s="568"/>
      <c r="Q54" s="31"/>
    </row>
    <row r="55" ht="26.25" customHeight="1">
      <c r="A55" s="558" t="str">
        <f>Source!$B$6</f>
        <v/>
      </c>
      <c r="B55" s="559" t="str">
        <f>Source!$D$2</f>
        <v/>
      </c>
      <c r="C55" s="569" t="str">
        <f>Source!$B$7</f>
        <v/>
      </c>
      <c r="D55" s="601" t="s">
        <v>526</v>
      </c>
      <c r="E55" s="571"/>
      <c r="F55" s="572" t="s">
        <v>527</v>
      </c>
      <c r="G55" s="27"/>
      <c r="H55" s="27"/>
      <c r="I55" s="27"/>
      <c r="J55" s="27"/>
      <c r="K55" s="27"/>
      <c r="L55" s="27"/>
      <c r="M55" s="27"/>
      <c r="N55" s="27"/>
      <c r="O55" s="27"/>
      <c r="P55" s="565"/>
      <c r="Q55" s="31"/>
    </row>
    <row r="56" ht="26.25" customHeight="1">
      <c r="A56" s="558" t="str">
        <f>Source!$B$6</f>
        <v/>
      </c>
      <c r="B56" s="559" t="str">
        <f>Source!$P$26</f>
        <v/>
      </c>
      <c r="C56" s="560" t="str">
        <f>Source!$B$7</f>
        <v/>
      </c>
      <c r="D56" s="587" t="s">
        <v>528</v>
      </c>
      <c r="E56" s="562"/>
      <c r="F56" s="585" t="s">
        <v>527</v>
      </c>
      <c r="G56" s="27"/>
      <c r="H56" s="27"/>
      <c r="I56" s="27"/>
      <c r="J56" s="27"/>
      <c r="K56" s="27"/>
      <c r="L56" s="27"/>
      <c r="M56" s="27"/>
      <c r="N56" s="27"/>
      <c r="O56" s="27"/>
      <c r="P56" s="565"/>
      <c r="Q56" s="31"/>
    </row>
    <row r="57" ht="7.5" customHeight="1">
      <c r="A57" s="578"/>
      <c r="B57" s="579"/>
      <c r="C57" s="579"/>
      <c r="D57" s="579"/>
      <c r="E57" s="579"/>
      <c r="F57" s="579"/>
      <c r="G57" s="579"/>
      <c r="H57" s="579"/>
      <c r="I57" s="579"/>
      <c r="J57" s="579"/>
      <c r="K57" s="579"/>
      <c r="L57" s="579"/>
      <c r="M57" s="579"/>
      <c r="N57" s="579"/>
      <c r="O57" s="579"/>
      <c r="P57" s="555"/>
      <c r="Q57" s="580"/>
    </row>
    <row r="58" ht="3.75" customHeight="1">
      <c r="A58" s="581"/>
      <c r="B58" s="582"/>
      <c r="C58" s="583"/>
      <c r="D58" s="583"/>
      <c r="E58" s="583"/>
      <c r="F58" s="583"/>
      <c r="G58" s="583"/>
      <c r="H58" s="583"/>
      <c r="I58" s="583"/>
      <c r="J58" s="583"/>
      <c r="K58" s="583"/>
      <c r="L58" s="583"/>
      <c r="M58" s="583"/>
      <c r="N58" s="583"/>
      <c r="O58" s="583"/>
      <c r="P58" s="583"/>
      <c r="Q58" s="580"/>
    </row>
    <row r="59" ht="7.5" customHeight="1">
      <c r="A59" s="578"/>
      <c r="B59" s="579"/>
      <c r="C59" s="579"/>
      <c r="D59" s="579"/>
      <c r="E59" s="579"/>
      <c r="F59" s="579"/>
      <c r="G59" s="579"/>
      <c r="H59" s="579"/>
      <c r="I59" s="579"/>
      <c r="J59" s="579"/>
      <c r="K59" s="579"/>
      <c r="L59" s="579"/>
      <c r="M59" s="579"/>
      <c r="N59" s="579"/>
      <c r="O59" s="579"/>
      <c r="P59" s="555"/>
      <c r="Q59" s="580"/>
    </row>
    <row r="60">
      <c r="A60" s="578"/>
      <c r="B60" s="584" t="s">
        <v>529</v>
      </c>
      <c r="C60" s="168"/>
      <c r="D60" s="169"/>
      <c r="E60" s="557"/>
      <c r="F60" s="589"/>
      <c r="G60" s="589"/>
      <c r="H60" s="589"/>
      <c r="I60" s="589"/>
      <c r="J60" s="589"/>
      <c r="K60" s="589"/>
      <c r="L60" s="589"/>
      <c r="M60" s="589"/>
      <c r="N60" s="589"/>
      <c r="O60" s="589"/>
      <c r="P60" s="589"/>
      <c r="Q60" s="557"/>
    </row>
    <row r="61" ht="26.25" customHeight="1">
      <c r="A61" s="558" t="str">
        <f>Source!$B$6</f>
        <v/>
      </c>
      <c r="B61" s="559" t="str">
        <f>Source!$D$3</f>
        <v/>
      </c>
      <c r="C61" s="560" t="str">
        <f>Source!$B$7</f>
        <v/>
      </c>
      <c r="D61" s="561" t="s">
        <v>530</v>
      </c>
      <c r="E61" s="562"/>
      <c r="F61" s="585" t="s">
        <v>531</v>
      </c>
      <c r="G61" s="27"/>
      <c r="H61" s="27"/>
      <c r="I61" s="565"/>
      <c r="J61" s="568"/>
      <c r="K61" s="568"/>
      <c r="L61" s="568"/>
      <c r="M61" s="568"/>
      <c r="N61" s="568"/>
      <c r="O61" s="568"/>
      <c r="P61" s="568"/>
      <c r="Q61" s="588"/>
    </row>
    <row r="62" ht="7.5" customHeight="1">
      <c r="A62" s="578"/>
      <c r="B62" s="579"/>
      <c r="C62" s="579"/>
      <c r="D62" s="579"/>
      <c r="E62" s="579"/>
      <c r="F62" s="579"/>
      <c r="G62" s="579"/>
      <c r="H62" s="579"/>
      <c r="I62" s="579"/>
      <c r="J62" s="579"/>
      <c r="K62" s="579"/>
      <c r="L62" s="579"/>
      <c r="M62" s="579"/>
      <c r="N62" s="579"/>
      <c r="O62" s="579"/>
      <c r="P62" s="555"/>
      <c r="Q62" s="580"/>
    </row>
    <row r="63" ht="3.75" customHeight="1">
      <c r="A63" s="581"/>
      <c r="B63" s="582"/>
      <c r="C63" s="583"/>
      <c r="D63" s="583"/>
      <c r="E63" s="583"/>
      <c r="F63" s="583"/>
      <c r="G63" s="583"/>
      <c r="H63" s="583"/>
      <c r="I63" s="583"/>
      <c r="J63" s="583"/>
      <c r="K63" s="583"/>
      <c r="L63" s="583"/>
      <c r="M63" s="583"/>
      <c r="N63" s="583"/>
      <c r="O63" s="583"/>
      <c r="P63" s="583"/>
      <c r="Q63" s="580"/>
    </row>
    <row r="64" ht="7.5" customHeight="1">
      <c r="A64" s="578"/>
      <c r="B64" s="579"/>
      <c r="C64" s="579"/>
      <c r="D64" s="579"/>
      <c r="E64" s="579"/>
      <c r="F64" s="579"/>
      <c r="G64" s="579"/>
      <c r="H64" s="579"/>
      <c r="I64" s="579"/>
      <c r="J64" s="579"/>
      <c r="K64" s="579"/>
      <c r="L64" s="579"/>
      <c r="M64" s="579"/>
      <c r="N64" s="579"/>
      <c r="O64" s="579"/>
      <c r="P64" s="555"/>
      <c r="Q64" s="580"/>
    </row>
    <row r="65">
      <c r="A65" s="578"/>
      <c r="B65" s="584" t="s">
        <v>532</v>
      </c>
      <c r="C65" s="168"/>
      <c r="D65" s="169"/>
      <c r="E65" s="557"/>
      <c r="F65" s="589"/>
      <c r="G65" s="589"/>
      <c r="H65" s="589"/>
      <c r="I65" s="589"/>
      <c r="J65" s="589"/>
      <c r="K65" s="589"/>
      <c r="L65" s="589"/>
      <c r="M65" s="589"/>
      <c r="N65" s="589"/>
      <c r="O65" s="589"/>
      <c r="P65" s="589"/>
      <c r="Q65" s="557"/>
    </row>
    <row r="66" ht="26.25" customHeight="1">
      <c r="A66" s="558" t="str">
        <f>Source!$B$6</f>
        <v/>
      </c>
      <c r="B66" s="559" t="str">
        <f>Source!$AQ$178</f>
        <v/>
      </c>
      <c r="C66" s="560" t="str">
        <f>Source!$B$7</f>
        <v/>
      </c>
      <c r="D66" s="561" t="s">
        <v>521</v>
      </c>
      <c r="E66" s="562"/>
      <c r="F66" s="585" t="s">
        <v>533</v>
      </c>
      <c r="G66" s="27"/>
      <c r="H66" s="27"/>
      <c r="I66" s="27"/>
      <c r="J66" s="27"/>
      <c r="K66" s="27"/>
      <c r="L66" s="27"/>
      <c r="M66" s="27"/>
      <c r="N66" s="27"/>
      <c r="O66" s="27"/>
      <c r="P66" s="27"/>
      <c r="Q66" s="588"/>
    </row>
    <row r="67" ht="26.25" customHeight="1">
      <c r="A67" s="558" t="str">
        <f>Source!$B$6</f>
        <v/>
      </c>
      <c r="B67" s="559" t="str">
        <f>Source!$AQ$60</f>
        <v/>
      </c>
      <c r="C67" s="569" t="str">
        <f>Source!$B$7</f>
        <v/>
      </c>
      <c r="D67" s="600" t="s">
        <v>519</v>
      </c>
      <c r="E67" s="571"/>
      <c r="F67" s="572" t="s">
        <v>533</v>
      </c>
      <c r="G67" s="27"/>
      <c r="H67" s="27"/>
      <c r="I67" s="27"/>
      <c r="J67" s="27"/>
      <c r="K67" s="27"/>
      <c r="L67" s="27"/>
      <c r="M67" s="27"/>
      <c r="N67" s="27"/>
      <c r="O67" s="27"/>
      <c r="P67" s="27"/>
      <c r="Q67" s="31"/>
    </row>
    <row r="68" ht="26.25" customHeight="1">
      <c r="A68" s="558" t="str">
        <f>Source!$B$6</f>
        <v/>
      </c>
      <c r="B68" s="559" t="str">
        <f>Source!$AH$7</f>
        <v/>
      </c>
      <c r="C68" s="560" t="str">
        <f>Source!$B$7</f>
        <v/>
      </c>
      <c r="D68" s="561" t="s">
        <v>534</v>
      </c>
      <c r="E68" s="562"/>
      <c r="F68" s="585" t="s">
        <v>535</v>
      </c>
      <c r="G68" s="27"/>
      <c r="H68" s="27"/>
      <c r="I68" s="27"/>
      <c r="J68" s="27"/>
      <c r="K68" s="27"/>
      <c r="L68" s="27"/>
      <c r="M68" s="27"/>
      <c r="N68" s="565"/>
      <c r="O68" s="568"/>
      <c r="P68" s="568"/>
      <c r="Q68" s="588"/>
    </row>
    <row r="69" ht="26.25" customHeight="1">
      <c r="A69" s="558" t="str">
        <f>Source!$B$6</f>
        <v/>
      </c>
      <c r="B69" s="559" t="str">
        <f>Source!$D$9</f>
        <v/>
      </c>
      <c r="C69" s="569"/>
      <c r="D69" s="601" t="s">
        <v>536</v>
      </c>
      <c r="E69" s="571"/>
      <c r="F69" s="572" t="s">
        <v>537</v>
      </c>
      <c r="G69" s="27"/>
      <c r="H69" s="27"/>
      <c r="I69" s="27"/>
      <c r="J69" s="27"/>
      <c r="K69" s="27"/>
      <c r="L69" s="27"/>
      <c r="M69" s="565"/>
      <c r="N69" s="568"/>
      <c r="O69" s="568"/>
      <c r="P69" s="568"/>
      <c r="Q69" s="31"/>
    </row>
    <row r="70" ht="26.25" customHeight="1">
      <c r="A70" s="558" t="str">
        <f>Source!$B$6</f>
        <v/>
      </c>
      <c r="B70" s="559" t="str">
        <f>Source!$D$17</f>
        <v/>
      </c>
      <c r="C70" s="560" t="str">
        <f>Source!$B$7</f>
        <v/>
      </c>
      <c r="D70" s="587" t="s">
        <v>538</v>
      </c>
      <c r="E70" s="562"/>
      <c r="F70" s="585" t="s">
        <v>539</v>
      </c>
      <c r="G70" s="27"/>
      <c r="H70" s="27"/>
      <c r="I70" s="27"/>
      <c r="J70" s="27"/>
      <c r="K70" s="565"/>
      <c r="L70" s="568"/>
      <c r="M70" s="568"/>
      <c r="N70" s="568"/>
      <c r="O70" s="568"/>
      <c r="P70" s="568"/>
      <c r="Q70" s="588"/>
    </row>
    <row r="71" ht="26.25" customHeight="1">
      <c r="A71" s="558" t="str">
        <f>Source!$B$6</f>
        <v/>
      </c>
      <c r="B71" s="559" t="str">
        <f>Source!$AQ$52</f>
        <v/>
      </c>
      <c r="C71" s="569"/>
      <c r="D71" s="570" t="s">
        <v>540</v>
      </c>
      <c r="E71" s="571"/>
      <c r="F71" s="572" t="s">
        <v>541</v>
      </c>
      <c r="G71" s="27"/>
      <c r="H71" s="27"/>
      <c r="I71" s="27"/>
      <c r="J71" s="27"/>
      <c r="K71" s="27"/>
      <c r="L71" s="27"/>
      <c r="M71" s="27"/>
      <c r="N71" s="27"/>
      <c r="O71" s="27"/>
      <c r="P71" s="565"/>
      <c r="Q71" s="31"/>
    </row>
    <row r="72" ht="26.25" customHeight="1">
      <c r="A72" s="558" t="str">
        <f>Source!$B$6</f>
        <v/>
      </c>
      <c r="B72" s="559" t="str">
        <f>Source!$AE$30</f>
        <v/>
      </c>
      <c r="C72" s="560"/>
      <c r="D72" s="561" t="s">
        <v>542</v>
      </c>
      <c r="E72" s="562"/>
      <c r="F72" s="585" t="s">
        <v>541</v>
      </c>
      <c r="G72" s="27"/>
      <c r="H72" s="27"/>
      <c r="I72" s="27"/>
      <c r="J72" s="27"/>
      <c r="K72" s="27"/>
      <c r="L72" s="27"/>
      <c r="M72" s="27"/>
      <c r="N72" s="27"/>
      <c r="O72" s="27"/>
      <c r="P72" s="565"/>
      <c r="Q72" s="31"/>
    </row>
    <row r="73" ht="26.25" customHeight="1">
      <c r="A73" s="558" t="str">
        <f>Source!$B$6</f>
        <v/>
      </c>
      <c r="B73" s="559" t="str">
        <f>Source!$BI$12</f>
        <v/>
      </c>
      <c r="C73" s="569" t="str">
        <f>Source!$B$7</f>
        <v/>
      </c>
      <c r="D73" s="601" t="s">
        <v>543</v>
      </c>
      <c r="E73" s="571"/>
      <c r="F73" s="572" t="s">
        <v>544</v>
      </c>
      <c r="G73" s="27"/>
      <c r="H73" s="27"/>
      <c r="I73" s="27"/>
      <c r="J73" s="27"/>
      <c r="K73" s="27"/>
      <c r="L73" s="27"/>
      <c r="M73" s="27"/>
      <c r="N73" s="27"/>
      <c r="O73" s="27"/>
      <c r="P73" s="27"/>
      <c r="Q73" s="31"/>
    </row>
    <row r="74" ht="26.25" customHeight="1">
      <c r="A74" s="558" t="str">
        <f>Source!$B$6</f>
        <v/>
      </c>
      <c r="B74" s="559" t="str">
        <f>Source!$P$4</f>
        <v/>
      </c>
      <c r="C74" s="560" t="str">
        <f>Source!$B$7</f>
        <v/>
      </c>
      <c r="D74" s="561" t="s">
        <v>545</v>
      </c>
      <c r="E74" s="562"/>
      <c r="F74" s="585" t="s">
        <v>546</v>
      </c>
      <c r="G74" s="27"/>
      <c r="H74" s="27"/>
      <c r="I74" s="27"/>
      <c r="J74" s="27"/>
      <c r="K74" s="27"/>
      <c r="L74" s="27"/>
      <c r="M74" s="27"/>
      <c r="N74" s="27"/>
      <c r="O74" s="565"/>
      <c r="P74" s="568"/>
      <c r="Q74" s="588"/>
    </row>
    <row r="75" ht="26.25" customHeight="1">
      <c r="A75" s="558" t="str">
        <f>Source!$B$6</f>
        <v/>
      </c>
      <c r="B75" s="559" t="str">
        <f>Source!$D$17</f>
        <v/>
      </c>
      <c r="C75" s="569" t="str">
        <f>Source!$B$7</f>
        <v/>
      </c>
      <c r="D75" s="601" t="s">
        <v>547</v>
      </c>
      <c r="E75" s="571"/>
      <c r="F75" s="572" t="s">
        <v>546</v>
      </c>
      <c r="G75" s="27"/>
      <c r="H75" s="27"/>
      <c r="I75" s="27"/>
      <c r="J75" s="27"/>
      <c r="K75" s="27"/>
      <c r="L75" s="27"/>
      <c r="M75" s="27"/>
      <c r="N75" s="27"/>
      <c r="O75" s="565"/>
      <c r="P75" s="568"/>
      <c r="Q75" s="31"/>
    </row>
    <row r="76" ht="7.5" customHeight="1">
      <c r="A76" s="578"/>
      <c r="B76" s="579"/>
      <c r="C76" s="579"/>
      <c r="D76" s="579"/>
      <c r="E76" s="579"/>
      <c r="F76" s="579"/>
      <c r="G76" s="579"/>
      <c r="H76" s="579"/>
      <c r="I76" s="579"/>
      <c r="J76" s="579"/>
      <c r="K76" s="579"/>
      <c r="L76" s="579"/>
      <c r="M76" s="579"/>
      <c r="N76" s="579"/>
      <c r="O76" s="579"/>
      <c r="P76" s="555"/>
      <c r="Q76" s="580"/>
    </row>
    <row r="77" ht="3.75" customHeight="1">
      <c r="A77" s="581"/>
      <c r="B77" s="582"/>
      <c r="C77" s="583"/>
      <c r="D77" s="583"/>
      <c r="E77" s="583"/>
      <c r="F77" s="583"/>
      <c r="G77" s="583"/>
      <c r="H77" s="583"/>
      <c r="I77" s="583"/>
      <c r="J77" s="583"/>
      <c r="K77" s="583"/>
      <c r="L77" s="583"/>
      <c r="M77" s="583"/>
      <c r="N77" s="583"/>
      <c r="O77" s="583"/>
      <c r="P77" s="583"/>
      <c r="Q77" s="580"/>
    </row>
    <row r="78" ht="7.5" customHeight="1">
      <c r="A78" s="578"/>
      <c r="B78" s="579"/>
      <c r="C78" s="579"/>
      <c r="D78" s="579"/>
      <c r="E78" s="579"/>
      <c r="F78" s="579"/>
      <c r="G78" s="579"/>
      <c r="H78" s="579"/>
      <c r="I78" s="579"/>
      <c r="J78" s="579"/>
      <c r="K78" s="579"/>
      <c r="L78" s="579"/>
      <c r="M78" s="579"/>
      <c r="N78" s="579"/>
      <c r="O78" s="579"/>
      <c r="P78" s="555"/>
      <c r="Q78" s="580"/>
    </row>
    <row r="79">
      <c r="A79" s="578"/>
      <c r="B79" s="584" t="s">
        <v>548</v>
      </c>
      <c r="C79" s="168"/>
      <c r="D79" s="169"/>
      <c r="E79" s="557"/>
      <c r="F79" s="589"/>
      <c r="G79" s="589"/>
      <c r="H79" s="589"/>
      <c r="I79" s="589"/>
      <c r="J79" s="589"/>
      <c r="K79" s="589"/>
      <c r="L79" s="589"/>
      <c r="M79" s="589"/>
      <c r="N79" s="589"/>
      <c r="O79" s="589"/>
      <c r="P79" s="589"/>
      <c r="Q79" s="557"/>
    </row>
    <row r="80" ht="26.25" customHeight="1">
      <c r="A80" s="558" t="str">
        <f>Source!$B$6</f>
        <v/>
      </c>
      <c r="B80" s="559" t="str">
        <f>Source!$AT$44</f>
        <v/>
      </c>
      <c r="C80" s="560" t="str">
        <f>Source!$B$7</f>
        <v/>
      </c>
      <c r="D80" s="561" t="s">
        <v>549</v>
      </c>
      <c r="E80" s="562"/>
      <c r="F80" s="585" t="s">
        <v>550</v>
      </c>
      <c r="G80" s="27"/>
      <c r="H80" s="27"/>
      <c r="I80" s="27"/>
      <c r="J80" s="27"/>
      <c r="K80" s="27"/>
      <c r="L80" s="27"/>
      <c r="M80" s="27"/>
      <c r="N80" s="27"/>
      <c r="O80" s="565"/>
      <c r="P80" s="568"/>
      <c r="Q80" s="588"/>
    </row>
    <row r="81" ht="26.25" customHeight="1">
      <c r="A81" s="558" t="str">
        <f>Source!$B$6</f>
        <v/>
      </c>
      <c r="B81" s="559" t="str">
        <f>Source!$D$16</f>
        <v/>
      </c>
      <c r="C81" s="569" t="str">
        <f>Source!$B$7</f>
        <v/>
      </c>
      <c r="D81" s="570" t="s">
        <v>551</v>
      </c>
      <c r="E81" s="571"/>
      <c r="F81" s="572" t="s">
        <v>552</v>
      </c>
      <c r="G81" s="27"/>
      <c r="H81" s="27"/>
      <c r="I81" s="27"/>
      <c r="J81" s="27"/>
      <c r="K81" s="27"/>
      <c r="L81" s="27"/>
      <c r="M81" s="27"/>
      <c r="N81" s="565"/>
      <c r="O81" s="568"/>
      <c r="P81" s="568"/>
      <c r="Q81" s="31"/>
    </row>
    <row r="82" ht="26.25" customHeight="1">
      <c r="A82" s="558" t="str">
        <f>Source!$B$6</f>
        <v/>
      </c>
      <c r="B82" s="559" t="str">
        <f>Source!$AK$38</f>
        <v/>
      </c>
      <c r="C82" s="560" t="str">
        <f>Source!$B$7</f>
        <v/>
      </c>
      <c r="D82" s="561" t="s">
        <v>553</v>
      </c>
      <c r="E82" s="562"/>
      <c r="F82" s="585" t="s">
        <v>554</v>
      </c>
      <c r="G82" s="27"/>
      <c r="H82" s="27"/>
      <c r="I82" s="565"/>
      <c r="J82" s="568"/>
      <c r="K82" s="568"/>
      <c r="L82" s="568"/>
      <c r="M82" s="568"/>
      <c r="N82" s="568"/>
      <c r="O82" s="568"/>
      <c r="P82" s="568"/>
      <c r="Q82" s="588"/>
    </row>
    <row r="83" ht="7.5" customHeight="1">
      <c r="A83" s="578"/>
      <c r="B83" s="579"/>
      <c r="C83" s="579"/>
      <c r="D83" s="579"/>
      <c r="E83" s="579"/>
      <c r="F83" s="579"/>
      <c r="G83" s="579"/>
      <c r="H83" s="579"/>
      <c r="I83" s="579"/>
      <c r="J83" s="579"/>
      <c r="K83" s="579"/>
      <c r="L83" s="579"/>
      <c r="M83" s="579"/>
      <c r="N83" s="579"/>
      <c r="O83" s="579"/>
      <c r="P83" s="555"/>
      <c r="Q83" s="580"/>
    </row>
    <row r="84" ht="3.75" customHeight="1">
      <c r="A84" s="581"/>
      <c r="B84" s="582"/>
      <c r="C84" s="583"/>
      <c r="D84" s="583"/>
      <c r="E84" s="583"/>
      <c r="F84" s="583"/>
      <c r="G84" s="583"/>
      <c r="H84" s="583"/>
      <c r="I84" s="583"/>
      <c r="J84" s="583"/>
      <c r="K84" s="583"/>
      <c r="L84" s="583"/>
      <c r="M84" s="583"/>
      <c r="N84" s="583"/>
      <c r="O84" s="583"/>
      <c r="P84" s="583"/>
      <c r="Q84" s="580"/>
    </row>
    <row r="85" ht="7.5" customHeight="1">
      <c r="A85" s="578"/>
      <c r="B85" s="579"/>
      <c r="C85" s="579"/>
      <c r="D85" s="579"/>
      <c r="E85" s="579"/>
      <c r="F85" s="579"/>
      <c r="G85" s="579"/>
      <c r="H85" s="579"/>
      <c r="I85" s="579"/>
      <c r="J85" s="579"/>
      <c r="K85" s="579"/>
      <c r="L85" s="579"/>
      <c r="M85" s="579"/>
      <c r="N85" s="579"/>
      <c r="O85" s="579"/>
      <c r="P85" s="555"/>
      <c r="Q85" s="580"/>
    </row>
    <row r="86">
      <c r="A86" s="578"/>
      <c r="B86" s="584" t="s">
        <v>555</v>
      </c>
      <c r="C86" s="168"/>
      <c r="D86" s="169"/>
      <c r="E86" s="557"/>
      <c r="F86" s="589"/>
      <c r="G86" s="589"/>
      <c r="H86" s="589"/>
      <c r="I86" s="589"/>
      <c r="J86" s="589"/>
      <c r="K86" s="589"/>
      <c r="L86" s="589"/>
      <c r="M86" s="589"/>
      <c r="N86" s="589"/>
      <c r="O86" s="589"/>
      <c r="P86" s="589"/>
      <c r="Q86" s="557"/>
    </row>
    <row r="87" ht="26.25" customHeight="1">
      <c r="A87" s="558" t="str">
        <f>Source!$B$6</f>
        <v/>
      </c>
      <c r="B87" s="559" t="str">
        <f>Source!$AT$49</f>
        <v/>
      </c>
      <c r="C87" s="560" t="str">
        <f>Source!$B$7</f>
        <v/>
      </c>
      <c r="D87" s="561" t="s">
        <v>556</v>
      </c>
      <c r="E87" s="562"/>
      <c r="F87" s="585" t="s">
        <v>557</v>
      </c>
      <c r="G87" s="27"/>
      <c r="H87" s="27"/>
      <c r="I87" s="27"/>
      <c r="J87" s="27"/>
      <c r="K87" s="27"/>
      <c r="L87" s="27"/>
      <c r="M87" s="27"/>
      <c r="N87" s="565"/>
      <c r="O87" s="568"/>
      <c r="P87" s="568"/>
      <c r="Q87" s="588"/>
    </row>
    <row r="88" ht="26.25" customHeight="1">
      <c r="A88" s="558" t="str">
        <f>Source!$B$6</f>
        <v/>
      </c>
      <c r="B88" s="559" t="str">
        <f>Source!$AK$40</f>
        <v/>
      </c>
      <c r="C88" s="569" t="str">
        <f>Source!$B$7</f>
        <v/>
      </c>
      <c r="D88" s="570" t="s">
        <v>558</v>
      </c>
      <c r="E88" s="571"/>
      <c r="F88" s="572" t="s">
        <v>559</v>
      </c>
      <c r="G88" s="27"/>
      <c r="H88" s="27"/>
      <c r="I88" s="27"/>
      <c r="J88" s="27"/>
      <c r="K88" s="27"/>
      <c r="L88" s="27"/>
      <c r="M88" s="27"/>
      <c r="N88" s="565"/>
      <c r="O88" s="568"/>
      <c r="P88" s="568"/>
      <c r="Q88" s="31"/>
    </row>
    <row r="89" ht="7.5" customHeight="1">
      <c r="A89" s="578"/>
      <c r="B89" s="579"/>
      <c r="C89" s="579"/>
      <c r="D89" s="579"/>
      <c r="E89" s="579"/>
      <c r="F89" s="579"/>
      <c r="G89" s="579"/>
      <c r="H89" s="579"/>
      <c r="I89" s="579"/>
      <c r="J89" s="579"/>
      <c r="K89" s="579"/>
      <c r="L89" s="579"/>
      <c r="M89" s="579"/>
      <c r="N89" s="579"/>
      <c r="O89" s="579"/>
      <c r="P89" s="555"/>
      <c r="Q89" s="580"/>
    </row>
    <row r="90" ht="3.75" customHeight="1">
      <c r="A90" s="581"/>
      <c r="B90" s="582"/>
      <c r="C90" s="583"/>
      <c r="D90" s="583"/>
      <c r="E90" s="583"/>
      <c r="F90" s="583"/>
      <c r="G90" s="583"/>
      <c r="H90" s="583"/>
      <c r="I90" s="583"/>
      <c r="J90" s="583"/>
      <c r="K90" s="583"/>
      <c r="L90" s="583"/>
      <c r="M90" s="583"/>
      <c r="N90" s="583"/>
      <c r="O90" s="583"/>
      <c r="P90" s="583"/>
      <c r="Q90" s="580"/>
    </row>
    <row r="91" ht="7.5" customHeight="1">
      <c r="A91" s="578"/>
      <c r="B91" s="579"/>
      <c r="C91" s="579"/>
      <c r="D91" s="579"/>
      <c r="E91" s="579"/>
      <c r="F91" s="579"/>
      <c r="G91" s="579"/>
      <c r="H91" s="579"/>
      <c r="I91" s="579"/>
      <c r="J91" s="579"/>
      <c r="K91" s="579"/>
      <c r="L91" s="579"/>
      <c r="M91" s="579"/>
      <c r="N91" s="579"/>
      <c r="O91" s="579"/>
      <c r="P91" s="555"/>
      <c r="Q91" s="580"/>
    </row>
    <row r="92">
      <c r="A92" s="578"/>
      <c r="B92" s="584" t="s">
        <v>560</v>
      </c>
      <c r="C92" s="168"/>
      <c r="D92" s="169"/>
      <c r="E92" s="557"/>
      <c r="F92" s="589"/>
      <c r="G92" s="589"/>
      <c r="H92" s="589"/>
      <c r="I92" s="589"/>
      <c r="J92" s="589"/>
      <c r="K92" s="589"/>
      <c r="L92" s="589"/>
      <c r="M92" s="589"/>
      <c r="N92" s="589"/>
      <c r="O92" s="589"/>
      <c r="P92" s="589"/>
      <c r="Q92" s="557"/>
    </row>
    <row r="93" ht="26.25" customHeight="1">
      <c r="A93" s="558" t="str">
        <f>Source!$B$6</f>
        <v/>
      </c>
      <c r="B93" s="559" t="str">
        <f>Source!$D$11</f>
        <v/>
      </c>
      <c r="C93" s="560" t="str">
        <f>Source!$B$7</f>
        <v/>
      </c>
      <c r="D93" s="561" t="s">
        <v>561</v>
      </c>
      <c r="E93" s="562"/>
      <c r="F93" s="585" t="s">
        <v>562</v>
      </c>
      <c r="G93" s="27"/>
      <c r="H93" s="27"/>
      <c r="I93" s="27"/>
      <c r="J93" s="27"/>
      <c r="K93" s="27"/>
      <c r="L93" s="565"/>
      <c r="M93" s="568"/>
      <c r="N93" s="568"/>
      <c r="O93" s="568"/>
      <c r="P93" s="568"/>
      <c r="Q93" s="588"/>
    </row>
    <row r="94" ht="26.25" customHeight="1">
      <c r="A94" s="558" t="str">
        <f>Source!$B$6</f>
        <v/>
      </c>
      <c r="B94" s="559" t="str">
        <f>Source!$AB$37</f>
        <v/>
      </c>
      <c r="C94" s="569"/>
      <c r="D94" s="570" t="s">
        <v>563</v>
      </c>
      <c r="E94" s="571"/>
      <c r="F94" s="572" t="s">
        <v>564</v>
      </c>
      <c r="G94" s="27"/>
      <c r="H94" s="27"/>
      <c r="I94" s="27"/>
      <c r="J94" s="27"/>
      <c r="K94" s="27"/>
      <c r="L94" s="565"/>
      <c r="M94" s="568"/>
      <c r="N94" s="568"/>
      <c r="O94" s="568"/>
      <c r="P94" s="568"/>
      <c r="Q94" s="31"/>
    </row>
    <row r="95" ht="26.25" customHeight="1">
      <c r="A95" s="558" t="str">
        <f>Source!$B$6</f>
        <v/>
      </c>
      <c r="B95" s="559" t="str">
        <f>Source!$AB$39</f>
        <v/>
      </c>
      <c r="C95" s="560" t="str">
        <f>Source!$B$7</f>
        <v/>
      </c>
      <c r="D95" s="561" t="s">
        <v>467</v>
      </c>
      <c r="E95" s="562"/>
      <c r="F95" s="585" t="s">
        <v>565</v>
      </c>
      <c r="G95" s="27"/>
      <c r="H95" s="27"/>
      <c r="I95" s="27"/>
      <c r="J95" s="27"/>
      <c r="K95" s="27"/>
      <c r="L95" s="565"/>
      <c r="M95" s="568"/>
      <c r="N95" s="568"/>
      <c r="O95" s="568"/>
      <c r="P95" s="568"/>
      <c r="Q95" s="588"/>
    </row>
    <row r="96" ht="26.25" customHeight="1">
      <c r="A96" s="558" t="str">
        <f>Source!$B$6</f>
        <v/>
      </c>
      <c r="B96" s="559" t="str">
        <f>Source!$AB$44</f>
        <v/>
      </c>
      <c r="C96" s="569"/>
      <c r="D96" s="570" t="s">
        <v>566</v>
      </c>
      <c r="E96" s="571"/>
      <c r="F96" s="572" t="s">
        <v>567</v>
      </c>
      <c r="G96" s="27"/>
      <c r="H96" s="27"/>
      <c r="I96" s="27"/>
      <c r="J96" s="565"/>
      <c r="K96" s="568"/>
      <c r="L96" s="568"/>
      <c r="M96" s="568"/>
      <c r="N96" s="568"/>
      <c r="O96" s="568"/>
      <c r="P96" s="568"/>
      <c r="Q96" s="31"/>
    </row>
    <row r="97" ht="26.25" customHeight="1">
      <c r="A97" s="558" t="str">
        <f>Source!$B$6</f>
        <v/>
      </c>
      <c r="B97" s="559" t="str">
        <f>Source!$AE$9</f>
        <v/>
      </c>
      <c r="C97" s="560"/>
      <c r="D97" s="561" t="s">
        <v>568</v>
      </c>
      <c r="E97" s="562"/>
      <c r="F97" s="585" t="s">
        <v>569</v>
      </c>
      <c r="G97" s="27"/>
      <c r="H97" s="27"/>
      <c r="I97" s="27"/>
      <c r="J97" s="27"/>
      <c r="K97" s="27"/>
      <c r="L97" s="565"/>
      <c r="M97" s="568"/>
      <c r="N97" s="568"/>
      <c r="O97" s="568"/>
      <c r="P97" s="568"/>
      <c r="Q97" s="31"/>
    </row>
    <row r="98" ht="26.25" customHeight="1">
      <c r="A98" s="558" t="str">
        <f>Source!$B$6</f>
        <v/>
      </c>
      <c r="B98" s="559" t="str">
        <f>Source!$AN$63</f>
        <v/>
      </c>
      <c r="C98" s="569" t="str">
        <f>Source!$B$7</f>
        <v/>
      </c>
      <c r="D98" s="570" t="s">
        <v>570</v>
      </c>
      <c r="E98" s="571"/>
      <c r="F98" s="572" t="s">
        <v>571</v>
      </c>
      <c r="G98" s="27"/>
      <c r="H98" s="27"/>
      <c r="I98" s="27"/>
      <c r="J98" s="27"/>
      <c r="K98" s="27"/>
      <c r="L98" s="27"/>
      <c r="M98" s="565"/>
      <c r="N98" s="568"/>
      <c r="O98" s="568"/>
      <c r="P98" s="568"/>
      <c r="Q98" s="31"/>
    </row>
    <row r="99" ht="26.25" customHeight="1">
      <c r="A99" s="558" t="str">
        <f>Source!$B$6</f>
        <v/>
      </c>
      <c r="B99" s="559" t="str">
        <f>Source!$AK$23</f>
        <v/>
      </c>
      <c r="C99" s="560" t="str">
        <f>Source!$B$7</f>
        <v/>
      </c>
      <c r="D99" s="561" t="s">
        <v>572</v>
      </c>
      <c r="E99" s="562"/>
      <c r="F99" s="585" t="s">
        <v>573</v>
      </c>
      <c r="G99" s="27"/>
      <c r="H99" s="27"/>
      <c r="I99" s="27"/>
      <c r="J99" s="27"/>
      <c r="K99" s="565"/>
      <c r="L99" s="568"/>
      <c r="M99" s="568"/>
      <c r="N99" s="568"/>
      <c r="O99" s="568"/>
      <c r="P99" s="568"/>
      <c r="Q99" s="588"/>
    </row>
    <row r="100" ht="26.25" customHeight="1">
      <c r="A100" s="558" t="str">
        <f>Source!$B$6</f>
        <v/>
      </c>
      <c r="B100" s="559" t="str">
        <f>Source!$AH$22</f>
        <v/>
      </c>
      <c r="C100" s="569" t="str">
        <f>Source!$B$7</f>
        <v/>
      </c>
      <c r="D100" s="570" t="s">
        <v>574</v>
      </c>
      <c r="E100" s="571"/>
      <c r="F100" s="572" t="s">
        <v>575</v>
      </c>
      <c r="G100" s="27"/>
      <c r="H100" s="27"/>
      <c r="I100" s="27"/>
      <c r="J100" s="27"/>
      <c r="K100" s="27"/>
      <c r="L100" s="27"/>
      <c r="M100" s="565"/>
      <c r="N100" s="568"/>
      <c r="O100" s="568"/>
      <c r="P100" s="568"/>
      <c r="Q100" s="31"/>
    </row>
    <row r="101" ht="26.25" customHeight="1">
      <c r="A101" s="558" t="str">
        <f>Source!$B$6</f>
        <v/>
      </c>
      <c r="B101" s="559" t="str">
        <f>Source!$AN$80</f>
        <v/>
      </c>
      <c r="C101" s="560" t="str">
        <f>Source!$B$7</f>
        <v/>
      </c>
      <c r="D101" s="561" t="s">
        <v>576</v>
      </c>
      <c r="E101" s="562"/>
      <c r="F101" s="585" t="s">
        <v>577</v>
      </c>
      <c r="G101" s="27"/>
      <c r="H101" s="27"/>
      <c r="I101" s="27"/>
      <c r="J101" s="27"/>
      <c r="K101" s="27"/>
      <c r="L101" s="27"/>
      <c r="M101" s="27"/>
      <c r="N101" s="27"/>
      <c r="O101" s="27"/>
      <c r="P101" s="27"/>
      <c r="Q101" s="588"/>
    </row>
    <row r="102" ht="26.25" customHeight="1">
      <c r="A102" s="558" t="str">
        <f>Source!$B$6</f>
        <v/>
      </c>
      <c r="B102" s="559" t="str">
        <f>Source!$AB$15</f>
        <v/>
      </c>
      <c r="C102" s="569"/>
      <c r="D102" s="570" t="s">
        <v>578</v>
      </c>
      <c r="E102" s="571"/>
      <c r="F102" s="572" t="s">
        <v>579</v>
      </c>
      <c r="G102" s="27"/>
      <c r="H102" s="27"/>
      <c r="I102" s="27"/>
      <c r="J102" s="27"/>
      <c r="K102" s="27"/>
      <c r="L102" s="27"/>
      <c r="M102" s="27"/>
      <c r="N102" s="27"/>
      <c r="O102" s="27"/>
      <c r="P102" s="27"/>
      <c r="Q102" s="31"/>
    </row>
    <row r="103" ht="26.25" customHeight="1">
      <c r="A103" s="558" t="str">
        <f>Source!$B$6</f>
        <v/>
      </c>
      <c r="B103" s="559" t="str">
        <f>Source!$AB$47</f>
        <v/>
      </c>
      <c r="C103" s="560" t="str">
        <f>Source!$B$7</f>
        <v/>
      </c>
      <c r="D103" s="561" t="s">
        <v>580</v>
      </c>
      <c r="E103" s="562"/>
      <c r="F103" s="585" t="s">
        <v>581</v>
      </c>
      <c r="G103" s="27"/>
      <c r="H103" s="27"/>
      <c r="I103" s="27"/>
      <c r="J103" s="27"/>
      <c r="K103" s="27"/>
      <c r="L103" s="27"/>
      <c r="M103" s="27"/>
      <c r="N103" s="27"/>
      <c r="O103" s="565"/>
      <c r="P103" s="568"/>
      <c r="Q103" s="588"/>
    </row>
    <row r="104" ht="26.25" customHeight="1">
      <c r="A104" s="558" t="str">
        <f>Source!$B$6</f>
        <v/>
      </c>
      <c r="B104" s="559" t="str">
        <f>Source!$D$7</f>
        <v/>
      </c>
      <c r="C104" s="569"/>
      <c r="D104" s="570" t="s">
        <v>582</v>
      </c>
      <c r="E104" s="571"/>
      <c r="F104" s="572" t="s">
        <v>583</v>
      </c>
      <c r="G104" s="27"/>
      <c r="H104" s="27"/>
      <c r="I104" s="27"/>
      <c r="J104" s="27"/>
      <c r="K104" s="27"/>
      <c r="L104" s="27"/>
      <c r="M104" s="27"/>
      <c r="N104" s="565"/>
      <c r="O104" s="568"/>
      <c r="P104" s="568"/>
      <c r="Q104" s="31"/>
    </row>
    <row r="105" ht="26.25" customHeight="1">
      <c r="A105" s="558" t="str">
        <f>Source!$B$6</f>
        <v/>
      </c>
      <c r="B105" s="559" t="str">
        <f>Source!$AK$23</f>
        <v/>
      </c>
      <c r="C105" s="560" t="str">
        <f>Source!$B$7</f>
        <v/>
      </c>
      <c r="D105" s="561" t="s">
        <v>572</v>
      </c>
      <c r="E105" s="562"/>
      <c r="F105" s="585" t="s">
        <v>584</v>
      </c>
      <c r="G105" s="27"/>
      <c r="H105" s="27"/>
      <c r="I105" s="27"/>
      <c r="J105" s="27"/>
      <c r="K105" s="27"/>
      <c r="L105" s="27"/>
      <c r="M105" s="27"/>
      <c r="N105" s="27"/>
      <c r="O105" s="27"/>
      <c r="P105" s="565"/>
      <c r="Q105" s="588"/>
    </row>
    <row r="106" ht="26.25" customHeight="1">
      <c r="A106" s="558" t="str">
        <f>Source!$B$6</f>
        <v/>
      </c>
      <c r="B106" s="559" t="str">
        <f>IMAGE("https://i.ibb.co/yhkmQXs/dome-1.png")</f>
        <v/>
      </c>
      <c r="C106" s="569"/>
      <c r="D106" s="570" t="s">
        <v>585</v>
      </c>
      <c r="E106" s="571"/>
      <c r="F106" s="572" t="s">
        <v>586</v>
      </c>
      <c r="G106" s="27"/>
      <c r="H106" s="27"/>
      <c r="I106" s="27"/>
      <c r="J106" s="27"/>
      <c r="K106" s="27"/>
      <c r="L106" s="27"/>
      <c r="M106" s="27"/>
      <c r="N106" s="27"/>
      <c r="O106" s="27"/>
      <c r="P106" s="27"/>
      <c r="Q106" s="31"/>
    </row>
    <row r="107" ht="26.25" customHeight="1">
      <c r="A107" s="558" t="str">
        <f>Source!$B$6</f>
        <v/>
      </c>
      <c r="B107" s="559" t="str">
        <f>Source!$AB$3</f>
        <v/>
      </c>
      <c r="C107" s="560"/>
      <c r="D107" s="561" t="s">
        <v>513</v>
      </c>
      <c r="E107" s="562"/>
      <c r="F107" s="585" t="s">
        <v>587</v>
      </c>
      <c r="G107" s="27"/>
      <c r="H107" s="27"/>
      <c r="I107" s="27"/>
      <c r="J107" s="27"/>
      <c r="K107" s="27"/>
      <c r="L107" s="27"/>
      <c r="M107" s="27"/>
      <c r="N107" s="565"/>
      <c r="O107" s="568"/>
      <c r="P107" s="568"/>
      <c r="Q107" s="31"/>
    </row>
    <row r="108" ht="7.5" customHeight="1">
      <c r="A108" s="578"/>
      <c r="B108" s="579"/>
      <c r="C108" s="579"/>
      <c r="D108" s="579"/>
      <c r="E108" s="579"/>
      <c r="F108" s="579"/>
      <c r="G108" s="579"/>
      <c r="H108" s="579"/>
      <c r="I108" s="579"/>
      <c r="J108" s="579"/>
      <c r="K108" s="579"/>
      <c r="L108" s="579"/>
      <c r="M108" s="579"/>
      <c r="N108" s="579"/>
      <c r="O108" s="579"/>
      <c r="P108" s="555"/>
      <c r="Q108" s="580"/>
    </row>
    <row r="109" ht="3.75" customHeight="1">
      <c r="A109" s="581"/>
      <c r="B109" s="582"/>
      <c r="C109" s="583"/>
      <c r="D109" s="583"/>
      <c r="E109" s="583"/>
      <c r="F109" s="583"/>
      <c r="G109" s="583"/>
      <c r="H109" s="583"/>
      <c r="I109" s="583"/>
      <c r="J109" s="583"/>
      <c r="K109" s="583"/>
      <c r="L109" s="583"/>
      <c r="M109" s="583"/>
      <c r="N109" s="583"/>
      <c r="O109" s="583"/>
      <c r="P109" s="583"/>
      <c r="Q109" s="580"/>
    </row>
    <row r="110" ht="7.5" customHeight="1">
      <c r="A110" s="578"/>
      <c r="B110" s="579"/>
      <c r="C110" s="579"/>
      <c r="D110" s="579"/>
      <c r="E110" s="579"/>
      <c r="F110" s="579"/>
      <c r="G110" s="579"/>
      <c r="H110" s="579"/>
      <c r="I110" s="579"/>
      <c r="J110" s="579"/>
      <c r="K110" s="579"/>
      <c r="L110" s="579"/>
      <c r="M110" s="579"/>
      <c r="N110" s="579"/>
      <c r="O110" s="579"/>
      <c r="P110" s="555"/>
      <c r="Q110" s="580"/>
    </row>
    <row r="111">
      <c r="A111" s="578"/>
      <c r="B111" s="584" t="s">
        <v>588</v>
      </c>
      <c r="C111" s="168"/>
      <c r="D111" s="169"/>
      <c r="E111" s="557"/>
      <c r="F111" s="589"/>
      <c r="G111" s="589"/>
      <c r="H111" s="589"/>
      <c r="I111" s="589"/>
      <c r="J111" s="589"/>
      <c r="K111" s="589"/>
      <c r="L111" s="589"/>
      <c r="M111" s="589"/>
      <c r="N111" s="589"/>
      <c r="O111" s="589"/>
      <c r="P111" s="589"/>
      <c r="Q111" s="557"/>
    </row>
    <row r="112" ht="26.25" customHeight="1">
      <c r="A112" s="558" t="str">
        <f>Source!$B$6</f>
        <v/>
      </c>
      <c r="B112" s="559" t="str">
        <f>Source!$Y$11</f>
        <v/>
      </c>
      <c r="C112" s="560" t="str">
        <f>Source!$B$7</f>
        <v/>
      </c>
      <c r="D112" s="561" t="s">
        <v>589</v>
      </c>
      <c r="E112" s="562"/>
      <c r="F112" s="585" t="s">
        <v>590</v>
      </c>
      <c r="G112" s="27"/>
      <c r="H112" s="27"/>
      <c r="I112" s="27"/>
      <c r="J112" s="27"/>
      <c r="K112" s="27"/>
      <c r="L112" s="27"/>
      <c r="M112" s="27"/>
      <c r="N112" s="27"/>
      <c r="O112" s="568"/>
      <c r="P112" s="568"/>
      <c r="Q112" s="588"/>
    </row>
    <row r="113" ht="26.25" customHeight="1">
      <c r="A113" s="558" t="str">
        <f>Source!$B$6</f>
        <v/>
      </c>
      <c r="B113" s="559" t="str">
        <f>Source!$D$7</f>
        <v/>
      </c>
      <c r="C113" s="569"/>
      <c r="D113" s="570" t="s">
        <v>591</v>
      </c>
      <c r="E113" s="571"/>
      <c r="F113" s="572" t="s">
        <v>592</v>
      </c>
      <c r="G113" s="27"/>
      <c r="H113" s="27"/>
      <c r="I113" s="27"/>
      <c r="J113" s="565"/>
      <c r="K113" s="568"/>
      <c r="L113" s="568"/>
      <c r="M113" s="568"/>
      <c r="N113" s="568"/>
      <c r="O113" s="568"/>
      <c r="P113" s="568"/>
      <c r="Q113" s="31"/>
    </row>
    <row r="114" ht="26.25" customHeight="1">
      <c r="A114" s="558" t="str">
        <f>Source!$B$6</f>
        <v/>
      </c>
      <c r="B114" s="559" t="str">
        <f>Source!$BL$2</f>
        <v/>
      </c>
      <c r="C114" s="560" t="str">
        <f>Source!$B$7</f>
        <v/>
      </c>
      <c r="D114" s="561" t="s">
        <v>593</v>
      </c>
      <c r="E114" s="562"/>
      <c r="F114" s="585" t="s">
        <v>594</v>
      </c>
      <c r="G114" s="27"/>
      <c r="H114" s="27"/>
      <c r="I114" s="27"/>
      <c r="J114" s="27"/>
      <c r="K114" s="27"/>
      <c r="L114" s="27"/>
      <c r="M114" s="27"/>
      <c r="N114" s="27"/>
      <c r="O114" s="27"/>
      <c r="P114" s="565"/>
      <c r="Q114" s="588"/>
    </row>
    <row r="115" ht="26.25" customHeight="1">
      <c r="A115" s="558" t="str">
        <f>Source!$B$6</f>
        <v/>
      </c>
      <c r="B115" s="559" t="str">
        <f>Source!$AK$35</f>
        <v/>
      </c>
      <c r="C115" s="569"/>
      <c r="D115" s="570" t="s">
        <v>595</v>
      </c>
      <c r="E115" s="571"/>
      <c r="F115" s="572" t="s">
        <v>596</v>
      </c>
      <c r="G115" s="27"/>
      <c r="H115" s="27"/>
      <c r="I115" s="565"/>
      <c r="J115" s="568"/>
      <c r="K115" s="568"/>
      <c r="L115" s="568"/>
      <c r="M115" s="568"/>
      <c r="N115" s="602"/>
      <c r="O115" s="568"/>
      <c r="P115" s="568"/>
      <c r="Q115" s="31"/>
    </row>
    <row r="116" ht="26.25" customHeight="1">
      <c r="A116" s="558" t="str">
        <f>Source!$B$6</f>
        <v/>
      </c>
      <c r="B116" s="559" t="str">
        <f>Source!$AT$56</f>
        <v/>
      </c>
      <c r="C116" s="560"/>
      <c r="D116" s="561" t="s">
        <v>597</v>
      </c>
      <c r="E116" s="562"/>
      <c r="F116" s="585" t="s">
        <v>598</v>
      </c>
      <c r="G116" s="27"/>
      <c r="H116" s="27"/>
      <c r="I116" s="27"/>
      <c r="J116" s="27"/>
      <c r="K116" s="27"/>
      <c r="L116" s="27"/>
      <c r="M116" s="27"/>
      <c r="N116" s="565"/>
      <c r="O116" s="568"/>
      <c r="P116" s="568"/>
      <c r="Q116" s="31"/>
    </row>
    <row r="117" ht="26.25" customHeight="1">
      <c r="A117" s="558" t="str">
        <f>Source!$B$6</f>
        <v/>
      </c>
      <c r="B117" s="559" t="str">
        <f>Source!$D$14</f>
        <v/>
      </c>
      <c r="C117" s="569" t="str">
        <f>Source!$B$7</f>
        <v/>
      </c>
      <c r="D117" s="570" t="s">
        <v>599</v>
      </c>
      <c r="E117" s="571"/>
      <c r="F117" s="572" t="s">
        <v>600</v>
      </c>
      <c r="G117" s="27"/>
      <c r="H117" s="27"/>
      <c r="I117" s="27"/>
      <c r="J117" s="27"/>
      <c r="K117" s="27"/>
      <c r="L117" s="27"/>
      <c r="M117" s="27"/>
      <c r="N117" s="27"/>
      <c r="O117" s="568"/>
      <c r="P117" s="568"/>
      <c r="Q117" s="31"/>
    </row>
    <row r="118" ht="26.25" customHeight="1">
      <c r="A118" s="558" t="str">
        <f>Source!$B$6</f>
        <v/>
      </c>
      <c r="B118" s="559" t="str">
        <f>Source!$P$36</f>
        <v/>
      </c>
      <c r="C118" s="560" t="str">
        <f>Source!$B$7</f>
        <v/>
      </c>
      <c r="D118" s="561" t="s">
        <v>601</v>
      </c>
      <c r="E118" s="562"/>
      <c r="F118" s="585" t="s">
        <v>602</v>
      </c>
      <c r="G118" s="27"/>
      <c r="H118" s="27"/>
      <c r="I118" s="27"/>
      <c r="J118" s="27"/>
      <c r="K118" s="27"/>
      <c r="L118" s="27"/>
      <c r="M118" s="565"/>
      <c r="N118" s="602"/>
      <c r="O118" s="568"/>
      <c r="P118" s="568"/>
      <c r="Q118" s="588"/>
    </row>
    <row r="119" ht="26.25" customHeight="1">
      <c r="A119" s="558" t="str">
        <f>Source!$B$6</f>
        <v/>
      </c>
      <c r="B119" s="559" t="str">
        <f>Source!$P$40</f>
        <v/>
      </c>
      <c r="C119" s="569" t="str">
        <f>Source!$B$7</f>
        <v/>
      </c>
      <c r="D119" s="570" t="s">
        <v>603</v>
      </c>
      <c r="E119" s="571"/>
      <c r="F119" s="572" t="s">
        <v>604</v>
      </c>
      <c r="G119" s="27"/>
      <c r="H119" s="27"/>
      <c r="I119" s="27"/>
      <c r="J119" s="27"/>
      <c r="K119" s="27"/>
      <c r="L119" s="27"/>
      <c r="M119" s="27"/>
      <c r="N119" s="568"/>
      <c r="O119" s="568"/>
      <c r="P119" s="568"/>
      <c r="Q119" s="31"/>
    </row>
    <row r="120" ht="7.5" customHeight="1">
      <c r="A120" s="578"/>
      <c r="B120" s="579"/>
      <c r="C120" s="579"/>
      <c r="D120" s="579"/>
      <c r="E120" s="579"/>
      <c r="F120" s="579"/>
      <c r="G120" s="579"/>
      <c r="H120" s="579"/>
      <c r="I120" s="579"/>
      <c r="J120" s="579"/>
      <c r="K120" s="579"/>
      <c r="L120" s="579"/>
      <c r="M120" s="579"/>
      <c r="N120" s="579"/>
      <c r="O120" s="579"/>
      <c r="P120" s="555"/>
      <c r="Q120" s="580"/>
    </row>
    <row r="121" ht="3.75" customHeight="1">
      <c r="A121" s="581"/>
      <c r="B121" s="582"/>
      <c r="C121" s="583"/>
      <c r="D121" s="583"/>
      <c r="E121" s="583"/>
      <c r="F121" s="583"/>
      <c r="G121" s="583"/>
      <c r="H121" s="583"/>
      <c r="I121" s="583"/>
      <c r="J121" s="583"/>
      <c r="K121" s="583"/>
      <c r="L121" s="583"/>
      <c r="M121" s="583"/>
      <c r="N121" s="583"/>
      <c r="O121" s="583"/>
      <c r="P121" s="583"/>
      <c r="Q121" s="580"/>
    </row>
    <row r="122" ht="7.5" customHeight="1">
      <c r="A122" s="578"/>
      <c r="B122" s="579"/>
      <c r="C122" s="579"/>
      <c r="D122" s="579"/>
      <c r="E122" s="579"/>
      <c r="F122" s="579"/>
      <c r="G122" s="579"/>
      <c r="H122" s="579"/>
      <c r="I122" s="579"/>
      <c r="J122" s="579"/>
      <c r="K122" s="579"/>
      <c r="L122" s="579"/>
      <c r="M122" s="579"/>
      <c r="N122" s="579"/>
      <c r="O122" s="579"/>
      <c r="P122" s="555"/>
      <c r="Q122" s="580"/>
    </row>
    <row r="123">
      <c r="A123" s="578"/>
      <c r="B123" s="584" t="s">
        <v>605</v>
      </c>
      <c r="C123" s="168"/>
      <c r="D123" s="169"/>
      <c r="E123" s="557"/>
      <c r="F123" s="589"/>
      <c r="G123" s="589"/>
      <c r="H123" s="589"/>
      <c r="I123" s="589"/>
      <c r="J123" s="589"/>
      <c r="K123" s="589"/>
      <c r="L123" s="589"/>
      <c r="M123" s="589"/>
      <c r="N123" s="589"/>
      <c r="O123" s="589"/>
      <c r="P123" s="589"/>
      <c r="Q123" s="557"/>
    </row>
    <row r="124" ht="26.25" customHeight="1">
      <c r="A124" s="558" t="str">
        <f>Source!$B$6</f>
        <v/>
      </c>
      <c r="B124" s="559" t="str">
        <f>Source!$AQ$16</f>
        <v/>
      </c>
      <c r="C124" s="560" t="str">
        <f>Source!$B$7</f>
        <v/>
      </c>
      <c r="D124" s="561" t="s">
        <v>606</v>
      </c>
      <c r="E124" s="562"/>
      <c r="F124" s="585" t="s">
        <v>607</v>
      </c>
      <c r="G124" s="27"/>
      <c r="H124" s="27"/>
      <c r="I124" s="27"/>
      <c r="J124" s="27"/>
      <c r="K124" s="27"/>
      <c r="L124" s="27"/>
      <c r="M124" s="27"/>
      <c r="N124" s="565"/>
      <c r="O124" s="568"/>
      <c r="P124" s="568"/>
      <c r="Q124" s="588"/>
    </row>
    <row r="125" ht="26.25" customHeight="1">
      <c r="A125" s="558" t="str">
        <f>Source!$B$6</f>
        <v/>
      </c>
      <c r="B125" s="559" t="str">
        <f>IMAGE("https://i.ibb.co/KXbvWSW/RR-0.png",4,28,28)</f>
        <v/>
      </c>
      <c r="C125" s="569"/>
      <c r="D125" s="570" t="s">
        <v>608</v>
      </c>
      <c r="E125" s="571"/>
      <c r="F125" s="572" t="s">
        <v>609</v>
      </c>
      <c r="G125" s="27"/>
      <c r="H125" s="27"/>
      <c r="I125" s="27"/>
      <c r="J125" s="27"/>
      <c r="K125" s="27"/>
      <c r="L125" s="565"/>
      <c r="M125" s="568"/>
      <c r="N125" s="568"/>
      <c r="O125" s="568"/>
      <c r="P125" s="568"/>
      <c r="Q125" s="31"/>
    </row>
    <row r="126" ht="26.25" customHeight="1">
      <c r="A126" s="558" t="str">
        <f>Source!$B$6</f>
        <v/>
      </c>
      <c r="B126" s="559" t="str">
        <f>Source!$AB$44</f>
        <v/>
      </c>
      <c r="C126" s="560"/>
      <c r="D126" s="574" t="s">
        <v>566</v>
      </c>
      <c r="E126" s="562"/>
      <c r="F126" s="585" t="s">
        <v>610</v>
      </c>
      <c r="G126" s="27"/>
      <c r="H126" s="27"/>
      <c r="I126" s="27"/>
      <c r="J126" s="27"/>
      <c r="K126" s="27"/>
      <c r="L126" s="27"/>
      <c r="M126" s="27"/>
      <c r="N126" s="565"/>
      <c r="O126" s="568"/>
      <c r="P126" s="568"/>
      <c r="Q126" s="588"/>
    </row>
    <row r="127" ht="26.25" customHeight="1">
      <c r="A127" s="558" t="str">
        <f>Source!$B$6</f>
        <v/>
      </c>
      <c r="B127" s="559" t="str">
        <f>IMAGE("https://i.ibb.co/HYH5Bx4/rider.png",4,28,28)</f>
        <v/>
      </c>
      <c r="C127" s="569"/>
      <c r="D127" s="600" t="s">
        <v>611</v>
      </c>
      <c r="E127" s="571"/>
      <c r="F127" s="572" t="s">
        <v>612</v>
      </c>
      <c r="G127" s="27"/>
      <c r="H127" s="27"/>
      <c r="I127" s="27"/>
      <c r="J127" s="27"/>
      <c r="K127" s="27"/>
      <c r="L127" s="27"/>
      <c r="M127" s="27"/>
      <c r="N127" s="565"/>
      <c r="O127" s="568"/>
      <c r="P127" s="568"/>
      <c r="Q127" s="31"/>
    </row>
    <row r="128" ht="26.25" customHeight="1">
      <c r="A128" s="558" t="str">
        <f>Source!$B$6</f>
        <v/>
      </c>
      <c r="B128" s="559" t="str">
        <f>Source!$D$19</f>
        <v/>
      </c>
      <c r="C128" s="560"/>
      <c r="D128" s="574" t="s">
        <v>613</v>
      </c>
      <c r="E128" s="562"/>
      <c r="F128" s="585" t="s">
        <v>614</v>
      </c>
      <c r="G128" s="27"/>
      <c r="H128" s="27"/>
      <c r="I128" s="27"/>
      <c r="J128" s="27"/>
      <c r="K128" s="565"/>
      <c r="L128" s="568"/>
      <c r="M128" s="568"/>
      <c r="N128" s="568"/>
      <c r="O128" s="568"/>
      <c r="P128" s="568"/>
      <c r="Q128" s="31"/>
    </row>
    <row r="129" ht="26.25" customHeight="1">
      <c r="A129" s="558" t="str">
        <f>Source!$B$6</f>
        <v/>
      </c>
      <c r="B129" s="559" t="str">
        <f>Source!$D$12</f>
        <v/>
      </c>
      <c r="C129" s="569" t="str">
        <f>Source!$B$7</f>
        <v/>
      </c>
      <c r="D129" s="600" t="s">
        <v>615</v>
      </c>
      <c r="E129" s="571"/>
      <c r="F129" s="572" t="s">
        <v>616</v>
      </c>
      <c r="G129" s="27"/>
      <c r="H129" s="27"/>
      <c r="I129" s="27"/>
      <c r="J129" s="27"/>
      <c r="K129" s="27"/>
      <c r="L129" s="27"/>
      <c r="M129" s="27"/>
      <c r="N129" s="565"/>
      <c r="O129" s="568"/>
      <c r="P129" s="568"/>
      <c r="Q129" s="31"/>
    </row>
    <row r="130" ht="26.25" customHeight="1">
      <c r="A130" s="558" t="str">
        <f>Source!$B$6</f>
        <v/>
      </c>
      <c r="B130" s="559" t="str">
        <f>Source!$P$23</f>
        <v/>
      </c>
      <c r="C130" s="560" t="str">
        <f>Source!$B$7</f>
        <v/>
      </c>
      <c r="D130" s="574" t="s">
        <v>617</v>
      </c>
      <c r="E130" s="562"/>
      <c r="F130" s="585" t="s">
        <v>618</v>
      </c>
      <c r="G130" s="27"/>
      <c r="H130" s="27"/>
      <c r="I130" s="27"/>
      <c r="J130" s="27"/>
      <c r="K130" s="27"/>
      <c r="L130" s="27"/>
      <c r="M130" s="27"/>
      <c r="N130" s="27"/>
      <c r="O130" s="565"/>
      <c r="P130" s="568"/>
      <c r="Q130" s="588"/>
    </row>
    <row r="131" ht="7.5" customHeight="1">
      <c r="A131" s="578"/>
      <c r="B131" s="579"/>
      <c r="C131" s="579"/>
      <c r="D131" s="579"/>
      <c r="E131" s="579"/>
      <c r="F131" s="579"/>
      <c r="G131" s="579"/>
      <c r="H131" s="579"/>
      <c r="I131" s="579"/>
      <c r="J131" s="579"/>
      <c r="K131" s="579"/>
      <c r="L131" s="579"/>
      <c r="M131" s="579"/>
      <c r="N131" s="579"/>
      <c r="O131" s="579"/>
      <c r="P131" s="555"/>
      <c r="Q131" s="580"/>
    </row>
    <row r="132" ht="3.75" customHeight="1">
      <c r="A132" s="581"/>
      <c r="B132" s="582"/>
      <c r="C132" s="583"/>
      <c r="D132" s="583"/>
      <c r="E132" s="583"/>
      <c r="F132" s="583"/>
      <c r="G132" s="583"/>
      <c r="H132" s="583"/>
      <c r="I132" s="583"/>
      <c r="J132" s="583"/>
      <c r="K132" s="583"/>
      <c r="L132" s="583"/>
      <c r="M132" s="583"/>
      <c r="N132" s="583"/>
      <c r="O132" s="583"/>
      <c r="P132" s="583"/>
      <c r="Q132" s="580"/>
    </row>
    <row r="133" ht="7.5" customHeight="1">
      <c r="A133" s="578"/>
      <c r="B133" s="579"/>
      <c r="C133" s="579"/>
      <c r="D133" s="579"/>
      <c r="E133" s="579"/>
      <c r="F133" s="579"/>
      <c r="G133" s="579"/>
      <c r="H133" s="579"/>
      <c r="I133" s="579"/>
      <c r="J133" s="579"/>
      <c r="K133" s="579"/>
      <c r="L133" s="579"/>
      <c r="M133" s="579"/>
      <c r="N133" s="579"/>
      <c r="O133" s="579"/>
      <c r="P133" s="555"/>
      <c r="Q133" s="580"/>
    </row>
    <row r="134">
      <c r="A134" s="578"/>
      <c r="B134" s="584" t="s">
        <v>619</v>
      </c>
      <c r="C134" s="168"/>
      <c r="D134" s="169"/>
      <c r="E134" s="557"/>
      <c r="F134" s="589"/>
      <c r="G134" s="589"/>
      <c r="H134" s="589"/>
      <c r="I134" s="589"/>
      <c r="J134" s="589"/>
      <c r="K134" s="589"/>
      <c r="L134" s="589"/>
      <c r="M134" s="589"/>
      <c r="N134" s="589"/>
      <c r="O134" s="589"/>
      <c r="P134" s="589"/>
      <c r="Q134" s="557"/>
    </row>
    <row r="135" ht="26.25" customHeight="1">
      <c r="A135" s="558" t="str">
        <f>Source!$B$6</f>
        <v/>
      </c>
      <c r="B135" s="559" t="str">
        <f>Source!$AH$4</f>
        <v/>
      </c>
      <c r="C135" s="560" t="str">
        <f>Source!$B$7</f>
        <v/>
      </c>
      <c r="D135" s="561" t="s">
        <v>620</v>
      </c>
      <c r="E135" s="562"/>
      <c r="F135" s="585" t="s">
        <v>621</v>
      </c>
      <c r="G135" s="27"/>
      <c r="H135" s="27"/>
      <c r="I135" s="27"/>
      <c r="J135" s="27"/>
      <c r="K135" s="27"/>
      <c r="L135" s="27"/>
      <c r="M135" s="27"/>
      <c r="N135" s="27"/>
      <c r="O135" s="565"/>
      <c r="P135" s="568"/>
      <c r="Q135" s="588"/>
    </row>
    <row r="136" ht="26.25" customHeight="1">
      <c r="A136" s="558" t="str">
        <f>Source!$B$6</f>
        <v/>
      </c>
      <c r="B136" s="559" t="str">
        <f>Source!$D$6</f>
        <v/>
      </c>
      <c r="C136" s="569"/>
      <c r="D136" s="600" t="s">
        <v>622</v>
      </c>
      <c r="E136" s="571"/>
      <c r="F136" s="572" t="s">
        <v>623</v>
      </c>
      <c r="G136" s="27"/>
      <c r="H136" s="27"/>
      <c r="I136" s="27"/>
      <c r="J136" s="565"/>
      <c r="K136" s="568"/>
      <c r="L136" s="568"/>
      <c r="M136" s="568"/>
      <c r="N136" s="568"/>
      <c r="O136" s="568"/>
      <c r="P136" s="568"/>
      <c r="Q136" s="31"/>
    </row>
    <row r="137" ht="26.25" customHeight="1">
      <c r="A137" s="558" t="str">
        <f>Source!$B$6</f>
        <v/>
      </c>
      <c r="B137" s="559" t="str">
        <f>Source!$D$5</f>
        <v/>
      </c>
      <c r="C137" s="560"/>
      <c r="D137" s="561" t="s">
        <v>624</v>
      </c>
      <c r="E137" s="562"/>
      <c r="F137" s="585" t="s">
        <v>625</v>
      </c>
      <c r="G137" s="27"/>
      <c r="H137" s="27"/>
      <c r="I137" s="27"/>
      <c r="J137" s="27"/>
      <c r="K137" s="27"/>
      <c r="L137" s="27"/>
      <c r="M137" s="565"/>
      <c r="N137" s="568"/>
      <c r="O137" s="568"/>
      <c r="P137" s="568"/>
      <c r="Q137" s="588"/>
    </row>
    <row r="138" ht="26.25" customHeight="1">
      <c r="A138" s="558" t="str">
        <f>Source!$B$6</f>
        <v/>
      </c>
      <c r="B138" s="559" t="str">
        <f>Source!$P$47</f>
        <v/>
      </c>
      <c r="C138" s="569"/>
      <c r="D138" s="570" t="s">
        <v>626</v>
      </c>
      <c r="E138" s="571"/>
      <c r="F138" s="572" t="s">
        <v>627</v>
      </c>
      <c r="G138" s="27"/>
      <c r="H138" s="27"/>
      <c r="I138" s="27"/>
      <c r="J138" s="27"/>
      <c r="K138" s="27"/>
      <c r="L138" s="27"/>
      <c r="M138" s="27"/>
      <c r="N138" s="27"/>
      <c r="O138" s="568"/>
      <c r="P138" s="568"/>
      <c r="Q138" s="31"/>
    </row>
    <row r="139" ht="26.25" customHeight="1">
      <c r="A139" s="558" t="str">
        <f>Source!$B$6</f>
        <v/>
      </c>
      <c r="B139" s="559" t="str">
        <f>Source!$AT$48</f>
        <v/>
      </c>
      <c r="C139" s="560"/>
      <c r="D139" s="561" t="s">
        <v>628</v>
      </c>
      <c r="E139" s="562"/>
      <c r="F139" s="585" t="s">
        <v>629</v>
      </c>
      <c r="G139" s="27"/>
      <c r="H139" s="27"/>
      <c r="I139" s="27"/>
      <c r="J139" s="27"/>
      <c r="K139" s="27"/>
      <c r="L139" s="27"/>
      <c r="M139" s="27"/>
      <c r="N139" s="27"/>
      <c r="O139" s="565"/>
      <c r="P139" s="568"/>
      <c r="Q139" s="31"/>
    </row>
    <row r="140" ht="7.5" customHeight="1">
      <c r="A140" s="578"/>
      <c r="B140" s="579"/>
      <c r="C140" s="579"/>
      <c r="D140" s="579"/>
      <c r="E140" s="579"/>
      <c r="F140" s="579"/>
      <c r="G140" s="579"/>
      <c r="H140" s="579"/>
      <c r="I140" s="579"/>
      <c r="J140" s="579"/>
      <c r="K140" s="579"/>
      <c r="L140" s="579"/>
      <c r="M140" s="579"/>
      <c r="N140" s="579"/>
      <c r="O140" s="579"/>
      <c r="P140" s="555"/>
      <c r="Q140" s="580"/>
    </row>
    <row r="141" ht="3.75" customHeight="1">
      <c r="A141" s="581"/>
      <c r="B141" s="582"/>
      <c r="C141" s="583"/>
      <c r="D141" s="583"/>
      <c r="E141" s="583"/>
      <c r="F141" s="583"/>
      <c r="G141" s="583"/>
      <c r="H141" s="583"/>
      <c r="I141" s="583"/>
      <c r="J141" s="583"/>
      <c r="K141" s="583"/>
      <c r="L141" s="583"/>
      <c r="M141" s="583"/>
      <c r="N141" s="583"/>
      <c r="O141" s="583"/>
      <c r="P141" s="583"/>
      <c r="Q141" s="580"/>
    </row>
    <row r="142" ht="7.5" customHeight="1">
      <c r="A142" s="578"/>
      <c r="B142" s="579"/>
      <c r="C142" s="579"/>
      <c r="D142" s="579"/>
      <c r="E142" s="579"/>
      <c r="F142" s="579"/>
      <c r="G142" s="579"/>
      <c r="H142" s="579"/>
      <c r="I142" s="579"/>
      <c r="J142" s="579"/>
      <c r="K142" s="579"/>
      <c r="L142" s="579"/>
      <c r="M142" s="579"/>
      <c r="N142" s="579"/>
      <c r="O142" s="579"/>
      <c r="P142" s="555"/>
      <c r="Q142" s="580"/>
    </row>
    <row r="143">
      <c r="A143" s="578"/>
      <c r="B143" s="584" t="s">
        <v>630</v>
      </c>
      <c r="C143" s="168"/>
      <c r="D143" s="169"/>
      <c r="E143" s="557"/>
      <c r="F143" s="589"/>
      <c r="G143" s="589"/>
      <c r="H143" s="589"/>
      <c r="I143" s="589"/>
      <c r="J143" s="589"/>
      <c r="K143" s="589"/>
      <c r="L143" s="589"/>
      <c r="M143" s="589"/>
      <c r="N143" s="589"/>
      <c r="O143" s="589"/>
      <c r="P143" s="589"/>
      <c r="Q143" s="557"/>
    </row>
    <row r="144" ht="26.25" customHeight="1">
      <c r="A144" s="558" t="str">
        <f>Source!$B$6</f>
        <v/>
      </c>
      <c r="B144" s="559" t="str">
        <f>Source!$AK$19</f>
        <v/>
      </c>
      <c r="C144" s="560" t="str">
        <f>Source!$B$7</f>
        <v/>
      </c>
      <c r="D144" s="561" t="s">
        <v>631</v>
      </c>
      <c r="E144" s="562"/>
      <c r="F144" s="585" t="s">
        <v>632</v>
      </c>
      <c r="G144" s="27"/>
      <c r="H144" s="27"/>
      <c r="I144" s="27"/>
      <c r="J144" s="27"/>
      <c r="K144" s="27"/>
      <c r="L144" s="27"/>
      <c r="M144" s="565"/>
      <c r="N144" s="568"/>
      <c r="O144" s="568"/>
      <c r="P144" s="568"/>
      <c r="Q144" s="588"/>
    </row>
    <row r="145" ht="26.25" customHeight="1">
      <c r="A145" s="558" t="str">
        <f>Source!$B$6</f>
        <v/>
      </c>
      <c r="B145" s="559" t="str">
        <f>Source!$D$9</f>
        <v/>
      </c>
      <c r="C145" s="569"/>
      <c r="D145" s="600" t="s">
        <v>633</v>
      </c>
      <c r="E145" s="571"/>
      <c r="F145" s="572" t="s">
        <v>634</v>
      </c>
      <c r="G145" s="27"/>
      <c r="H145" s="27"/>
      <c r="I145" s="27"/>
      <c r="J145" s="27"/>
      <c r="K145" s="27"/>
      <c r="L145" s="27"/>
      <c r="M145" s="27"/>
      <c r="N145" s="27"/>
      <c r="O145" s="565"/>
      <c r="P145" s="568"/>
      <c r="Q145" s="31"/>
    </row>
    <row r="146" ht="26.25" customHeight="1">
      <c r="A146" s="558" t="str">
        <f>Source!$B$6</f>
        <v/>
      </c>
      <c r="B146" s="559" t="str">
        <f>Source!$AT$7</f>
        <v/>
      </c>
      <c r="C146" s="560"/>
      <c r="D146" s="561" t="s">
        <v>635</v>
      </c>
      <c r="E146" s="562"/>
      <c r="F146" s="585" t="s">
        <v>636</v>
      </c>
      <c r="G146" s="27"/>
      <c r="H146" s="27"/>
      <c r="I146" s="27"/>
      <c r="J146" s="27"/>
      <c r="K146" s="27"/>
      <c r="L146" s="27"/>
      <c r="M146" s="27"/>
      <c r="N146" s="27"/>
      <c r="O146" s="565"/>
      <c r="P146" s="568"/>
      <c r="Q146" s="588"/>
    </row>
    <row r="147" ht="26.25" customHeight="1">
      <c r="A147" s="558" t="str">
        <f>Source!$B$6</f>
        <v/>
      </c>
      <c r="B147" s="559" t="str">
        <f>Source!$AT$44</f>
        <v/>
      </c>
      <c r="C147" s="569" t="str">
        <f>Source!$B$7</f>
        <v/>
      </c>
      <c r="D147" s="570" t="s">
        <v>549</v>
      </c>
      <c r="E147" s="571"/>
      <c r="F147" s="572" t="s">
        <v>637</v>
      </c>
      <c r="G147" s="27"/>
      <c r="H147" s="27"/>
      <c r="I147" s="27"/>
      <c r="J147" s="27"/>
      <c r="K147" s="27"/>
      <c r="L147" s="27"/>
      <c r="M147" s="27"/>
      <c r="N147" s="27"/>
      <c r="O147" s="27"/>
      <c r="P147" s="565"/>
      <c r="Q147" s="31"/>
    </row>
    <row r="148" ht="26.25" customHeight="1">
      <c r="A148" s="558" t="str">
        <f>Source!$B$6</f>
        <v/>
      </c>
      <c r="B148" s="559" t="str">
        <f>Source!$AQ$194</f>
        <v/>
      </c>
      <c r="C148" s="560"/>
      <c r="D148" s="561" t="s">
        <v>638</v>
      </c>
      <c r="E148" s="562"/>
      <c r="F148" s="585" t="s">
        <v>639</v>
      </c>
      <c r="G148" s="27"/>
      <c r="H148" s="27"/>
      <c r="I148" s="27"/>
      <c r="J148" s="27"/>
      <c r="K148" s="27"/>
      <c r="L148" s="27"/>
      <c r="M148" s="565"/>
      <c r="N148" s="568"/>
      <c r="O148" s="568"/>
      <c r="P148" s="568"/>
      <c r="Q148" s="31"/>
    </row>
    <row r="149" ht="26.25" customHeight="1">
      <c r="A149" s="558" t="str">
        <f>Source!$B$6</f>
        <v/>
      </c>
      <c r="B149" s="559" t="str">
        <f>Source!$D$2</f>
        <v/>
      </c>
      <c r="C149" s="569"/>
      <c r="D149" s="600" t="s">
        <v>640</v>
      </c>
      <c r="E149" s="571"/>
      <c r="F149" s="572" t="s">
        <v>641</v>
      </c>
      <c r="G149" s="27"/>
      <c r="H149" s="27"/>
      <c r="I149" s="27"/>
      <c r="J149" s="27"/>
      <c r="K149" s="565"/>
      <c r="L149" s="568"/>
      <c r="M149" s="568"/>
      <c r="N149" s="568"/>
      <c r="O149" s="568"/>
      <c r="P149" s="568"/>
      <c r="Q149" s="31"/>
    </row>
    <row r="150" ht="26.25" customHeight="1">
      <c r="A150" s="558" t="str">
        <f>Source!$B$6</f>
        <v/>
      </c>
      <c r="B150" s="559" t="str">
        <f>Source!$Y$26</f>
        <v/>
      </c>
      <c r="C150" s="560"/>
      <c r="D150" s="561" t="s">
        <v>642</v>
      </c>
      <c r="E150" s="562"/>
      <c r="F150" s="603" t="s">
        <v>643</v>
      </c>
      <c r="G150" s="27"/>
      <c r="H150" s="27"/>
      <c r="I150" s="27"/>
      <c r="J150" s="27"/>
      <c r="K150" s="565"/>
      <c r="L150" s="568"/>
      <c r="M150" s="568"/>
      <c r="N150" s="568"/>
      <c r="O150" s="568"/>
      <c r="P150" s="568"/>
      <c r="Q150" s="31"/>
    </row>
    <row r="151" ht="26.25" customHeight="1">
      <c r="A151" s="558" t="str">
        <f>Source!$B$6</f>
        <v/>
      </c>
      <c r="B151" s="559" t="str">
        <f>Source!$AB$12</f>
        <v/>
      </c>
      <c r="C151" s="569"/>
      <c r="D151" s="570" t="s">
        <v>644</v>
      </c>
      <c r="E151" s="571"/>
      <c r="F151" s="572" t="s">
        <v>645</v>
      </c>
      <c r="G151" s="27"/>
      <c r="H151" s="27"/>
      <c r="I151" s="27"/>
      <c r="J151" s="27"/>
      <c r="K151" s="27"/>
      <c r="L151" s="27"/>
      <c r="M151" s="27"/>
      <c r="N151" s="27"/>
      <c r="O151" s="27"/>
      <c r="P151" s="27"/>
      <c r="Q151" s="31"/>
    </row>
    <row r="152" ht="26.25" customHeight="1">
      <c r="A152" s="558" t="str">
        <f>Source!$B$6</f>
        <v/>
      </c>
      <c r="B152" s="559" t="str">
        <f>Source!$AB$15</f>
        <v/>
      </c>
      <c r="C152" s="560"/>
      <c r="D152" s="561" t="s">
        <v>578</v>
      </c>
      <c r="E152" s="562"/>
      <c r="F152" s="585" t="s">
        <v>646</v>
      </c>
      <c r="G152" s="27"/>
      <c r="H152" s="27"/>
      <c r="I152" s="27"/>
      <c r="J152" s="27"/>
      <c r="K152" s="27"/>
      <c r="L152" s="27"/>
      <c r="M152" s="27"/>
      <c r="N152" s="565"/>
      <c r="O152" s="568"/>
      <c r="P152" s="568"/>
      <c r="Q152" s="31"/>
    </row>
    <row r="153" ht="7.5" customHeight="1">
      <c r="A153" s="578"/>
      <c r="B153" s="579"/>
      <c r="C153" s="579"/>
      <c r="D153" s="579"/>
      <c r="E153" s="579"/>
      <c r="F153" s="579"/>
      <c r="G153" s="579"/>
      <c r="H153" s="579"/>
      <c r="I153" s="579"/>
      <c r="J153" s="579"/>
      <c r="K153" s="579"/>
      <c r="L153" s="579"/>
      <c r="M153" s="579"/>
      <c r="N153" s="579"/>
      <c r="O153" s="579"/>
      <c r="P153" s="555"/>
      <c r="Q153" s="580"/>
    </row>
    <row r="154" ht="3.75" customHeight="1">
      <c r="A154" s="581"/>
      <c r="B154" s="582"/>
      <c r="C154" s="583"/>
      <c r="D154" s="583"/>
      <c r="E154" s="583"/>
      <c r="F154" s="583"/>
      <c r="G154" s="583"/>
      <c r="H154" s="583"/>
      <c r="I154" s="583"/>
      <c r="J154" s="583"/>
      <c r="K154" s="583"/>
      <c r="L154" s="583"/>
      <c r="M154" s="583"/>
      <c r="N154" s="583"/>
      <c r="O154" s="583"/>
      <c r="P154" s="583"/>
      <c r="Q154" s="580"/>
    </row>
    <row r="155" ht="7.5" customHeight="1">
      <c r="A155" s="578"/>
      <c r="B155" s="579"/>
      <c r="C155" s="579"/>
      <c r="D155" s="579"/>
      <c r="E155" s="579"/>
      <c r="F155" s="579"/>
      <c r="G155" s="579"/>
      <c r="H155" s="579"/>
      <c r="I155" s="579"/>
      <c r="J155" s="579"/>
      <c r="K155" s="579"/>
      <c r="L155" s="579"/>
      <c r="M155" s="579"/>
      <c r="N155" s="579"/>
      <c r="O155" s="579"/>
      <c r="P155" s="555"/>
      <c r="Q155" s="580"/>
    </row>
    <row r="156">
      <c r="A156" s="578"/>
      <c r="B156" s="584" t="s">
        <v>647</v>
      </c>
      <c r="C156" s="168"/>
      <c r="D156" s="168"/>
      <c r="E156" s="168"/>
      <c r="F156" s="168"/>
      <c r="G156" s="168"/>
      <c r="H156" s="168"/>
      <c r="I156" s="168"/>
      <c r="J156" s="168"/>
      <c r="K156" s="168"/>
      <c r="L156" s="169"/>
      <c r="M156" s="589"/>
      <c r="N156" s="589"/>
      <c r="O156" s="589"/>
      <c r="P156" s="589"/>
      <c r="Q156" s="557"/>
    </row>
    <row r="157" ht="26.25" customHeight="1">
      <c r="A157" s="558" t="str">
        <f>Source!$B$6</f>
        <v/>
      </c>
      <c r="B157" s="559" t="str">
        <f>Source!$D$12</f>
        <v/>
      </c>
      <c r="C157" s="560" t="str">
        <f>Source!$B$7</f>
        <v/>
      </c>
      <c r="D157" s="587" t="s">
        <v>648</v>
      </c>
      <c r="E157" s="562"/>
      <c r="F157" s="585" t="s">
        <v>649</v>
      </c>
      <c r="G157" s="27"/>
      <c r="H157" s="27"/>
      <c r="I157" s="27"/>
      <c r="J157" s="565"/>
      <c r="K157" s="568"/>
      <c r="L157" s="568"/>
      <c r="M157" s="568"/>
      <c r="N157" s="568"/>
      <c r="O157" s="568"/>
      <c r="P157" s="568"/>
      <c r="Q157" s="588"/>
    </row>
    <row r="158" ht="7.5" customHeight="1">
      <c r="A158" s="578"/>
      <c r="B158" s="579"/>
      <c r="C158" s="579"/>
      <c r="D158" s="579"/>
      <c r="E158" s="579"/>
      <c r="F158" s="579"/>
      <c r="G158" s="579"/>
      <c r="H158" s="579"/>
      <c r="I158" s="579"/>
      <c r="J158" s="579"/>
      <c r="K158" s="579"/>
      <c r="L158" s="579"/>
      <c r="M158" s="579"/>
      <c r="N158" s="579"/>
      <c r="O158" s="579"/>
      <c r="P158" s="555"/>
      <c r="Q158" s="580"/>
    </row>
    <row r="159" ht="3.75" customHeight="1">
      <c r="A159" s="581"/>
      <c r="B159" s="582"/>
      <c r="C159" s="583"/>
      <c r="D159" s="583"/>
      <c r="E159" s="583"/>
      <c r="F159" s="583"/>
      <c r="G159" s="583"/>
      <c r="H159" s="583"/>
      <c r="I159" s="583"/>
      <c r="J159" s="583"/>
      <c r="K159" s="583"/>
      <c r="L159" s="583"/>
      <c r="M159" s="583"/>
      <c r="N159" s="583"/>
      <c r="O159" s="583"/>
      <c r="P159" s="583"/>
      <c r="Q159" s="580"/>
    </row>
    <row r="160" ht="7.5" customHeight="1">
      <c r="A160" s="578"/>
      <c r="B160" s="579"/>
      <c r="C160" s="579"/>
      <c r="D160" s="579"/>
      <c r="E160" s="579"/>
      <c r="F160" s="579"/>
      <c r="G160" s="579"/>
      <c r="H160" s="579"/>
      <c r="I160" s="579"/>
      <c r="J160" s="579"/>
      <c r="K160" s="579"/>
      <c r="L160" s="579"/>
      <c r="M160" s="579"/>
      <c r="N160" s="579"/>
      <c r="O160" s="579"/>
      <c r="P160" s="555"/>
      <c r="Q160" s="580"/>
    </row>
    <row r="161">
      <c r="A161" s="578"/>
      <c r="B161" s="584" t="s">
        <v>650</v>
      </c>
      <c r="C161" s="168"/>
      <c r="D161" s="169"/>
      <c r="E161" s="557"/>
      <c r="F161" s="589"/>
      <c r="G161" s="589"/>
      <c r="H161" s="589"/>
      <c r="I161" s="589"/>
      <c r="J161" s="589"/>
      <c r="K161" s="589"/>
      <c r="L161" s="589"/>
      <c r="M161" s="589"/>
      <c r="N161" s="589"/>
      <c r="O161" s="589"/>
      <c r="P161" s="589"/>
      <c r="Q161" s="557"/>
    </row>
    <row r="162" ht="26.25" customHeight="1">
      <c r="A162" s="558" t="str">
        <f>Source!$B$6</f>
        <v/>
      </c>
      <c r="B162" s="559" t="str">
        <f>Source!$AB$44</f>
        <v/>
      </c>
      <c r="C162" s="560" t="str">
        <f>Source!$B$7</f>
        <v/>
      </c>
      <c r="D162" s="561" t="s">
        <v>566</v>
      </c>
      <c r="E162" s="562"/>
      <c r="F162" s="585" t="s">
        <v>651</v>
      </c>
      <c r="G162" s="27"/>
      <c r="H162" s="27"/>
      <c r="I162" s="27"/>
      <c r="J162" s="27"/>
      <c r="K162" s="27"/>
      <c r="L162" s="27"/>
      <c r="M162" s="27"/>
      <c r="N162" s="27"/>
      <c r="O162" s="27"/>
      <c r="P162" s="27"/>
      <c r="Q162" s="588"/>
    </row>
    <row r="163" ht="26.25" customHeight="1">
      <c r="A163" s="558" t="str">
        <f>Source!$B$6</f>
        <v/>
      </c>
      <c r="B163" s="559" t="str">
        <f>Source!$AT$65</f>
        <v/>
      </c>
      <c r="C163" s="569"/>
      <c r="D163" s="570" t="s">
        <v>652</v>
      </c>
      <c r="E163" s="571"/>
      <c r="F163" s="572" t="s">
        <v>653</v>
      </c>
      <c r="G163" s="27"/>
      <c r="H163" s="27"/>
      <c r="I163" s="27"/>
      <c r="J163" s="27"/>
      <c r="K163" s="27"/>
      <c r="L163" s="27"/>
      <c r="M163" s="565"/>
      <c r="N163" s="568"/>
      <c r="O163" s="568"/>
      <c r="P163" s="568"/>
      <c r="Q163" s="31"/>
    </row>
    <row r="164" ht="26.25" customHeight="1">
      <c r="A164" s="558" t="str">
        <f>Source!$B$6</f>
        <v/>
      </c>
      <c r="B164" s="559" t="str">
        <f>Source!$D$15</f>
        <v/>
      </c>
      <c r="C164" s="560"/>
      <c r="D164" s="574" t="s">
        <v>654</v>
      </c>
      <c r="E164" s="562"/>
      <c r="F164" s="585" t="s">
        <v>655</v>
      </c>
      <c r="G164" s="27"/>
      <c r="H164" s="27"/>
      <c r="I164" s="27"/>
      <c r="J164" s="565"/>
      <c r="K164" s="568"/>
      <c r="L164" s="568"/>
      <c r="M164" s="568"/>
      <c r="N164" s="568"/>
      <c r="O164" s="568"/>
      <c r="P164" s="568"/>
      <c r="Q164" s="588"/>
    </row>
    <row r="165" ht="26.25" customHeight="1">
      <c r="A165" s="558" t="str">
        <f>Source!$B$6</f>
        <v/>
      </c>
      <c r="B165" s="559" t="str">
        <f>Source!$P$38</f>
        <v/>
      </c>
      <c r="C165" s="569" t="str">
        <f>Source!$B$7</f>
        <v/>
      </c>
      <c r="D165" s="601" t="s">
        <v>656</v>
      </c>
      <c r="E165" s="571"/>
      <c r="F165" s="572" t="s">
        <v>657</v>
      </c>
      <c r="G165" s="27"/>
      <c r="H165" s="27"/>
      <c r="I165" s="27"/>
      <c r="J165" s="27"/>
      <c r="K165" s="27"/>
      <c r="L165" s="27"/>
      <c r="M165" s="27"/>
      <c r="N165" s="565"/>
      <c r="O165" s="568"/>
      <c r="P165" s="568"/>
      <c r="Q165" s="31"/>
    </row>
    <row r="166" ht="7.5" customHeight="1">
      <c r="A166" s="578"/>
      <c r="B166" s="579"/>
      <c r="C166" s="579"/>
      <c r="D166" s="579"/>
      <c r="E166" s="579"/>
      <c r="F166" s="579"/>
      <c r="G166" s="579"/>
      <c r="H166" s="579"/>
      <c r="I166" s="579"/>
      <c r="J166" s="579"/>
      <c r="K166" s="579"/>
      <c r="L166" s="579"/>
      <c r="M166" s="579"/>
      <c r="N166" s="579"/>
      <c r="O166" s="579"/>
      <c r="P166" s="555"/>
      <c r="Q166" s="580"/>
    </row>
    <row r="167" ht="3.75" customHeight="1">
      <c r="A167" s="581"/>
      <c r="B167" s="582"/>
      <c r="C167" s="583"/>
      <c r="D167" s="583"/>
      <c r="E167" s="583"/>
      <c r="F167" s="583"/>
      <c r="G167" s="583"/>
      <c r="H167" s="583"/>
      <c r="I167" s="583"/>
      <c r="J167" s="583"/>
      <c r="K167" s="583"/>
      <c r="L167" s="583"/>
      <c r="M167" s="583"/>
      <c r="N167" s="583"/>
      <c r="O167" s="583"/>
      <c r="P167" s="583"/>
      <c r="Q167" s="580"/>
    </row>
    <row r="168" ht="7.5" customHeight="1">
      <c r="A168" s="578"/>
      <c r="B168" s="579"/>
      <c r="C168" s="579"/>
      <c r="D168" s="579"/>
      <c r="E168" s="579"/>
      <c r="F168" s="579"/>
      <c r="G168" s="579"/>
      <c r="H168" s="579"/>
      <c r="I168" s="579"/>
      <c r="J168" s="579"/>
      <c r="K168" s="579"/>
      <c r="L168" s="579"/>
      <c r="M168" s="579"/>
      <c r="N168" s="579"/>
      <c r="O168" s="579"/>
      <c r="P168" s="555"/>
      <c r="Q168" s="580"/>
    </row>
    <row r="169">
      <c r="A169" s="578"/>
      <c r="B169" s="604" t="s">
        <v>658</v>
      </c>
      <c r="C169" s="168"/>
      <c r="D169" s="169"/>
      <c r="E169" s="557"/>
      <c r="F169" s="589"/>
      <c r="G169" s="589"/>
      <c r="H169" s="589"/>
      <c r="I169" s="589"/>
      <c r="J169" s="589"/>
      <c r="K169" s="589"/>
      <c r="L169" s="589"/>
      <c r="M169" s="589"/>
      <c r="N169" s="589"/>
      <c r="O169" s="589"/>
      <c r="P169" s="589"/>
      <c r="Q169" s="557"/>
    </row>
    <row r="170" ht="26.25" customHeight="1">
      <c r="A170" s="558" t="str">
        <f>Source!$B$6</f>
        <v/>
      </c>
      <c r="B170" s="559" t="str">
        <f>Source!$AQ$72</f>
        <v/>
      </c>
      <c r="C170" s="560" t="str">
        <f>Source!$B$7</f>
        <v/>
      </c>
      <c r="D170" s="574" t="s">
        <v>659</v>
      </c>
      <c r="E170" s="562"/>
      <c r="F170" s="585" t="s">
        <v>660</v>
      </c>
      <c r="G170" s="27"/>
      <c r="H170" s="27"/>
      <c r="I170" s="27"/>
      <c r="J170" s="27"/>
      <c r="K170" s="27"/>
      <c r="L170" s="27"/>
      <c r="M170" s="27"/>
      <c r="N170" s="565"/>
      <c r="O170" s="568"/>
      <c r="P170" s="568"/>
      <c r="Q170" s="588"/>
    </row>
    <row r="171" ht="26.25" customHeight="1">
      <c r="A171" s="558" t="str">
        <f>Source!$B$6</f>
        <v/>
      </c>
      <c r="B171" s="559" t="str">
        <f>Source!$AB$30</f>
        <v/>
      </c>
      <c r="C171" s="569"/>
      <c r="D171" s="570" t="s">
        <v>661</v>
      </c>
      <c r="E171" s="571"/>
      <c r="F171" s="572" t="s">
        <v>662</v>
      </c>
      <c r="G171" s="27"/>
      <c r="H171" s="27"/>
      <c r="I171" s="27"/>
      <c r="J171" s="27"/>
      <c r="K171" s="27"/>
      <c r="L171" s="27"/>
      <c r="M171" s="27"/>
      <c r="N171" s="27"/>
      <c r="O171" s="27"/>
      <c r="P171" s="27"/>
      <c r="Q171" s="31"/>
    </row>
    <row r="172" ht="26.25" customHeight="1">
      <c r="A172" s="558" t="str">
        <f>Source!$B$6</f>
        <v/>
      </c>
      <c r="B172" s="559" t="str">
        <f>Source!$AQ$20</f>
        <v/>
      </c>
      <c r="C172" s="560"/>
      <c r="D172" s="574" t="s">
        <v>663</v>
      </c>
      <c r="E172" s="562"/>
      <c r="F172" s="585" t="s">
        <v>664</v>
      </c>
      <c r="G172" s="27"/>
      <c r="H172" s="27"/>
      <c r="I172" s="27"/>
      <c r="J172" s="27"/>
      <c r="K172" s="27"/>
      <c r="L172" s="27"/>
      <c r="M172" s="27"/>
      <c r="N172" s="565"/>
      <c r="O172" s="568"/>
      <c r="P172" s="568"/>
      <c r="Q172" s="588"/>
    </row>
    <row r="173" ht="26.25" customHeight="1">
      <c r="A173" s="558" t="str">
        <f>Source!$B$6</f>
        <v/>
      </c>
      <c r="B173" s="559" t="str">
        <f>Source!$AE$30</f>
        <v/>
      </c>
      <c r="C173" s="569" t="str">
        <f>Source!$B$7</f>
        <v/>
      </c>
      <c r="D173" s="570" t="s">
        <v>542</v>
      </c>
      <c r="E173" s="571"/>
      <c r="F173" s="572" t="s">
        <v>665</v>
      </c>
      <c r="G173" s="27"/>
      <c r="H173" s="27"/>
      <c r="I173" s="27"/>
      <c r="J173" s="27"/>
      <c r="K173" s="27"/>
      <c r="L173" s="27"/>
      <c r="M173" s="27"/>
      <c r="N173" s="27"/>
      <c r="O173" s="565"/>
      <c r="P173" s="568"/>
      <c r="Q173" s="31"/>
    </row>
    <row r="174" ht="26.25" customHeight="1">
      <c r="A174" s="558" t="str">
        <f>Source!$B$6</f>
        <v/>
      </c>
      <c r="B174" s="559" t="str">
        <f>Source!$P$31</f>
        <v/>
      </c>
      <c r="C174" s="560"/>
      <c r="D174" s="587" t="s">
        <v>666</v>
      </c>
      <c r="E174" s="562"/>
      <c r="F174" s="585" t="s">
        <v>667</v>
      </c>
      <c r="G174" s="27"/>
      <c r="H174" s="27"/>
      <c r="I174" s="27"/>
      <c r="J174" s="27"/>
      <c r="K174" s="27"/>
      <c r="L174" s="27"/>
      <c r="M174" s="27"/>
      <c r="N174" s="27"/>
      <c r="O174" s="27"/>
      <c r="P174" s="565"/>
      <c r="Q174" s="31"/>
    </row>
    <row r="175" ht="26.25" customHeight="1">
      <c r="A175" s="558" t="str">
        <f>Source!$B$6</f>
        <v/>
      </c>
      <c r="B175" s="559" t="str">
        <f>Source!$D$5</f>
        <v/>
      </c>
      <c r="C175" s="569"/>
      <c r="D175" s="600" t="s">
        <v>668</v>
      </c>
      <c r="E175" s="571"/>
      <c r="F175" s="572" t="s">
        <v>669</v>
      </c>
      <c r="G175" s="27"/>
      <c r="H175" s="27"/>
      <c r="I175" s="27"/>
      <c r="J175" s="27"/>
      <c r="K175" s="27"/>
      <c r="L175" s="565"/>
      <c r="M175" s="568"/>
      <c r="N175" s="568"/>
      <c r="O175" s="568"/>
      <c r="P175" s="568"/>
      <c r="Q175" s="31"/>
    </row>
    <row r="176" ht="26.25" customHeight="1">
      <c r="A176" s="558" t="str">
        <f>Source!$B$6</f>
        <v/>
      </c>
      <c r="B176" s="559" t="str">
        <f>Source!$P$42</f>
        <v/>
      </c>
      <c r="C176" s="560"/>
      <c r="D176" s="561" t="s">
        <v>670</v>
      </c>
      <c r="E176" s="562"/>
      <c r="F176" s="585" t="s">
        <v>671</v>
      </c>
      <c r="G176" s="27"/>
      <c r="H176" s="27"/>
      <c r="I176" s="27"/>
      <c r="J176" s="27"/>
      <c r="K176" s="27"/>
      <c r="L176" s="565"/>
      <c r="M176" s="568"/>
      <c r="N176" s="568"/>
      <c r="O176" s="568"/>
      <c r="P176" s="568"/>
      <c r="Q176" s="31"/>
    </row>
    <row r="177" ht="7.5" customHeight="1">
      <c r="A177" s="578"/>
      <c r="B177" s="579"/>
      <c r="C177" s="579"/>
      <c r="D177" s="579"/>
      <c r="E177" s="579"/>
      <c r="F177" s="579"/>
      <c r="G177" s="579"/>
      <c r="H177" s="579"/>
      <c r="I177" s="579"/>
      <c r="J177" s="579"/>
      <c r="K177" s="579"/>
      <c r="L177" s="579"/>
      <c r="M177" s="579"/>
      <c r="N177" s="579"/>
      <c r="O177" s="579"/>
      <c r="P177" s="555"/>
      <c r="Q177" s="580"/>
    </row>
    <row r="178" ht="3.75" customHeight="1">
      <c r="A178" s="581"/>
      <c r="B178" s="582"/>
      <c r="C178" s="583"/>
      <c r="D178" s="583"/>
      <c r="E178" s="583"/>
      <c r="F178" s="583"/>
      <c r="G178" s="583"/>
      <c r="H178" s="583"/>
      <c r="I178" s="583"/>
      <c r="J178" s="583"/>
      <c r="K178" s="583"/>
      <c r="L178" s="583"/>
      <c r="M178" s="583"/>
      <c r="N178" s="583"/>
      <c r="O178" s="583"/>
      <c r="P178" s="583"/>
      <c r="Q178" s="580"/>
    </row>
    <row r="179" ht="7.5" customHeight="1">
      <c r="A179" s="578"/>
      <c r="B179" s="579"/>
      <c r="C179" s="579"/>
      <c r="D179" s="579"/>
      <c r="E179" s="579"/>
      <c r="F179" s="579"/>
      <c r="G179" s="579"/>
      <c r="H179" s="579"/>
      <c r="I179" s="579"/>
      <c r="J179" s="579"/>
      <c r="K179" s="579"/>
      <c r="L179" s="579"/>
      <c r="M179" s="579"/>
      <c r="N179" s="579"/>
      <c r="O179" s="579"/>
      <c r="P179" s="555"/>
      <c r="Q179" s="580"/>
    </row>
    <row r="180">
      <c r="A180" s="578"/>
      <c r="B180" s="584" t="s">
        <v>672</v>
      </c>
      <c r="C180" s="168"/>
      <c r="D180" s="169"/>
      <c r="E180" s="557"/>
      <c r="F180" s="589"/>
      <c r="G180" s="589"/>
      <c r="H180" s="589"/>
      <c r="I180" s="589"/>
      <c r="J180" s="589"/>
      <c r="K180" s="589"/>
      <c r="L180" s="589"/>
      <c r="M180" s="589"/>
      <c r="N180" s="589"/>
      <c r="O180" s="589"/>
      <c r="P180" s="589"/>
      <c r="Q180" s="557"/>
    </row>
    <row r="181" ht="26.25" customHeight="1">
      <c r="A181" s="558" t="str">
        <f>Source!$B$6</f>
        <v/>
      </c>
      <c r="B181" s="559" t="str">
        <f>Source!$AN$90</f>
        <v/>
      </c>
      <c r="C181" s="560" t="str">
        <f>Source!$B$7</f>
        <v/>
      </c>
      <c r="D181" s="561" t="s">
        <v>673</v>
      </c>
      <c r="E181" s="562"/>
      <c r="F181" s="585" t="s">
        <v>674</v>
      </c>
      <c r="G181" s="27"/>
      <c r="H181" s="27"/>
      <c r="I181" s="27"/>
      <c r="J181" s="27"/>
      <c r="K181" s="27"/>
      <c r="L181" s="27"/>
      <c r="M181" s="27"/>
      <c r="N181" s="27"/>
      <c r="O181" s="565"/>
      <c r="P181" s="568"/>
      <c r="Q181" s="588"/>
    </row>
    <row r="182" ht="26.25" customHeight="1">
      <c r="A182" s="558" t="str">
        <f>Source!$B$6</f>
        <v/>
      </c>
      <c r="B182" s="559" t="str">
        <f>Source!$AK$13</f>
        <v/>
      </c>
      <c r="C182" s="569"/>
      <c r="D182" s="570" t="s">
        <v>675</v>
      </c>
      <c r="E182" s="571"/>
      <c r="F182" s="572" t="s">
        <v>676</v>
      </c>
      <c r="G182" s="27"/>
      <c r="H182" s="27"/>
      <c r="I182" s="27"/>
      <c r="J182" s="27"/>
      <c r="K182" s="27"/>
      <c r="L182" s="27"/>
      <c r="M182" s="27"/>
      <c r="N182" s="27"/>
      <c r="O182" s="27"/>
      <c r="P182" s="565"/>
      <c r="Q182" s="31"/>
    </row>
    <row r="183" ht="26.25" customHeight="1">
      <c r="A183" s="558" t="str">
        <f>Source!$B$6</f>
        <v/>
      </c>
      <c r="B183" s="559" t="str">
        <f>Source!$D$8</f>
        <v/>
      </c>
      <c r="C183" s="560"/>
      <c r="D183" s="561" t="s">
        <v>677</v>
      </c>
      <c r="E183" s="562"/>
      <c r="F183" s="585" t="s">
        <v>678</v>
      </c>
      <c r="G183" s="27"/>
      <c r="H183" s="27"/>
      <c r="I183" s="27"/>
      <c r="J183" s="27"/>
      <c r="K183" s="27"/>
      <c r="L183" s="27"/>
      <c r="M183" s="27"/>
      <c r="N183" s="27"/>
      <c r="O183" s="27"/>
      <c r="P183" s="565"/>
      <c r="Q183" s="588"/>
    </row>
    <row r="184" ht="26.25" customHeight="1">
      <c r="A184" s="558" t="str">
        <f>Source!$B$6</f>
        <v/>
      </c>
      <c r="B184" s="559" t="str">
        <f>Source!$AE$9</f>
        <v/>
      </c>
      <c r="C184" s="569" t="str">
        <f>Source!$B$7</f>
        <v/>
      </c>
      <c r="D184" s="570" t="s">
        <v>568</v>
      </c>
      <c r="E184" s="571"/>
      <c r="F184" s="572" t="s">
        <v>679</v>
      </c>
      <c r="G184" s="27"/>
      <c r="H184" s="27"/>
      <c r="I184" s="27"/>
      <c r="J184" s="27"/>
      <c r="K184" s="27"/>
      <c r="L184" s="565"/>
      <c r="M184" s="568"/>
      <c r="N184" s="568"/>
      <c r="O184" s="568"/>
      <c r="P184" s="568"/>
      <c r="Q184" s="31"/>
    </row>
    <row r="185" ht="26.25" customHeight="1">
      <c r="A185" s="558" t="str">
        <f>Source!$B$6</f>
        <v/>
      </c>
      <c r="B185" s="559" t="str">
        <f>Source!$AN$32</f>
        <v/>
      </c>
      <c r="C185" s="560"/>
      <c r="D185" s="561" t="s">
        <v>680</v>
      </c>
      <c r="E185" s="562"/>
      <c r="F185" s="585" t="s">
        <v>681</v>
      </c>
      <c r="G185" s="27"/>
      <c r="H185" s="27"/>
      <c r="I185" s="27"/>
      <c r="J185" s="27"/>
      <c r="K185" s="565"/>
      <c r="L185" s="568"/>
      <c r="M185" s="568"/>
      <c r="N185" s="568"/>
      <c r="O185" s="568"/>
      <c r="P185" s="568"/>
      <c r="Q185" s="31"/>
    </row>
    <row r="186" ht="26.25" customHeight="1">
      <c r="A186" s="558" t="str">
        <f>Source!$B$6</f>
        <v/>
      </c>
      <c r="B186" s="559" t="str">
        <f>Source!$M$14</f>
        <v/>
      </c>
      <c r="C186" s="569"/>
      <c r="D186" s="570" t="s">
        <v>682</v>
      </c>
      <c r="E186" s="571"/>
      <c r="F186" s="572" t="s">
        <v>681</v>
      </c>
      <c r="G186" s="27"/>
      <c r="H186" s="27"/>
      <c r="I186" s="27"/>
      <c r="J186" s="27"/>
      <c r="K186" s="565"/>
      <c r="L186" s="568"/>
      <c r="M186" s="568"/>
      <c r="N186" s="568"/>
      <c r="O186" s="568"/>
      <c r="P186" s="568"/>
      <c r="Q186" s="31"/>
    </row>
    <row r="187" ht="26.25" customHeight="1">
      <c r="A187" s="558" t="str">
        <f>Source!$B$6</f>
        <v/>
      </c>
      <c r="B187" s="559" t="str">
        <f>IMAGE("https://i.ibb.co/y6DZFnr/z.png",4,28,28)</f>
        <v/>
      </c>
      <c r="C187" s="560"/>
      <c r="D187" s="574" t="s">
        <v>683</v>
      </c>
      <c r="E187" s="562"/>
      <c r="F187" s="585" t="s">
        <v>684</v>
      </c>
      <c r="G187" s="27"/>
      <c r="H187" s="27"/>
      <c r="I187" s="27"/>
      <c r="J187" s="27"/>
      <c r="K187" s="565"/>
      <c r="L187" s="568"/>
      <c r="M187" s="568"/>
      <c r="N187" s="568"/>
      <c r="O187" s="568"/>
      <c r="P187" s="568"/>
      <c r="Q187" s="31"/>
    </row>
    <row r="188" ht="7.5" customHeight="1">
      <c r="A188" s="578"/>
      <c r="B188" s="579"/>
      <c r="C188" s="579"/>
      <c r="D188" s="579"/>
      <c r="E188" s="579"/>
      <c r="F188" s="579"/>
      <c r="G188" s="579"/>
      <c r="H188" s="579"/>
      <c r="I188" s="579"/>
      <c r="J188" s="579"/>
      <c r="K188" s="579"/>
      <c r="L188" s="579"/>
      <c r="M188" s="579"/>
      <c r="N188" s="579"/>
      <c r="O188" s="579"/>
      <c r="P188" s="555"/>
      <c r="Q188" s="580"/>
    </row>
    <row r="189" ht="3.75" customHeight="1">
      <c r="A189" s="581"/>
      <c r="B189" s="582"/>
      <c r="C189" s="583"/>
      <c r="D189" s="583"/>
      <c r="E189" s="583"/>
      <c r="F189" s="583"/>
      <c r="G189" s="583"/>
      <c r="H189" s="583"/>
      <c r="I189" s="583"/>
      <c r="J189" s="583"/>
      <c r="K189" s="583"/>
      <c r="L189" s="583"/>
      <c r="M189" s="583"/>
      <c r="N189" s="583"/>
      <c r="O189" s="583"/>
      <c r="P189" s="583"/>
      <c r="Q189" s="580"/>
    </row>
    <row r="190" ht="7.5" customHeight="1">
      <c r="A190" s="578"/>
      <c r="B190" s="579"/>
      <c r="C190" s="579"/>
      <c r="D190" s="579"/>
      <c r="E190" s="579"/>
      <c r="F190" s="579"/>
      <c r="G190" s="579"/>
      <c r="H190" s="579"/>
      <c r="I190" s="579"/>
      <c r="J190" s="579"/>
      <c r="K190" s="579"/>
      <c r="L190" s="579"/>
      <c r="M190" s="579"/>
      <c r="N190" s="579"/>
      <c r="O190" s="579"/>
      <c r="P190" s="555"/>
      <c r="Q190" s="580"/>
    </row>
    <row r="191">
      <c r="A191" s="578"/>
      <c r="B191" s="604" t="s">
        <v>685</v>
      </c>
      <c r="C191" s="168"/>
      <c r="D191" s="169"/>
      <c r="E191" s="557"/>
      <c r="F191" s="589"/>
      <c r="G191" s="589"/>
      <c r="H191" s="589"/>
      <c r="I191" s="589"/>
      <c r="J191" s="589"/>
      <c r="K191" s="589"/>
      <c r="L191" s="589"/>
      <c r="M191" s="589"/>
      <c r="N191" s="589"/>
      <c r="O191" s="589"/>
      <c r="P191" s="589"/>
      <c r="Q191" s="557"/>
    </row>
    <row r="192" ht="26.25" customHeight="1">
      <c r="A192" s="558" t="str">
        <f>Source!$B$6</f>
        <v/>
      </c>
      <c r="B192" s="559" t="str">
        <f>Source!$AB$23</f>
        <v/>
      </c>
      <c r="C192" s="560" t="str">
        <f>Source!$B$7</f>
        <v/>
      </c>
      <c r="D192" s="561" t="s">
        <v>686</v>
      </c>
      <c r="E192" s="562"/>
      <c r="F192" s="585" t="s">
        <v>687</v>
      </c>
      <c r="G192" s="27"/>
      <c r="H192" s="27"/>
      <c r="I192" s="27"/>
      <c r="J192" s="27"/>
      <c r="K192" s="27"/>
      <c r="L192" s="27"/>
      <c r="M192" s="27"/>
      <c r="N192" s="27"/>
      <c r="O192" s="27"/>
      <c r="P192" s="565"/>
      <c r="Q192" s="588"/>
    </row>
    <row r="193" ht="26.25" customHeight="1">
      <c r="A193" s="558" t="str">
        <f>Source!$B$6</f>
        <v/>
      </c>
      <c r="B193" s="559" t="str">
        <f>Source!$AB$44</f>
        <v/>
      </c>
      <c r="C193" s="569"/>
      <c r="D193" s="570" t="s">
        <v>566</v>
      </c>
      <c r="E193" s="571"/>
      <c r="F193" s="572" t="s">
        <v>688</v>
      </c>
      <c r="G193" s="27"/>
      <c r="H193" s="27"/>
      <c r="I193" s="27"/>
      <c r="J193" s="27"/>
      <c r="K193" s="27"/>
      <c r="L193" s="27"/>
      <c r="M193" s="27"/>
      <c r="N193" s="27"/>
      <c r="O193" s="27"/>
      <c r="P193" s="565"/>
      <c r="Q193" s="31"/>
    </row>
    <row r="194" ht="26.25" customHeight="1">
      <c r="A194" s="558" t="str">
        <f>Source!$B$6</f>
        <v/>
      </c>
      <c r="B194" s="559" t="str">
        <f>Source!$AB$15</f>
        <v/>
      </c>
      <c r="C194" s="560"/>
      <c r="D194" s="561" t="s">
        <v>578</v>
      </c>
      <c r="E194" s="562"/>
      <c r="F194" s="585" t="s">
        <v>689</v>
      </c>
      <c r="G194" s="27"/>
      <c r="H194" s="27"/>
      <c r="I194" s="27"/>
      <c r="J194" s="27"/>
      <c r="K194" s="27"/>
      <c r="L194" s="27"/>
      <c r="M194" s="27"/>
      <c r="N194" s="27"/>
      <c r="O194" s="27"/>
      <c r="P194" s="565"/>
      <c r="Q194" s="588"/>
    </row>
    <row r="195" ht="26.25" customHeight="1">
      <c r="A195" s="558" t="str">
        <f>Source!$B$6</f>
        <v/>
      </c>
      <c r="B195" s="559" t="str">
        <f>Source!$AB$51</f>
        <v/>
      </c>
      <c r="C195" s="569" t="str">
        <f>Source!$B$7</f>
        <v/>
      </c>
      <c r="D195" s="570" t="s">
        <v>690</v>
      </c>
      <c r="E195" s="571"/>
      <c r="F195" s="572" t="s">
        <v>691</v>
      </c>
      <c r="G195" s="27"/>
      <c r="H195" s="27"/>
      <c r="I195" s="27"/>
      <c r="J195" s="27"/>
      <c r="K195" s="27"/>
      <c r="L195" s="27"/>
      <c r="M195" s="27"/>
      <c r="N195" s="27"/>
      <c r="O195" s="27"/>
      <c r="P195" s="27"/>
      <c r="Q195" s="31"/>
    </row>
    <row r="196" ht="26.25" customHeight="1">
      <c r="A196" s="558" t="str">
        <f>Source!$B$6</f>
        <v/>
      </c>
      <c r="B196" s="559" t="str">
        <f>Source!$D$7</f>
        <v/>
      </c>
      <c r="C196" s="560"/>
      <c r="D196" s="574" t="s">
        <v>692</v>
      </c>
      <c r="E196" s="562"/>
      <c r="F196" s="585" t="s">
        <v>693</v>
      </c>
      <c r="G196" s="27"/>
      <c r="H196" s="27"/>
      <c r="I196" s="27"/>
      <c r="J196" s="27"/>
      <c r="K196" s="27"/>
      <c r="L196" s="27"/>
      <c r="M196" s="27"/>
      <c r="N196" s="565"/>
      <c r="O196" s="568"/>
      <c r="P196" s="568"/>
      <c r="Q196" s="31"/>
    </row>
    <row r="197" ht="26.25" customHeight="1">
      <c r="A197" s="558" t="str">
        <f>Source!$B$6</f>
        <v/>
      </c>
      <c r="B197" s="559" t="str">
        <f>Source!$Y$11</f>
        <v/>
      </c>
      <c r="C197" s="569"/>
      <c r="D197" s="570" t="s">
        <v>589</v>
      </c>
      <c r="E197" s="571"/>
      <c r="F197" s="572" t="s">
        <v>694</v>
      </c>
      <c r="G197" s="27"/>
      <c r="H197" s="27"/>
      <c r="I197" s="27"/>
      <c r="J197" s="27"/>
      <c r="K197" s="565"/>
      <c r="L197" s="568"/>
      <c r="M197" s="568"/>
      <c r="N197" s="568"/>
      <c r="O197" s="568"/>
      <c r="P197" s="568"/>
      <c r="Q197" s="31"/>
    </row>
    <row r="198" ht="26.25" customHeight="1">
      <c r="A198" s="558" t="str">
        <f>Source!$B$6</f>
        <v/>
      </c>
      <c r="B198" s="559" t="str">
        <f>Source!$AT$10</f>
        <v/>
      </c>
      <c r="C198" s="560"/>
      <c r="D198" s="561" t="s">
        <v>695</v>
      </c>
      <c r="E198" s="562"/>
      <c r="F198" s="585" t="s">
        <v>696</v>
      </c>
      <c r="G198" s="27"/>
      <c r="H198" s="27"/>
      <c r="I198" s="27"/>
      <c r="J198" s="27"/>
      <c r="K198" s="27"/>
      <c r="L198" s="27"/>
      <c r="M198" s="27"/>
      <c r="N198" s="565"/>
      <c r="O198" s="568"/>
      <c r="P198" s="568"/>
      <c r="Q198" s="31"/>
    </row>
    <row r="199" ht="26.25" customHeight="1">
      <c r="A199" s="558" t="str">
        <f>Source!$B$6</f>
        <v/>
      </c>
      <c r="B199" s="559" t="str">
        <f>Source!$AT$9</f>
        <v/>
      </c>
      <c r="C199" s="569" t="str">
        <f>Source!$B$7</f>
        <v/>
      </c>
      <c r="D199" s="570" t="s">
        <v>697</v>
      </c>
      <c r="E199" s="571"/>
      <c r="F199" s="572" t="s">
        <v>698</v>
      </c>
      <c r="G199" s="27"/>
      <c r="H199" s="27"/>
      <c r="I199" s="27"/>
      <c r="J199" s="27"/>
      <c r="K199" s="27"/>
      <c r="L199" s="27"/>
      <c r="M199" s="27"/>
      <c r="N199" s="565"/>
      <c r="O199" s="568"/>
      <c r="P199" s="568"/>
      <c r="Q199" s="31"/>
    </row>
    <row r="200" ht="26.25" customHeight="1">
      <c r="A200" s="558" t="str">
        <f>Source!$B$6</f>
        <v/>
      </c>
      <c r="B200" s="559" t="str">
        <f>Source!$AT$48</f>
        <v/>
      </c>
      <c r="C200" s="560"/>
      <c r="D200" s="561" t="s">
        <v>628</v>
      </c>
      <c r="E200" s="562"/>
      <c r="F200" s="585" t="s">
        <v>699</v>
      </c>
      <c r="G200" s="27"/>
      <c r="H200" s="27"/>
      <c r="I200" s="27"/>
      <c r="J200" s="27"/>
      <c r="K200" s="27"/>
      <c r="L200" s="27"/>
      <c r="M200" s="27"/>
      <c r="N200" s="565"/>
      <c r="O200" s="568"/>
      <c r="P200" s="568"/>
      <c r="Q200" s="31"/>
    </row>
    <row r="201" ht="26.25" customHeight="1">
      <c r="A201" s="558" t="str">
        <f>Source!$B$6</f>
        <v/>
      </c>
      <c r="B201" s="559" t="str">
        <f>Source!$AH$23</f>
        <v/>
      </c>
      <c r="C201" s="569"/>
      <c r="D201" s="570" t="s">
        <v>700</v>
      </c>
      <c r="E201" s="571"/>
      <c r="F201" s="572" t="s">
        <v>701</v>
      </c>
      <c r="G201" s="27"/>
      <c r="H201" s="27"/>
      <c r="I201" s="27"/>
      <c r="J201" s="27"/>
      <c r="K201" s="27"/>
      <c r="L201" s="27"/>
      <c r="M201" s="27"/>
      <c r="N201" s="27"/>
      <c r="O201" s="27"/>
      <c r="P201" s="27"/>
      <c r="Q201" s="31"/>
    </row>
    <row r="202" ht="26.25" customHeight="1">
      <c r="A202" s="558" t="str">
        <f>Source!$B$6</f>
        <v/>
      </c>
      <c r="B202" s="559" t="str">
        <f>Source!$D$12</f>
        <v/>
      </c>
      <c r="C202" s="560"/>
      <c r="D202" s="605" t="s">
        <v>702</v>
      </c>
      <c r="E202" s="562"/>
      <c r="F202" s="585" t="s">
        <v>703</v>
      </c>
      <c r="G202" s="27"/>
      <c r="H202" s="27"/>
      <c r="I202" s="27"/>
      <c r="J202" s="27"/>
      <c r="K202" s="27"/>
      <c r="L202" s="27"/>
      <c r="M202" s="27"/>
      <c r="N202" s="27"/>
      <c r="O202" s="27"/>
      <c r="P202" s="565"/>
      <c r="Q202" s="31"/>
    </row>
    <row r="203" ht="26.25" customHeight="1">
      <c r="A203" s="558" t="str">
        <f>Source!$B$6</f>
        <v/>
      </c>
      <c r="B203" s="559" t="str">
        <f>Source!$AN$52</f>
        <v/>
      </c>
      <c r="C203" s="569"/>
      <c r="D203" s="570" t="s">
        <v>704</v>
      </c>
      <c r="E203" s="571"/>
      <c r="F203" s="572" t="s">
        <v>705</v>
      </c>
      <c r="G203" s="27"/>
      <c r="H203" s="27"/>
      <c r="I203" s="27"/>
      <c r="J203" s="27"/>
      <c r="K203" s="27"/>
      <c r="L203" s="27"/>
      <c r="M203" s="27"/>
      <c r="N203" s="27"/>
      <c r="O203" s="565"/>
      <c r="P203" s="568"/>
      <c r="Q203" s="31"/>
    </row>
    <row r="204" ht="26.25" customHeight="1">
      <c r="A204" s="558" t="str">
        <f>Source!$B$6</f>
        <v/>
      </c>
      <c r="B204" s="559" t="str">
        <f>Source!$AK$32</f>
        <v/>
      </c>
      <c r="C204" s="560"/>
      <c r="D204" s="561" t="s">
        <v>706</v>
      </c>
      <c r="E204" s="562"/>
      <c r="F204" s="585" t="s">
        <v>705</v>
      </c>
      <c r="G204" s="27"/>
      <c r="H204" s="27"/>
      <c r="I204" s="27"/>
      <c r="J204" s="27"/>
      <c r="K204" s="27"/>
      <c r="L204" s="27"/>
      <c r="M204" s="27"/>
      <c r="N204" s="565"/>
      <c r="O204" s="568"/>
      <c r="P204" s="568"/>
      <c r="Q204" s="31"/>
    </row>
    <row r="205" ht="26.25" customHeight="1">
      <c r="A205" s="558" t="str">
        <f>Source!$B$6</f>
        <v/>
      </c>
      <c r="B205" s="559" t="str">
        <f>Source!$D$18</f>
        <v/>
      </c>
      <c r="C205" s="569" t="str">
        <f>Source!$B$7</f>
        <v/>
      </c>
      <c r="D205" s="570" t="s">
        <v>707</v>
      </c>
      <c r="E205" s="571"/>
      <c r="F205" s="572" t="s">
        <v>708</v>
      </c>
      <c r="G205" s="27"/>
      <c r="H205" s="27"/>
      <c r="I205" s="27"/>
      <c r="J205" s="27"/>
      <c r="K205" s="27"/>
      <c r="L205" s="27"/>
      <c r="M205" s="565"/>
      <c r="N205" s="568"/>
      <c r="O205" s="568"/>
      <c r="P205" s="568"/>
      <c r="Q205" s="31"/>
    </row>
    <row r="206" ht="7.5" customHeight="1">
      <c r="A206" s="578"/>
      <c r="B206" s="579"/>
      <c r="C206" s="579"/>
      <c r="D206" s="579"/>
      <c r="E206" s="579"/>
      <c r="F206" s="579"/>
      <c r="G206" s="579"/>
      <c r="H206" s="579"/>
      <c r="I206" s="579"/>
      <c r="J206" s="579"/>
      <c r="K206" s="579"/>
      <c r="L206" s="579"/>
      <c r="M206" s="579"/>
      <c r="N206" s="579"/>
      <c r="O206" s="579"/>
      <c r="P206" s="555"/>
      <c r="Q206" s="580"/>
    </row>
    <row r="207" ht="3.75" customHeight="1">
      <c r="A207" s="581"/>
      <c r="B207" s="582"/>
      <c r="C207" s="583"/>
      <c r="D207" s="583"/>
      <c r="E207" s="583"/>
      <c r="F207" s="583"/>
      <c r="G207" s="583"/>
      <c r="H207" s="583"/>
      <c r="I207" s="583"/>
      <c r="J207" s="583"/>
      <c r="K207" s="583"/>
      <c r="L207" s="583"/>
      <c r="M207" s="583"/>
      <c r="N207" s="583"/>
      <c r="O207" s="583"/>
      <c r="P207" s="583"/>
      <c r="Q207" s="580"/>
    </row>
    <row r="208" ht="7.5" customHeight="1">
      <c r="A208" s="578"/>
      <c r="B208" s="579"/>
      <c r="C208" s="579"/>
      <c r="D208" s="579"/>
      <c r="E208" s="579"/>
      <c r="F208" s="579"/>
      <c r="G208" s="579"/>
      <c r="H208" s="579"/>
      <c r="I208" s="579"/>
      <c r="J208" s="579"/>
      <c r="K208" s="579"/>
      <c r="L208" s="579"/>
      <c r="M208" s="579"/>
      <c r="N208" s="579"/>
      <c r="O208" s="579"/>
      <c r="P208" s="555"/>
      <c r="Q208" s="580"/>
    </row>
    <row r="209">
      <c r="A209" s="578"/>
      <c r="B209" s="606" t="s">
        <v>709</v>
      </c>
      <c r="C209" s="168"/>
      <c r="D209" s="169"/>
      <c r="E209" s="557"/>
      <c r="F209" s="589"/>
      <c r="G209" s="589"/>
      <c r="H209" s="589"/>
      <c r="I209" s="589"/>
      <c r="J209" s="589"/>
      <c r="K209" s="589"/>
      <c r="L209" s="589"/>
      <c r="M209" s="589"/>
      <c r="N209" s="589"/>
      <c r="O209" s="589"/>
      <c r="P209" s="589"/>
      <c r="Q209" s="557"/>
    </row>
    <row r="210" ht="26.25" customHeight="1">
      <c r="A210" s="558" t="str">
        <f>Source!$B$6</f>
        <v/>
      </c>
      <c r="B210" s="559" t="str">
        <f>Source!$D$16</f>
        <v/>
      </c>
      <c r="C210" s="560" t="str">
        <f>Source!$B$7</f>
        <v/>
      </c>
      <c r="D210" s="587" t="s">
        <v>710</v>
      </c>
      <c r="E210" s="562"/>
      <c r="F210" s="585" t="s">
        <v>711</v>
      </c>
      <c r="G210" s="27"/>
      <c r="H210" s="27"/>
      <c r="I210" s="27"/>
      <c r="J210" s="27"/>
      <c r="K210" s="27"/>
      <c r="L210" s="565"/>
      <c r="M210" s="568"/>
      <c r="N210" s="568"/>
      <c r="O210" s="568"/>
      <c r="P210" s="568"/>
      <c r="Q210" s="588"/>
    </row>
    <row r="211" ht="7.5" customHeight="1">
      <c r="A211" s="578"/>
      <c r="B211" s="579"/>
      <c r="C211" s="579"/>
      <c r="D211" s="579"/>
      <c r="E211" s="579"/>
      <c r="F211" s="579"/>
      <c r="G211" s="579"/>
      <c r="H211" s="579"/>
      <c r="I211" s="579"/>
      <c r="J211" s="579"/>
      <c r="K211" s="579"/>
      <c r="L211" s="579"/>
      <c r="M211" s="579"/>
      <c r="N211" s="579"/>
      <c r="O211" s="579"/>
      <c r="P211" s="555"/>
      <c r="Q211" s="580"/>
    </row>
    <row r="212" ht="3.75" customHeight="1">
      <c r="A212" s="581"/>
      <c r="B212" s="582"/>
      <c r="C212" s="583"/>
      <c r="D212" s="583"/>
      <c r="E212" s="583"/>
      <c r="F212" s="583"/>
      <c r="G212" s="583"/>
      <c r="H212" s="583"/>
      <c r="I212" s="583"/>
      <c r="J212" s="583"/>
      <c r="K212" s="583"/>
      <c r="L212" s="583"/>
      <c r="M212" s="583"/>
      <c r="N212" s="583"/>
      <c r="O212" s="583"/>
      <c r="P212" s="583"/>
      <c r="Q212" s="580"/>
    </row>
    <row r="213" ht="7.5" customHeight="1">
      <c r="A213" s="578"/>
      <c r="B213" s="579"/>
      <c r="C213" s="579"/>
      <c r="D213" s="579"/>
      <c r="E213" s="579"/>
      <c r="F213" s="579"/>
      <c r="G213" s="579"/>
      <c r="H213" s="579"/>
      <c r="I213" s="579"/>
      <c r="J213" s="579"/>
      <c r="K213" s="579"/>
      <c r="L213" s="579"/>
      <c r="M213" s="579"/>
      <c r="N213" s="579"/>
      <c r="O213" s="579"/>
      <c r="P213" s="555"/>
      <c r="Q213" s="580"/>
    </row>
    <row r="214">
      <c r="A214" s="578"/>
      <c r="B214" s="584" t="s">
        <v>712</v>
      </c>
      <c r="C214" s="168"/>
      <c r="D214" s="169"/>
      <c r="E214" s="557"/>
      <c r="F214" s="589"/>
      <c r="G214" s="589"/>
      <c r="H214" s="589"/>
      <c r="I214" s="589"/>
      <c r="J214" s="589"/>
      <c r="K214" s="589"/>
      <c r="L214" s="589"/>
      <c r="M214" s="589"/>
      <c r="N214" s="589"/>
      <c r="O214" s="589"/>
      <c r="P214" s="589"/>
      <c r="Q214" s="557"/>
    </row>
    <row r="215" ht="26.25" customHeight="1">
      <c r="A215" s="558" t="str">
        <f>Source!$B$6</f>
        <v/>
      </c>
      <c r="B215" s="559" t="str">
        <f>Source!$D$13</f>
        <v/>
      </c>
      <c r="C215" s="560" t="str">
        <f>Source!$B$7</f>
        <v/>
      </c>
      <c r="D215" s="561" t="s">
        <v>713</v>
      </c>
      <c r="E215" s="562"/>
      <c r="F215" s="585" t="s">
        <v>714</v>
      </c>
      <c r="G215" s="27"/>
      <c r="H215" s="27"/>
      <c r="I215" s="27"/>
      <c r="J215" s="27"/>
      <c r="K215" s="27"/>
      <c r="L215" s="565"/>
      <c r="M215" s="568"/>
      <c r="N215" s="568"/>
      <c r="O215" s="568"/>
      <c r="P215" s="568"/>
      <c r="Q215" s="588"/>
    </row>
    <row r="216" ht="26.25" customHeight="1">
      <c r="A216" s="558" t="str">
        <f>Source!$B$6</f>
        <v/>
      </c>
      <c r="B216" s="559" t="str">
        <f>Source!$AB$7</f>
        <v/>
      </c>
      <c r="C216" s="569"/>
      <c r="D216" s="570" t="s">
        <v>715</v>
      </c>
      <c r="E216" s="571"/>
      <c r="F216" s="572" t="s">
        <v>716</v>
      </c>
      <c r="G216" s="27"/>
      <c r="H216" s="27"/>
      <c r="I216" s="27"/>
      <c r="J216" s="27"/>
      <c r="K216" s="27"/>
      <c r="L216" s="27"/>
      <c r="M216" s="565"/>
      <c r="N216" s="568"/>
      <c r="O216" s="568"/>
      <c r="P216" s="568"/>
      <c r="Q216" s="31"/>
    </row>
    <row r="217" ht="26.25" customHeight="1">
      <c r="A217" s="558" t="str">
        <f>Source!$B$6</f>
        <v/>
      </c>
      <c r="B217" s="559" t="str">
        <f>Source!$AB$15</f>
        <v/>
      </c>
      <c r="C217" s="560"/>
      <c r="D217" s="561" t="s">
        <v>578</v>
      </c>
      <c r="E217" s="562"/>
      <c r="F217" s="585" t="s">
        <v>717</v>
      </c>
      <c r="G217" s="27"/>
      <c r="H217" s="27"/>
      <c r="I217" s="27"/>
      <c r="J217" s="27"/>
      <c r="K217" s="27"/>
      <c r="L217" s="27"/>
      <c r="M217" s="27"/>
      <c r="N217" s="27"/>
      <c r="O217" s="27"/>
      <c r="P217" s="565"/>
      <c r="Q217" s="588"/>
    </row>
    <row r="218" ht="26.25" customHeight="1">
      <c r="A218" s="558" t="str">
        <f>Source!$B$6</f>
        <v/>
      </c>
      <c r="B218" s="559" t="str">
        <f>Source!$AT$10</f>
        <v/>
      </c>
      <c r="C218" s="569" t="str">
        <f>Source!$B$7</f>
        <v/>
      </c>
      <c r="D218" s="570" t="s">
        <v>695</v>
      </c>
      <c r="E218" s="571"/>
      <c r="F218" s="572" t="s">
        <v>718</v>
      </c>
      <c r="G218" s="27"/>
      <c r="H218" s="27"/>
      <c r="I218" s="27"/>
      <c r="J218" s="27"/>
      <c r="K218" s="27"/>
      <c r="L218" s="27"/>
      <c r="M218" s="27"/>
      <c r="N218" s="27"/>
      <c r="O218" s="27"/>
      <c r="P218" s="27"/>
      <c r="Q218" s="31"/>
    </row>
    <row r="219" ht="26.25" customHeight="1">
      <c r="A219" s="558" t="str">
        <f>Source!$B$6</f>
        <v/>
      </c>
      <c r="B219" s="559" t="str">
        <f>Source!$AB$44</f>
        <v/>
      </c>
      <c r="C219" s="560"/>
      <c r="D219" s="561" t="s">
        <v>566</v>
      </c>
      <c r="E219" s="562"/>
      <c r="F219" s="585" t="s">
        <v>719</v>
      </c>
      <c r="G219" s="27"/>
      <c r="H219" s="27"/>
      <c r="I219" s="27"/>
      <c r="J219" s="27"/>
      <c r="K219" s="27"/>
      <c r="L219" s="27"/>
      <c r="M219" s="27"/>
      <c r="N219" s="27"/>
      <c r="O219" s="27"/>
      <c r="P219" s="27"/>
      <c r="Q219" s="31"/>
    </row>
    <row r="220" ht="7.5" customHeight="1">
      <c r="A220" s="578"/>
      <c r="B220" s="579"/>
      <c r="C220" s="579"/>
      <c r="D220" s="579"/>
      <c r="E220" s="579"/>
      <c r="F220" s="579"/>
      <c r="G220" s="579"/>
      <c r="H220" s="579"/>
      <c r="I220" s="579"/>
      <c r="J220" s="579"/>
      <c r="K220" s="579"/>
      <c r="L220" s="579"/>
      <c r="M220" s="579"/>
      <c r="N220" s="579"/>
      <c r="O220" s="579"/>
      <c r="P220" s="555"/>
      <c r="Q220" s="580"/>
    </row>
    <row r="221" ht="3.75" customHeight="1">
      <c r="A221" s="581"/>
      <c r="B221" s="582"/>
      <c r="C221" s="583"/>
      <c r="D221" s="583"/>
      <c r="E221" s="583"/>
      <c r="F221" s="583"/>
      <c r="G221" s="583"/>
      <c r="H221" s="583"/>
      <c r="I221" s="583"/>
      <c r="J221" s="583"/>
      <c r="K221" s="583"/>
      <c r="L221" s="583"/>
      <c r="M221" s="583"/>
      <c r="N221" s="583"/>
      <c r="O221" s="583"/>
      <c r="P221" s="583"/>
      <c r="Q221" s="580"/>
    </row>
    <row r="222" ht="7.5" customHeight="1">
      <c r="A222" s="578"/>
      <c r="B222" s="579"/>
      <c r="C222" s="579"/>
      <c r="D222" s="579"/>
      <c r="E222" s="579"/>
      <c r="F222" s="579"/>
      <c r="G222" s="579"/>
      <c r="H222" s="579"/>
      <c r="I222" s="579"/>
      <c r="J222" s="579"/>
      <c r="K222" s="579"/>
      <c r="L222" s="579"/>
      <c r="M222" s="579"/>
      <c r="N222" s="579"/>
      <c r="O222" s="579"/>
      <c r="P222" s="555"/>
      <c r="Q222" s="580"/>
    </row>
    <row r="223">
      <c r="A223" s="578"/>
      <c r="B223" s="584" t="s">
        <v>720</v>
      </c>
      <c r="C223" s="168"/>
      <c r="D223" s="169"/>
      <c r="E223" s="557"/>
      <c r="F223" s="589"/>
      <c r="G223" s="589"/>
      <c r="H223" s="589"/>
      <c r="I223" s="589"/>
      <c r="J223" s="589"/>
      <c r="K223" s="589"/>
      <c r="L223" s="589"/>
      <c r="M223" s="589"/>
      <c r="N223" s="589"/>
      <c r="O223" s="589"/>
      <c r="P223" s="589"/>
      <c r="Q223" s="557"/>
    </row>
    <row r="224" ht="26.25" customHeight="1">
      <c r="A224" s="558" t="str">
        <f>Source!$B$6</f>
        <v/>
      </c>
      <c r="B224" s="559" t="str">
        <f>Source!$AN$31</f>
        <v/>
      </c>
      <c r="C224" s="560" t="str">
        <f>Source!$B$7</f>
        <v/>
      </c>
      <c r="D224" s="561" t="s">
        <v>721</v>
      </c>
      <c r="E224" s="562"/>
      <c r="F224" s="585" t="s">
        <v>722</v>
      </c>
      <c r="G224" s="27"/>
      <c r="H224" s="27"/>
      <c r="I224" s="27"/>
      <c r="J224" s="27"/>
      <c r="K224" s="565"/>
      <c r="L224" s="568"/>
      <c r="M224" s="568"/>
      <c r="N224" s="568"/>
      <c r="O224" s="568"/>
      <c r="P224" s="568"/>
      <c r="Q224" s="588"/>
    </row>
    <row r="225" ht="26.25" customHeight="1">
      <c r="A225" s="558" t="str">
        <f>Source!$B$6</f>
        <v/>
      </c>
      <c r="B225" s="559" t="str">
        <f>Source!$AT$49</f>
        <v/>
      </c>
      <c r="C225" s="569"/>
      <c r="D225" s="570" t="s">
        <v>556</v>
      </c>
      <c r="E225" s="571"/>
      <c r="F225" s="572" t="s">
        <v>723</v>
      </c>
      <c r="G225" s="27"/>
      <c r="H225" s="27"/>
      <c r="I225" s="27"/>
      <c r="J225" s="27"/>
      <c r="K225" s="27"/>
      <c r="L225" s="565"/>
      <c r="M225" s="568"/>
      <c r="N225" s="568"/>
      <c r="O225" s="568"/>
      <c r="P225" s="568"/>
      <c r="Q225" s="31"/>
    </row>
    <row r="226" ht="26.25" customHeight="1">
      <c r="A226" s="558" t="str">
        <f>Source!$B$6</f>
        <v/>
      </c>
      <c r="B226" s="559" t="str">
        <f>Source!$AT$9</f>
        <v/>
      </c>
      <c r="C226" s="560"/>
      <c r="D226" s="561" t="s">
        <v>697</v>
      </c>
      <c r="E226" s="562"/>
      <c r="F226" s="585" t="s">
        <v>724</v>
      </c>
      <c r="G226" s="27"/>
      <c r="H226" s="27"/>
      <c r="I226" s="27"/>
      <c r="J226" s="27"/>
      <c r="K226" s="27"/>
      <c r="L226" s="27"/>
      <c r="M226" s="565"/>
      <c r="N226" s="568"/>
      <c r="O226" s="568"/>
      <c r="P226" s="568"/>
      <c r="Q226" s="588"/>
    </row>
    <row r="227" ht="26.25" customHeight="1">
      <c r="A227" s="558" t="str">
        <f>Source!$B$6</f>
        <v/>
      </c>
      <c r="B227" s="559" t="str">
        <f>Source!$AB$51</f>
        <v/>
      </c>
      <c r="C227" s="569" t="str">
        <f>Source!$B$7</f>
        <v/>
      </c>
      <c r="D227" s="570" t="s">
        <v>690</v>
      </c>
      <c r="E227" s="571"/>
      <c r="F227" s="572" t="s">
        <v>725</v>
      </c>
      <c r="G227" s="27"/>
      <c r="H227" s="27"/>
      <c r="I227" s="27"/>
      <c r="J227" s="27"/>
      <c r="K227" s="27"/>
      <c r="L227" s="27"/>
      <c r="M227" s="27"/>
      <c r="N227" s="27"/>
      <c r="O227" s="27"/>
      <c r="P227" s="565"/>
      <c r="Q227" s="31"/>
    </row>
    <row r="228" ht="26.25" customHeight="1">
      <c r="A228" s="558" t="str">
        <f>Source!$B$6</f>
        <v/>
      </c>
      <c r="B228" s="559" t="str">
        <f>Source!$D$14</f>
        <v/>
      </c>
      <c r="C228" s="560"/>
      <c r="D228" s="574" t="s">
        <v>726</v>
      </c>
      <c r="E228" s="562"/>
      <c r="F228" s="585" t="s">
        <v>727</v>
      </c>
      <c r="G228" s="27"/>
      <c r="H228" s="27"/>
      <c r="I228" s="27"/>
      <c r="J228" s="27"/>
      <c r="K228" s="27"/>
      <c r="L228" s="27"/>
      <c r="M228" s="27"/>
      <c r="N228" s="27"/>
      <c r="O228" s="27"/>
      <c r="P228" s="27"/>
      <c r="Q228" s="31"/>
    </row>
    <row r="229" ht="26.25" customHeight="1">
      <c r="A229" s="558" t="str">
        <f>Source!$B$6</f>
        <v/>
      </c>
      <c r="B229" s="559" t="str">
        <f>Source!$AT$41</f>
        <v/>
      </c>
      <c r="C229" s="569"/>
      <c r="D229" s="570" t="s">
        <v>728</v>
      </c>
      <c r="E229" s="571"/>
      <c r="F229" s="572" t="s">
        <v>729</v>
      </c>
      <c r="G229" s="27"/>
      <c r="H229" s="27"/>
      <c r="I229" s="27"/>
      <c r="J229" s="27"/>
      <c r="K229" s="27"/>
      <c r="L229" s="27"/>
      <c r="M229" s="27"/>
      <c r="N229" s="27"/>
      <c r="O229" s="27"/>
      <c r="P229" s="27"/>
      <c r="Q229" s="31"/>
    </row>
    <row r="230" ht="26.25" customHeight="1">
      <c r="A230" s="558" t="str">
        <f>Source!$B$6</f>
        <v/>
      </c>
      <c r="B230" s="559" t="str">
        <f>Source!$D$5</f>
        <v/>
      </c>
      <c r="C230" s="560"/>
      <c r="D230" s="587" t="s">
        <v>730</v>
      </c>
      <c r="E230" s="562"/>
      <c r="F230" s="585" t="s">
        <v>731</v>
      </c>
      <c r="G230" s="27"/>
      <c r="H230" s="27"/>
      <c r="I230" s="27"/>
      <c r="J230" s="27"/>
      <c r="K230" s="27"/>
      <c r="L230" s="27"/>
      <c r="M230" s="27"/>
      <c r="N230" s="27"/>
      <c r="O230" s="27"/>
      <c r="P230" s="27"/>
      <c r="Q230" s="31"/>
    </row>
    <row r="231" ht="26.25" customHeight="1">
      <c r="A231" s="558" t="str">
        <f>Source!$B$6</f>
        <v/>
      </c>
      <c r="B231" s="559" t="str">
        <f>Source!$AB$30</f>
        <v/>
      </c>
      <c r="C231" s="569" t="str">
        <f>Source!$B$7</f>
        <v/>
      </c>
      <c r="D231" s="570" t="s">
        <v>661</v>
      </c>
      <c r="E231" s="571"/>
      <c r="F231" s="572" t="s">
        <v>732</v>
      </c>
      <c r="G231" s="27"/>
      <c r="H231" s="27"/>
      <c r="I231" s="27"/>
      <c r="J231" s="27"/>
      <c r="K231" s="27"/>
      <c r="L231" s="27"/>
      <c r="M231" s="27"/>
      <c r="N231" s="27"/>
      <c r="O231" s="27"/>
      <c r="P231" s="27"/>
      <c r="Q231" s="31"/>
    </row>
    <row r="232" ht="7.5" customHeight="1">
      <c r="A232" s="578"/>
      <c r="B232" s="579"/>
      <c r="C232" s="579"/>
      <c r="D232" s="579"/>
      <c r="E232" s="579"/>
      <c r="F232" s="579"/>
      <c r="G232" s="579"/>
      <c r="H232" s="579"/>
      <c r="I232" s="579"/>
      <c r="J232" s="579"/>
      <c r="K232" s="579"/>
      <c r="L232" s="579"/>
      <c r="M232" s="579"/>
      <c r="N232" s="579"/>
      <c r="O232" s="579"/>
      <c r="P232" s="555"/>
      <c r="Q232" s="580"/>
    </row>
    <row r="233" ht="3.75" customHeight="1">
      <c r="A233" s="581"/>
      <c r="B233" s="582"/>
      <c r="C233" s="583"/>
      <c r="D233" s="583"/>
      <c r="E233" s="583"/>
      <c r="F233" s="583"/>
      <c r="G233" s="583"/>
      <c r="H233" s="583"/>
      <c r="I233" s="583"/>
      <c r="J233" s="583"/>
      <c r="K233" s="583"/>
      <c r="L233" s="583"/>
      <c r="M233" s="583"/>
      <c r="N233" s="583"/>
      <c r="O233" s="583"/>
      <c r="P233" s="583"/>
      <c r="Q233" s="580"/>
    </row>
    <row r="234" ht="7.5" customHeight="1">
      <c r="A234" s="578"/>
      <c r="B234" s="579"/>
      <c r="C234" s="579"/>
      <c r="D234" s="579"/>
      <c r="E234" s="579"/>
      <c r="F234" s="579"/>
      <c r="G234" s="579"/>
      <c r="H234" s="579"/>
      <c r="I234" s="579"/>
      <c r="J234" s="579"/>
      <c r="K234" s="579"/>
      <c r="L234" s="579"/>
      <c r="M234" s="579"/>
      <c r="N234" s="579"/>
      <c r="O234" s="579"/>
      <c r="P234" s="555"/>
      <c r="Q234" s="580"/>
    </row>
    <row r="235">
      <c r="A235" s="578"/>
      <c r="B235" s="584" t="s">
        <v>733</v>
      </c>
      <c r="C235" s="168"/>
      <c r="D235" s="169"/>
      <c r="E235" s="557"/>
      <c r="F235" s="589"/>
      <c r="G235" s="589"/>
      <c r="H235" s="589"/>
      <c r="I235" s="589"/>
      <c r="J235" s="589"/>
      <c r="K235" s="589"/>
      <c r="L235" s="589"/>
      <c r="M235" s="589"/>
      <c r="N235" s="589"/>
      <c r="O235" s="589"/>
      <c r="P235" s="589"/>
      <c r="Q235" s="557"/>
    </row>
    <row r="236" ht="26.25" customHeight="1">
      <c r="A236" s="558" t="str">
        <f>Source!$B$6</f>
        <v/>
      </c>
      <c r="B236" s="559" t="str">
        <f>Source!$AE$25</f>
        <v/>
      </c>
      <c r="C236" s="560" t="str">
        <f>Source!$B$7</f>
        <v/>
      </c>
      <c r="D236" s="561" t="s">
        <v>481</v>
      </c>
      <c r="E236" s="562"/>
      <c r="F236" s="585" t="s">
        <v>734</v>
      </c>
      <c r="G236" s="27"/>
      <c r="H236" s="27"/>
      <c r="I236" s="27"/>
      <c r="J236" s="27"/>
      <c r="K236" s="27"/>
      <c r="L236" s="565"/>
      <c r="M236" s="568"/>
      <c r="N236" s="568"/>
      <c r="O236" s="568"/>
      <c r="P236" s="568"/>
      <c r="Q236" s="588"/>
    </row>
    <row r="237" ht="26.25" customHeight="1">
      <c r="A237" s="558" t="str">
        <f>Source!$B$6</f>
        <v/>
      </c>
      <c r="B237" s="559" t="str">
        <f>Source!$AB$47</f>
        <v/>
      </c>
      <c r="C237" s="569"/>
      <c r="D237" s="570" t="s">
        <v>580</v>
      </c>
      <c r="E237" s="571"/>
      <c r="F237" s="572" t="s">
        <v>735</v>
      </c>
      <c r="G237" s="27"/>
      <c r="H237" s="27"/>
      <c r="I237" s="27"/>
      <c r="J237" s="27"/>
      <c r="K237" s="27"/>
      <c r="L237" s="27"/>
      <c r="M237" s="565"/>
      <c r="N237" s="568"/>
      <c r="O237" s="568"/>
      <c r="P237" s="568"/>
      <c r="Q237" s="31"/>
    </row>
    <row r="238" ht="26.25" customHeight="1">
      <c r="A238" s="558" t="str">
        <f>Source!$B$6</f>
        <v/>
      </c>
      <c r="B238" s="559" t="str">
        <f>Source!$AE$9</f>
        <v/>
      </c>
      <c r="C238" s="560"/>
      <c r="D238" s="561" t="s">
        <v>568</v>
      </c>
      <c r="E238" s="562"/>
      <c r="F238" s="585" t="s">
        <v>736</v>
      </c>
      <c r="G238" s="27"/>
      <c r="H238" s="27"/>
      <c r="I238" s="27"/>
      <c r="J238" s="565"/>
      <c r="K238" s="568"/>
      <c r="L238" s="568"/>
      <c r="M238" s="568"/>
      <c r="N238" s="568"/>
      <c r="O238" s="568"/>
      <c r="P238" s="568"/>
      <c r="Q238" s="588"/>
    </row>
    <row r="239" ht="26.25" customHeight="1">
      <c r="A239" s="558" t="str">
        <f>Source!$B$6</f>
        <v/>
      </c>
      <c r="B239" s="559" t="str">
        <f>Source!$P$25</f>
        <v/>
      </c>
      <c r="C239" s="569" t="str">
        <f>Source!$B$7</f>
        <v/>
      </c>
      <c r="D239" s="570" t="s">
        <v>737</v>
      </c>
      <c r="E239" s="571"/>
      <c r="F239" s="572" t="s">
        <v>738</v>
      </c>
      <c r="G239" s="27"/>
      <c r="H239" s="27"/>
      <c r="I239" s="27"/>
      <c r="J239" s="27"/>
      <c r="K239" s="27"/>
      <c r="L239" s="27"/>
      <c r="M239" s="27"/>
      <c r="N239" s="27"/>
      <c r="O239" s="27"/>
      <c r="P239" s="27"/>
      <c r="Q239" s="31"/>
    </row>
    <row r="240" ht="26.25" customHeight="1">
      <c r="A240" s="558" t="str">
        <f>Source!$B$6</f>
        <v/>
      </c>
      <c r="B240" s="559" t="str">
        <f>Source!$D$17</f>
        <v/>
      </c>
      <c r="C240" s="560"/>
      <c r="D240" s="574" t="s">
        <v>739</v>
      </c>
      <c r="E240" s="562"/>
      <c r="F240" s="585" t="s">
        <v>740</v>
      </c>
      <c r="G240" s="27"/>
      <c r="H240" s="27"/>
      <c r="I240" s="27"/>
      <c r="J240" s="27"/>
      <c r="K240" s="27"/>
      <c r="L240" s="27"/>
      <c r="M240" s="27"/>
      <c r="N240" s="565"/>
      <c r="O240" s="568"/>
      <c r="P240" s="568"/>
      <c r="Q240" s="31"/>
    </row>
    <row r="241" ht="26.25" customHeight="1">
      <c r="A241" s="558" t="str">
        <f>Source!$B$6</f>
        <v/>
      </c>
      <c r="B241" s="559" t="str">
        <f>Source!$AB$30</f>
        <v/>
      </c>
      <c r="C241" s="569"/>
      <c r="D241" s="570" t="s">
        <v>661</v>
      </c>
      <c r="E241" s="571"/>
      <c r="F241" s="572" t="s">
        <v>741</v>
      </c>
      <c r="G241" s="27"/>
      <c r="H241" s="27"/>
      <c r="I241" s="27"/>
      <c r="J241" s="27"/>
      <c r="K241" s="27"/>
      <c r="L241" s="27"/>
      <c r="M241" s="27"/>
      <c r="N241" s="565"/>
      <c r="O241" s="568"/>
      <c r="P241" s="568"/>
      <c r="Q241" s="31"/>
    </row>
    <row r="242" ht="26.25" customHeight="1">
      <c r="A242" s="558" t="str">
        <f>Source!$B$6</f>
        <v/>
      </c>
      <c r="B242" s="559" t="str">
        <f>Source!$D$18</f>
        <v/>
      </c>
      <c r="C242" s="560"/>
      <c r="D242" s="561" t="s">
        <v>742</v>
      </c>
      <c r="E242" s="562"/>
      <c r="F242" s="585" t="s">
        <v>743</v>
      </c>
      <c r="G242" s="27"/>
      <c r="H242" s="27"/>
      <c r="I242" s="27"/>
      <c r="J242" s="27"/>
      <c r="K242" s="27"/>
      <c r="L242" s="27"/>
      <c r="M242" s="27"/>
      <c r="N242" s="27"/>
      <c r="O242" s="27"/>
      <c r="P242" s="27"/>
      <c r="Q242" s="31"/>
    </row>
    <row r="243" ht="26.25" customHeight="1">
      <c r="A243" s="558" t="str">
        <f>Source!$B$6</f>
        <v/>
      </c>
      <c r="B243" s="559" t="str">
        <f>Source!$AN$79</f>
        <v/>
      </c>
      <c r="C243" s="569" t="str">
        <f>Source!$B$7</f>
        <v/>
      </c>
      <c r="D243" s="570" t="s">
        <v>744</v>
      </c>
      <c r="E243" s="571"/>
      <c r="F243" s="572" t="s">
        <v>745</v>
      </c>
      <c r="G243" s="27"/>
      <c r="H243" s="27"/>
      <c r="I243" s="27"/>
      <c r="J243" s="27"/>
      <c r="K243" s="27"/>
      <c r="L243" s="27"/>
      <c r="M243" s="27"/>
      <c r="N243" s="27"/>
      <c r="O243" s="27"/>
      <c r="P243" s="27"/>
      <c r="Q243" s="31"/>
    </row>
    <row r="244" ht="26.25" customHeight="1">
      <c r="A244" s="558" t="str">
        <f>Source!$B$6</f>
        <v/>
      </c>
      <c r="B244" s="559" t="str">
        <f>Source!$S$12</f>
        <v/>
      </c>
      <c r="C244" s="560"/>
      <c r="D244" s="561" t="s">
        <v>746</v>
      </c>
      <c r="E244" s="562"/>
      <c r="F244" s="585" t="s">
        <v>747</v>
      </c>
      <c r="G244" s="27"/>
      <c r="H244" s="27"/>
      <c r="I244" s="27"/>
      <c r="J244" s="27"/>
      <c r="K244" s="27"/>
      <c r="L244" s="27"/>
      <c r="M244" s="27"/>
      <c r="N244" s="27"/>
      <c r="O244" s="27"/>
      <c r="P244" s="27"/>
      <c r="Q244" s="31"/>
    </row>
    <row r="245" ht="26.25" customHeight="1">
      <c r="A245" s="558" t="str">
        <f>Source!$B$6</f>
        <v/>
      </c>
      <c r="B245" s="559" t="str">
        <f>Source!$M$18</f>
        <v/>
      </c>
      <c r="C245" s="569"/>
      <c r="D245" s="570" t="s">
        <v>748</v>
      </c>
      <c r="E245" s="571"/>
      <c r="F245" s="572" t="s">
        <v>749</v>
      </c>
      <c r="G245" s="27"/>
      <c r="H245" s="27"/>
      <c r="I245" s="27"/>
      <c r="J245" s="27"/>
      <c r="K245" s="27"/>
      <c r="L245" s="27"/>
      <c r="M245" s="27"/>
      <c r="N245" s="27"/>
      <c r="O245" s="27"/>
      <c r="P245" s="27"/>
      <c r="Q245" s="31"/>
    </row>
    <row r="246" ht="26.25" customHeight="1">
      <c r="A246" s="558" t="str">
        <f>Source!$B$6</f>
        <v/>
      </c>
      <c r="B246" s="559" t="str">
        <f>Source!$D$15</f>
        <v/>
      </c>
      <c r="C246" s="560"/>
      <c r="D246" s="561" t="s">
        <v>750</v>
      </c>
      <c r="E246" s="562"/>
      <c r="F246" s="585" t="s">
        <v>751</v>
      </c>
      <c r="G246" s="27"/>
      <c r="H246" s="27"/>
      <c r="I246" s="27"/>
      <c r="J246" s="27"/>
      <c r="K246" s="27"/>
      <c r="L246" s="27"/>
      <c r="M246" s="27"/>
      <c r="N246" s="27"/>
      <c r="O246" s="27"/>
      <c r="P246" s="27"/>
      <c r="Q246" s="31"/>
    </row>
    <row r="247" ht="7.5" customHeight="1">
      <c r="A247" s="578"/>
      <c r="B247" s="579"/>
      <c r="C247" s="579"/>
      <c r="D247" s="579"/>
      <c r="E247" s="579"/>
      <c r="F247" s="579"/>
      <c r="G247" s="579"/>
      <c r="H247" s="579"/>
      <c r="I247" s="579"/>
      <c r="J247" s="579"/>
      <c r="K247" s="579"/>
      <c r="L247" s="579"/>
      <c r="M247" s="579"/>
      <c r="N247" s="579"/>
      <c r="O247" s="579"/>
      <c r="P247" s="555"/>
      <c r="Q247" s="580"/>
    </row>
    <row r="248" ht="3.75" customHeight="1">
      <c r="A248" s="581"/>
      <c r="B248" s="582"/>
      <c r="C248" s="583"/>
      <c r="D248" s="583"/>
      <c r="E248" s="583"/>
      <c r="F248" s="583"/>
      <c r="G248" s="583"/>
      <c r="H248" s="583"/>
      <c r="I248" s="583"/>
      <c r="J248" s="583"/>
      <c r="K248" s="583"/>
      <c r="L248" s="583"/>
      <c r="M248" s="583"/>
      <c r="N248" s="583"/>
      <c r="O248" s="583"/>
      <c r="P248" s="583"/>
      <c r="Q248" s="580"/>
    </row>
    <row r="249" ht="7.5" customHeight="1">
      <c r="A249" s="578"/>
      <c r="B249" s="579"/>
      <c r="C249" s="579"/>
      <c r="D249" s="579"/>
      <c r="E249" s="579"/>
      <c r="F249" s="579"/>
      <c r="G249" s="579"/>
      <c r="H249" s="579"/>
      <c r="I249" s="579"/>
      <c r="J249" s="579"/>
      <c r="K249" s="579"/>
      <c r="L249" s="579"/>
      <c r="M249" s="579"/>
      <c r="N249" s="579"/>
      <c r="O249" s="579"/>
      <c r="P249" s="555"/>
      <c r="Q249" s="580"/>
    </row>
    <row r="250">
      <c r="A250" s="578"/>
      <c r="B250" s="584" t="s">
        <v>752</v>
      </c>
      <c r="C250" s="168"/>
      <c r="D250" s="169"/>
      <c r="E250" s="557"/>
      <c r="F250" s="589"/>
      <c r="G250" s="589"/>
      <c r="H250" s="589"/>
      <c r="I250" s="589"/>
      <c r="J250" s="589"/>
      <c r="K250" s="589"/>
      <c r="L250" s="589"/>
      <c r="M250" s="589"/>
      <c r="N250" s="589"/>
      <c r="O250" s="589"/>
      <c r="P250" s="589"/>
      <c r="Q250" s="557"/>
    </row>
    <row r="251" ht="26.25" customHeight="1">
      <c r="A251" s="558" t="str">
        <f>Source!$B$6</f>
        <v/>
      </c>
      <c r="B251" s="559" t="str">
        <f>Source!$D$10</f>
        <v/>
      </c>
      <c r="C251" s="560" t="str">
        <f>Source!$B$7</f>
        <v/>
      </c>
      <c r="D251" s="574" t="s">
        <v>753</v>
      </c>
      <c r="E251" s="562"/>
      <c r="F251" s="585" t="s">
        <v>754</v>
      </c>
      <c r="G251" s="27"/>
      <c r="H251" s="27"/>
      <c r="I251" s="27"/>
      <c r="J251" s="27"/>
      <c r="K251" s="27"/>
      <c r="L251" s="27"/>
      <c r="M251" s="565"/>
      <c r="N251" s="568"/>
      <c r="O251" s="568"/>
      <c r="P251" s="568"/>
      <c r="Q251" s="588"/>
    </row>
    <row r="252" ht="26.25" customHeight="1">
      <c r="A252" s="558" t="str">
        <f>Source!$B$6</f>
        <v/>
      </c>
      <c r="B252" s="559" t="str">
        <f>Source!$AE$26</f>
        <v/>
      </c>
      <c r="C252" s="569"/>
      <c r="D252" s="570" t="s">
        <v>755</v>
      </c>
      <c r="E252" s="571"/>
      <c r="F252" s="607" t="s">
        <v>756</v>
      </c>
      <c r="G252" s="27"/>
      <c r="H252" s="27"/>
      <c r="I252" s="27"/>
      <c r="J252" s="27"/>
      <c r="K252" s="27"/>
      <c r="L252" s="27"/>
      <c r="M252" s="565"/>
      <c r="N252" s="568"/>
      <c r="O252" s="568"/>
      <c r="P252" s="568"/>
      <c r="Q252" s="31"/>
    </row>
    <row r="253" ht="26.25" customHeight="1">
      <c r="A253" s="558" t="str">
        <f>Source!$B$6</f>
        <v/>
      </c>
      <c r="B253" s="559" t="str">
        <f>Source!$AN$82</f>
        <v/>
      </c>
      <c r="C253" s="560"/>
      <c r="D253" s="561" t="s">
        <v>757</v>
      </c>
      <c r="E253" s="562"/>
      <c r="F253" s="585" t="s">
        <v>754</v>
      </c>
      <c r="G253" s="27"/>
      <c r="H253" s="27"/>
      <c r="I253" s="27"/>
      <c r="J253" s="27"/>
      <c r="K253" s="27"/>
      <c r="L253" s="27"/>
      <c r="M253" s="565"/>
      <c r="N253" s="568"/>
      <c r="O253" s="568"/>
      <c r="P253" s="568"/>
      <c r="Q253" s="588"/>
    </row>
    <row r="254" ht="26.25" customHeight="1">
      <c r="A254" s="558" t="str">
        <f>Source!$B$6</f>
        <v/>
      </c>
      <c r="B254" s="559" t="str">
        <f>IMAGE("https://i.ibb.co/NSRQvms/flute.png",4,28,28)</f>
        <v/>
      </c>
      <c r="C254" s="569" t="str">
        <f>Source!$B$7</f>
        <v/>
      </c>
      <c r="D254" s="601" t="s">
        <v>758</v>
      </c>
      <c r="E254" s="571"/>
      <c r="F254" s="572" t="s">
        <v>759</v>
      </c>
      <c r="G254" s="27"/>
      <c r="H254" s="27"/>
      <c r="I254" s="27"/>
      <c r="J254" s="27"/>
      <c r="K254" s="27"/>
      <c r="L254" s="27"/>
      <c r="M254" s="27"/>
      <c r="N254" s="27"/>
      <c r="O254" s="27"/>
      <c r="P254" s="27"/>
      <c r="Q254" s="31"/>
    </row>
    <row r="255" ht="26.25" customHeight="1">
      <c r="A255" s="558" t="str">
        <f>Source!$B$6</f>
        <v/>
      </c>
      <c r="B255" s="559" t="str">
        <f>Source!$P$21</f>
        <v/>
      </c>
      <c r="C255" s="560"/>
      <c r="D255" s="587" t="s">
        <v>760</v>
      </c>
      <c r="E255" s="562"/>
      <c r="F255" s="608" t="s">
        <v>761</v>
      </c>
      <c r="G255" s="27"/>
      <c r="H255" s="27"/>
      <c r="I255" s="27"/>
      <c r="J255" s="27"/>
      <c r="K255" s="27"/>
      <c r="L255" s="27"/>
      <c r="M255" s="27"/>
      <c r="N255" s="27"/>
      <c r="O255" s="27"/>
      <c r="P255" s="27"/>
      <c r="Q255" s="31"/>
    </row>
    <row r="256" ht="7.5" customHeight="1">
      <c r="A256" s="578"/>
      <c r="B256" s="579"/>
      <c r="C256" s="579"/>
      <c r="D256" s="579"/>
      <c r="E256" s="579"/>
      <c r="F256" s="579"/>
      <c r="G256" s="579"/>
      <c r="H256" s="579"/>
      <c r="I256" s="579"/>
      <c r="J256" s="579"/>
      <c r="K256" s="579"/>
      <c r="L256" s="579"/>
      <c r="M256" s="579"/>
      <c r="N256" s="579"/>
      <c r="O256" s="579"/>
      <c r="P256" s="555"/>
      <c r="Q256" s="580"/>
    </row>
    <row r="257" ht="3.75" customHeight="1">
      <c r="A257" s="581"/>
      <c r="B257" s="582"/>
      <c r="C257" s="583"/>
      <c r="D257" s="583"/>
      <c r="E257" s="583"/>
      <c r="F257" s="583"/>
      <c r="G257" s="583"/>
      <c r="H257" s="583"/>
      <c r="I257" s="583"/>
      <c r="J257" s="583"/>
      <c r="K257" s="583"/>
      <c r="L257" s="583"/>
      <c r="M257" s="583"/>
      <c r="N257" s="583"/>
      <c r="O257" s="583"/>
      <c r="P257" s="583"/>
      <c r="Q257" s="580"/>
    </row>
    <row r="258" ht="7.5" customHeight="1">
      <c r="A258" s="578"/>
      <c r="B258" s="579"/>
      <c r="C258" s="579"/>
      <c r="D258" s="579"/>
      <c r="E258" s="579"/>
      <c r="F258" s="579"/>
      <c r="G258" s="579"/>
      <c r="H258" s="579"/>
      <c r="I258" s="579"/>
      <c r="J258" s="579"/>
      <c r="K258" s="579"/>
      <c r="L258" s="579"/>
      <c r="M258" s="579"/>
      <c r="N258" s="579"/>
      <c r="O258" s="579"/>
      <c r="P258" s="555"/>
      <c r="Q258" s="580"/>
    </row>
    <row r="259">
      <c r="A259" s="578"/>
      <c r="B259" s="584" t="s">
        <v>762</v>
      </c>
      <c r="C259" s="168"/>
      <c r="D259" s="169"/>
      <c r="E259" s="557"/>
      <c r="F259" s="589"/>
      <c r="G259" s="589"/>
      <c r="H259" s="589"/>
      <c r="I259" s="589"/>
      <c r="J259" s="589"/>
      <c r="K259" s="589"/>
      <c r="L259" s="589"/>
      <c r="M259" s="589"/>
      <c r="N259" s="589"/>
      <c r="O259" s="589"/>
      <c r="P259" s="589"/>
      <c r="Q259" s="557"/>
    </row>
    <row r="260" ht="26.25" customHeight="1">
      <c r="A260" s="558" t="str">
        <f>Source!$B$6</f>
        <v/>
      </c>
      <c r="B260" s="559" t="str">
        <f>Source!$D$14</f>
        <v/>
      </c>
      <c r="C260" s="560" t="str">
        <f>Source!$B$7</f>
        <v/>
      </c>
      <c r="D260" s="574" t="s">
        <v>763</v>
      </c>
      <c r="E260" s="562"/>
      <c r="F260" s="585" t="s">
        <v>764</v>
      </c>
      <c r="G260" s="27"/>
      <c r="H260" s="27"/>
      <c r="I260" s="27"/>
      <c r="J260" s="27"/>
      <c r="K260" s="27"/>
      <c r="L260" s="27"/>
      <c r="M260" s="565"/>
      <c r="N260" s="568"/>
      <c r="O260" s="568"/>
      <c r="P260" s="568"/>
      <c r="Q260" s="588"/>
    </row>
    <row r="261" ht="26.25" customHeight="1">
      <c r="A261" s="558" t="str">
        <f>Source!$B$6</f>
        <v/>
      </c>
      <c r="B261" s="559" t="str">
        <f>Source!$D$9</f>
        <v/>
      </c>
      <c r="C261" s="569"/>
      <c r="D261" s="570" t="s">
        <v>765</v>
      </c>
      <c r="E261" s="571"/>
      <c r="F261" s="572" t="s">
        <v>766</v>
      </c>
      <c r="G261" s="27"/>
      <c r="H261" s="27"/>
      <c r="I261" s="27"/>
      <c r="J261" s="27"/>
      <c r="K261" s="27"/>
      <c r="L261" s="27"/>
      <c r="M261" s="27"/>
      <c r="N261" s="565"/>
      <c r="O261" s="568"/>
      <c r="P261" s="568"/>
      <c r="Q261" s="31"/>
    </row>
    <row r="262" ht="26.25" customHeight="1">
      <c r="A262" s="558" t="str">
        <f>Source!$B$6</f>
        <v/>
      </c>
      <c r="B262" s="559" t="str">
        <f>Source!$AB$23</f>
        <v/>
      </c>
      <c r="C262" s="560"/>
      <c r="D262" s="561" t="s">
        <v>686</v>
      </c>
      <c r="E262" s="562"/>
      <c r="F262" s="585" t="s">
        <v>767</v>
      </c>
      <c r="G262" s="27"/>
      <c r="H262" s="27"/>
      <c r="I262" s="27"/>
      <c r="J262" s="27"/>
      <c r="K262" s="27"/>
      <c r="L262" s="27"/>
      <c r="M262" s="27"/>
      <c r="N262" s="27"/>
      <c r="O262" s="27"/>
      <c r="P262" s="565"/>
      <c r="Q262" s="588"/>
    </row>
    <row r="263" ht="7.5" customHeight="1">
      <c r="A263" s="578"/>
      <c r="B263" s="579"/>
      <c r="C263" s="579"/>
      <c r="D263" s="579"/>
      <c r="E263" s="579"/>
      <c r="F263" s="579"/>
      <c r="G263" s="579"/>
      <c r="H263" s="579"/>
      <c r="I263" s="579"/>
      <c r="J263" s="579"/>
      <c r="K263" s="579"/>
      <c r="L263" s="579"/>
      <c r="M263" s="579"/>
      <c r="N263" s="579"/>
      <c r="O263" s="579"/>
      <c r="P263" s="555"/>
      <c r="Q263" s="580"/>
    </row>
    <row r="264" ht="3.75" customHeight="1">
      <c r="A264" s="581"/>
      <c r="B264" s="582"/>
      <c r="C264" s="583"/>
      <c r="D264" s="583"/>
      <c r="E264" s="583"/>
      <c r="F264" s="583"/>
      <c r="G264" s="583"/>
      <c r="H264" s="583"/>
      <c r="I264" s="583"/>
      <c r="J264" s="583"/>
      <c r="K264" s="583"/>
      <c r="L264" s="583"/>
      <c r="M264" s="583"/>
      <c r="N264" s="583"/>
      <c r="O264" s="583"/>
      <c r="P264" s="583"/>
      <c r="Q264" s="580"/>
    </row>
    <row r="265" ht="7.5" customHeight="1">
      <c r="A265" s="578"/>
      <c r="B265" s="579"/>
      <c r="C265" s="579"/>
      <c r="D265" s="579"/>
      <c r="E265" s="579"/>
      <c r="F265" s="579"/>
      <c r="G265" s="579"/>
      <c r="H265" s="579"/>
      <c r="I265" s="579"/>
      <c r="J265" s="579"/>
      <c r="K265" s="579"/>
      <c r="L265" s="579"/>
      <c r="M265" s="579"/>
      <c r="N265" s="579"/>
      <c r="O265" s="579"/>
      <c r="P265" s="555"/>
      <c r="Q265" s="580"/>
    </row>
    <row r="266">
      <c r="A266" s="578"/>
      <c r="B266" s="604" t="s">
        <v>768</v>
      </c>
      <c r="C266" s="168"/>
      <c r="D266" s="169"/>
      <c r="E266" s="557"/>
      <c r="F266" s="589"/>
      <c r="G266" s="589"/>
      <c r="H266" s="589"/>
      <c r="I266" s="589"/>
      <c r="J266" s="589"/>
      <c r="K266" s="589"/>
      <c r="L266" s="589"/>
      <c r="M266" s="589"/>
      <c r="N266" s="589"/>
      <c r="O266" s="589"/>
      <c r="P266" s="589"/>
      <c r="Q266" s="557"/>
    </row>
    <row r="267" ht="26.25" customHeight="1">
      <c r="A267" s="558" t="str">
        <f>Source!$B$6</f>
        <v/>
      </c>
      <c r="B267" s="559" t="str">
        <f>Source!$AT$55</f>
        <v/>
      </c>
      <c r="C267" s="560" t="str">
        <f>Source!$B$7</f>
        <v/>
      </c>
      <c r="D267" s="561" t="s">
        <v>769</v>
      </c>
      <c r="E267" s="562"/>
      <c r="F267" s="585" t="s">
        <v>770</v>
      </c>
      <c r="G267" s="27"/>
      <c r="H267" s="27"/>
      <c r="I267" s="27"/>
      <c r="J267" s="27"/>
      <c r="K267" s="27"/>
      <c r="L267" s="27"/>
      <c r="M267" s="27"/>
      <c r="N267" s="27"/>
      <c r="O267" s="27"/>
      <c r="P267" s="565"/>
      <c r="Q267" s="588"/>
    </row>
    <row r="268" ht="26.25" customHeight="1">
      <c r="A268" s="558" t="str">
        <f>Source!$B$6</f>
        <v/>
      </c>
      <c r="B268" s="559" t="str">
        <f>Source!$AT$36</f>
        <v/>
      </c>
      <c r="C268" s="569"/>
      <c r="D268" s="570" t="s">
        <v>771</v>
      </c>
      <c r="E268" s="571"/>
      <c r="F268" s="572" t="s">
        <v>772</v>
      </c>
      <c r="G268" s="27"/>
      <c r="H268" s="27"/>
      <c r="I268" s="27"/>
      <c r="J268" s="27"/>
      <c r="K268" s="27"/>
      <c r="L268" s="27"/>
      <c r="M268" s="27"/>
      <c r="N268" s="27"/>
      <c r="O268" s="27"/>
      <c r="P268" s="565"/>
      <c r="Q268" s="31"/>
    </row>
    <row r="269" ht="26.25" customHeight="1">
      <c r="A269" s="558" t="str">
        <f>Source!$B$6</f>
        <v/>
      </c>
      <c r="B269" s="559" t="str">
        <f>Source!$AT$34</f>
        <v/>
      </c>
      <c r="C269" s="560"/>
      <c r="D269" s="561" t="s">
        <v>773</v>
      </c>
      <c r="E269" s="562"/>
      <c r="F269" s="585" t="s">
        <v>774</v>
      </c>
      <c r="G269" s="27"/>
      <c r="H269" s="27"/>
      <c r="I269" s="27"/>
      <c r="J269" s="27"/>
      <c r="K269" s="27"/>
      <c r="L269" s="27"/>
      <c r="M269" s="27"/>
      <c r="N269" s="27"/>
      <c r="O269" s="27"/>
      <c r="P269" s="27"/>
      <c r="Q269" s="588"/>
    </row>
    <row r="270" ht="26.25" customHeight="1">
      <c r="A270" s="558" t="str">
        <f>Source!$B$6</f>
        <v/>
      </c>
      <c r="B270" s="559" t="str">
        <f>Source!$D$9</f>
        <v/>
      </c>
      <c r="C270" s="569" t="str">
        <f>Source!$B$7</f>
        <v/>
      </c>
      <c r="D270" s="601" t="s">
        <v>775</v>
      </c>
      <c r="E270" s="571"/>
      <c r="F270" s="572" t="s">
        <v>776</v>
      </c>
      <c r="G270" s="27"/>
      <c r="H270" s="27"/>
      <c r="I270" s="27"/>
      <c r="J270" s="27"/>
      <c r="K270" s="27"/>
      <c r="L270" s="27"/>
      <c r="M270" s="27"/>
      <c r="N270" s="27"/>
      <c r="O270" s="27"/>
      <c r="P270" s="565"/>
      <c r="Q270" s="31"/>
    </row>
    <row r="271" ht="26.25" customHeight="1">
      <c r="A271" s="558" t="str">
        <f>Source!$B$6</f>
        <v/>
      </c>
      <c r="B271" s="559" t="str">
        <f>Source!$AN$75</f>
        <v/>
      </c>
      <c r="C271" s="560"/>
      <c r="D271" s="561" t="s">
        <v>777</v>
      </c>
      <c r="E271" s="562"/>
      <c r="F271" s="585" t="s">
        <v>778</v>
      </c>
      <c r="G271" s="27"/>
      <c r="H271" s="27"/>
      <c r="I271" s="27"/>
      <c r="J271" s="27"/>
      <c r="K271" s="27"/>
      <c r="L271" s="27"/>
      <c r="M271" s="27"/>
      <c r="N271" s="27"/>
      <c r="O271" s="565"/>
      <c r="P271" s="568"/>
      <c r="Q271" s="31"/>
    </row>
    <row r="272" ht="26.25" customHeight="1">
      <c r="A272" s="558" t="str">
        <f>Source!$B$6</f>
        <v/>
      </c>
      <c r="B272" s="559" t="str">
        <f>Source!$P$16</f>
        <v/>
      </c>
      <c r="C272" s="569"/>
      <c r="D272" s="570" t="s">
        <v>779</v>
      </c>
      <c r="E272" s="571"/>
      <c r="F272" s="572" t="s">
        <v>778</v>
      </c>
      <c r="G272" s="27"/>
      <c r="H272" s="27"/>
      <c r="I272" s="27"/>
      <c r="J272" s="27"/>
      <c r="K272" s="27"/>
      <c r="L272" s="27"/>
      <c r="M272" s="27"/>
      <c r="N272" s="27"/>
      <c r="O272" s="565"/>
      <c r="P272" s="568"/>
      <c r="Q272" s="31"/>
    </row>
    <row r="273" ht="7.5" customHeight="1">
      <c r="A273" s="578"/>
      <c r="B273" s="579"/>
      <c r="C273" s="579"/>
      <c r="D273" s="579"/>
      <c r="E273" s="579"/>
      <c r="F273" s="579"/>
      <c r="G273" s="579"/>
      <c r="H273" s="579"/>
      <c r="I273" s="579"/>
      <c r="J273" s="579"/>
      <c r="K273" s="579"/>
      <c r="L273" s="579"/>
      <c r="M273" s="579"/>
      <c r="N273" s="579"/>
      <c r="O273" s="579"/>
      <c r="P273" s="555"/>
      <c r="Q273" s="580"/>
    </row>
    <row r="274" ht="3.75" customHeight="1">
      <c r="A274" s="581"/>
      <c r="B274" s="582"/>
      <c r="C274" s="583"/>
      <c r="D274" s="583"/>
      <c r="E274" s="583"/>
      <c r="F274" s="583"/>
      <c r="G274" s="583"/>
      <c r="H274" s="583"/>
      <c r="I274" s="583"/>
      <c r="J274" s="583"/>
      <c r="K274" s="583"/>
      <c r="L274" s="583"/>
      <c r="M274" s="583"/>
      <c r="N274" s="583"/>
      <c r="O274" s="583"/>
      <c r="P274" s="583"/>
      <c r="Q274" s="580"/>
    </row>
    <row r="275" ht="7.5" customHeight="1">
      <c r="A275" s="578"/>
      <c r="B275" s="579"/>
      <c r="C275" s="579"/>
      <c r="D275" s="579"/>
      <c r="E275" s="579"/>
      <c r="F275" s="579"/>
      <c r="G275" s="579"/>
      <c r="H275" s="579"/>
      <c r="I275" s="579"/>
      <c r="J275" s="579"/>
      <c r="K275" s="579"/>
      <c r="L275" s="579"/>
      <c r="M275" s="579"/>
      <c r="N275" s="579"/>
      <c r="O275" s="579"/>
      <c r="P275" s="555"/>
      <c r="Q275" s="580"/>
    </row>
    <row r="276">
      <c r="A276" s="578"/>
      <c r="B276" s="606" t="s">
        <v>780</v>
      </c>
      <c r="C276" s="168"/>
      <c r="D276" s="168"/>
      <c r="E276" s="168"/>
      <c r="F276" s="168"/>
      <c r="G276" s="169"/>
      <c r="H276" s="589"/>
      <c r="I276" s="589"/>
      <c r="J276" s="589"/>
      <c r="K276" s="589"/>
      <c r="L276" s="589"/>
      <c r="M276" s="589"/>
      <c r="N276" s="589"/>
      <c r="O276" s="589"/>
      <c r="P276" s="589"/>
      <c r="Q276" s="557"/>
    </row>
    <row r="277" ht="26.25" customHeight="1">
      <c r="A277" s="558" t="str">
        <f>Source!$B$6</f>
        <v/>
      </c>
      <c r="B277" s="559" t="str">
        <f>Source!$D$16</f>
        <v/>
      </c>
      <c r="C277" s="560" t="str">
        <f>Source!$B$7</f>
        <v/>
      </c>
      <c r="D277" s="561" t="s">
        <v>781</v>
      </c>
      <c r="E277" s="562"/>
      <c r="F277" s="585" t="s">
        <v>782</v>
      </c>
      <c r="G277" s="27"/>
      <c r="H277" s="27"/>
      <c r="I277" s="27"/>
      <c r="J277" s="27"/>
      <c r="K277" s="27"/>
      <c r="L277" s="27"/>
      <c r="M277" s="27"/>
      <c r="N277" s="565"/>
      <c r="O277" s="568"/>
      <c r="P277" s="568"/>
      <c r="Q277" s="588"/>
    </row>
    <row r="278" ht="7.5" customHeight="1">
      <c r="A278" s="578"/>
      <c r="B278" s="579"/>
      <c r="C278" s="579"/>
      <c r="D278" s="579"/>
      <c r="E278" s="579"/>
      <c r="F278" s="579"/>
      <c r="G278" s="579"/>
      <c r="H278" s="579"/>
      <c r="I278" s="579"/>
      <c r="J278" s="579"/>
      <c r="K278" s="579"/>
      <c r="L278" s="579"/>
      <c r="M278" s="579"/>
      <c r="N278" s="579"/>
      <c r="O278" s="579"/>
      <c r="P278" s="555"/>
      <c r="Q278" s="580"/>
    </row>
    <row r="279" ht="3.75" customHeight="1">
      <c r="A279" s="581"/>
      <c r="B279" s="582"/>
      <c r="C279" s="583"/>
      <c r="D279" s="583"/>
      <c r="E279" s="583"/>
      <c r="F279" s="583"/>
      <c r="G279" s="583"/>
      <c r="H279" s="583"/>
      <c r="I279" s="583"/>
      <c r="J279" s="583"/>
      <c r="K279" s="583"/>
      <c r="L279" s="583"/>
      <c r="M279" s="583"/>
      <c r="N279" s="583"/>
      <c r="O279" s="583"/>
      <c r="P279" s="583"/>
      <c r="Q279" s="580"/>
    </row>
    <row r="280" ht="7.5" customHeight="1">
      <c r="A280" s="578"/>
      <c r="B280" s="579"/>
      <c r="C280" s="579"/>
      <c r="D280" s="579"/>
      <c r="E280" s="579"/>
      <c r="F280" s="579"/>
      <c r="G280" s="579"/>
      <c r="H280" s="579"/>
      <c r="I280" s="579"/>
      <c r="J280" s="579"/>
      <c r="K280" s="579"/>
      <c r="L280" s="579"/>
      <c r="M280" s="579"/>
      <c r="N280" s="579"/>
      <c r="O280" s="579"/>
      <c r="P280" s="555"/>
      <c r="Q280" s="580"/>
    </row>
    <row r="281">
      <c r="A281" s="578"/>
      <c r="B281" s="584" t="s">
        <v>783</v>
      </c>
      <c r="C281" s="168"/>
      <c r="D281" s="168"/>
      <c r="E281" s="168"/>
      <c r="F281" s="168"/>
      <c r="G281" s="169"/>
      <c r="H281" s="589"/>
      <c r="I281" s="589"/>
      <c r="J281" s="589"/>
      <c r="K281" s="589"/>
      <c r="L281" s="589"/>
      <c r="M281" s="589"/>
      <c r="N281" s="589"/>
      <c r="O281" s="589"/>
      <c r="P281" s="589"/>
      <c r="Q281" s="557"/>
    </row>
    <row r="282" ht="26.25" customHeight="1">
      <c r="A282" s="558" t="str">
        <f>Source!$B$6</f>
        <v/>
      </c>
      <c r="B282" s="559" t="str">
        <f>Source!$AT$72</f>
        <v/>
      </c>
      <c r="C282" s="560" t="str">
        <f>Source!$B$7</f>
        <v/>
      </c>
      <c r="D282" s="561" t="s">
        <v>784</v>
      </c>
      <c r="E282" s="562"/>
      <c r="F282" s="585" t="s">
        <v>785</v>
      </c>
      <c r="G282" s="27"/>
      <c r="H282" s="27"/>
      <c r="I282" s="27"/>
      <c r="J282" s="27"/>
      <c r="K282" s="27"/>
      <c r="L282" s="27"/>
      <c r="M282" s="27"/>
      <c r="N282" s="27"/>
      <c r="O282" s="27"/>
      <c r="P282" s="27"/>
      <c r="Q282" s="588"/>
    </row>
    <row r="283" ht="26.25" customHeight="1">
      <c r="A283" s="558" t="str">
        <f>Source!$B$6</f>
        <v/>
      </c>
      <c r="B283" s="559" t="str">
        <f>Source!$D$18</f>
        <v/>
      </c>
      <c r="C283" s="569"/>
      <c r="D283" s="570" t="s">
        <v>786</v>
      </c>
      <c r="E283" s="571"/>
      <c r="F283" s="609" t="s">
        <v>787</v>
      </c>
      <c r="G283" s="27"/>
      <c r="H283" s="27"/>
      <c r="I283" s="27"/>
      <c r="J283" s="27"/>
      <c r="K283" s="27"/>
      <c r="L283" s="565"/>
      <c r="M283" s="568"/>
      <c r="N283" s="568"/>
      <c r="O283" s="568"/>
      <c r="P283" s="568"/>
      <c r="Q283" s="31"/>
    </row>
    <row r="284" ht="7.5" customHeight="1">
      <c r="A284" s="578"/>
      <c r="B284" s="579"/>
      <c r="C284" s="579"/>
      <c r="D284" s="579"/>
      <c r="E284" s="579"/>
      <c r="F284" s="579"/>
      <c r="G284" s="579"/>
      <c r="H284" s="579"/>
      <c r="I284" s="579"/>
      <c r="J284" s="579"/>
      <c r="K284" s="579"/>
      <c r="L284" s="579"/>
      <c r="M284" s="579"/>
      <c r="N284" s="579"/>
      <c r="O284" s="579"/>
      <c r="P284" s="555"/>
      <c r="Q284" s="580"/>
    </row>
    <row r="285" ht="3.75" customHeight="1">
      <c r="A285" s="581"/>
      <c r="B285" s="582"/>
      <c r="C285" s="583"/>
      <c r="D285" s="583"/>
      <c r="E285" s="583"/>
      <c r="F285" s="583"/>
      <c r="G285" s="583"/>
      <c r="H285" s="583"/>
      <c r="I285" s="583"/>
      <c r="J285" s="583"/>
      <c r="K285" s="583"/>
      <c r="L285" s="583"/>
      <c r="M285" s="583"/>
      <c r="N285" s="583"/>
      <c r="O285" s="583"/>
      <c r="P285" s="583"/>
      <c r="Q285" s="580"/>
    </row>
    <row r="286" ht="7.5" customHeight="1">
      <c r="A286" s="578"/>
      <c r="B286" s="579"/>
      <c r="C286" s="579"/>
      <c r="D286" s="579"/>
      <c r="E286" s="579"/>
      <c r="F286" s="579"/>
      <c r="G286" s="579"/>
      <c r="H286" s="579"/>
      <c r="I286" s="579"/>
      <c r="J286" s="579"/>
      <c r="K286" s="579"/>
      <c r="L286" s="579"/>
      <c r="M286" s="579"/>
      <c r="N286" s="579"/>
      <c r="O286" s="579"/>
      <c r="P286" s="555"/>
      <c r="Q286" s="580"/>
    </row>
    <row r="287">
      <c r="A287" s="578"/>
      <c r="B287" s="584" t="s">
        <v>788</v>
      </c>
      <c r="C287" s="168"/>
      <c r="D287" s="169"/>
      <c r="E287" s="557"/>
      <c r="F287" s="589"/>
      <c r="G287" s="589"/>
      <c r="H287" s="589"/>
      <c r="I287" s="589"/>
      <c r="J287" s="589"/>
      <c r="K287" s="589"/>
      <c r="L287" s="589"/>
      <c r="M287" s="589"/>
      <c r="N287" s="589"/>
      <c r="O287" s="589"/>
      <c r="P287" s="589"/>
      <c r="Q287" s="557"/>
    </row>
    <row r="288" ht="26.25" customHeight="1">
      <c r="A288" s="558" t="str">
        <f>Source!$B$6</f>
        <v/>
      </c>
      <c r="B288" s="559" t="str">
        <f>Source!$P$30</f>
        <v/>
      </c>
      <c r="C288" s="560" t="str">
        <f>Source!$B$7</f>
        <v/>
      </c>
      <c r="D288" s="561" t="s">
        <v>789</v>
      </c>
      <c r="E288" s="562"/>
      <c r="F288" s="585" t="s">
        <v>790</v>
      </c>
      <c r="G288" s="27"/>
      <c r="H288" s="27"/>
      <c r="I288" s="27"/>
      <c r="J288" s="27"/>
      <c r="K288" s="27"/>
      <c r="L288" s="27"/>
      <c r="M288" s="27"/>
      <c r="N288" s="27"/>
      <c r="O288" s="27"/>
      <c r="P288" s="27"/>
      <c r="Q288" s="588"/>
    </row>
    <row r="289" ht="26.25" customHeight="1">
      <c r="A289" s="558" t="str">
        <f>Source!$B$6</f>
        <v/>
      </c>
      <c r="B289" s="559" t="str">
        <f>IMAGE("https://i.ibb.co/By5PX7h/dice.png",4,28,28)</f>
        <v/>
      </c>
      <c r="C289" s="569"/>
      <c r="D289" s="570" t="s">
        <v>791</v>
      </c>
      <c r="E289" s="571"/>
      <c r="F289" s="572" t="s">
        <v>792</v>
      </c>
      <c r="G289" s="27"/>
      <c r="H289" s="27"/>
      <c r="I289" s="27"/>
      <c r="J289" s="27"/>
      <c r="K289" s="27"/>
      <c r="L289" s="27"/>
      <c r="M289" s="27"/>
      <c r="N289" s="27"/>
      <c r="O289" s="27"/>
      <c r="P289" s="27"/>
      <c r="Q289" s="31"/>
    </row>
    <row r="290" ht="26.25" customHeight="1">
      <c r="A290" s="558" t="str">
        <f>Source!$B$6</f>
        <v/>
      </c>
      <c r="B290" s="559" t="str">
        <f>Source!$AQ$204</f>
        <v/>
      </c>
      <c r="C290" s="560"/>
      <c r="D290" s="561" t="s">
        <v>793</v>
      </c>
      <c r="E290" s="562"/>
      <c r="F290" s="585" t="s">
        <v>794</v>
      </c>
      <c r="G290" s="27"/>
      <c r="H290" s="27"/>
      <c r="I290" s="27"/>
      <c r="J290" s="27"/>
      <c r="K290" s="27"/>
      <c r="L290" s="27"/>
      <c r="M290" s="27"/>
      <c r="N290" s="27"/>
      <c r="O290" s="27"/>
      <c r="P290" s="565"/>
      <c r="Q290" s="588"/>
    </row>
    <row r="291" ht="26.25" customHeight="1">
      <c r="A291" s="558" t="str">
        <f>Source!$B$6</f>
        <v/>
      </c>
      <c r="B291" s="559" t="str">
        <f>Source!$AN$6</f>
        <v/>
      </c>
      <c r="C291" s="569" t="str">
        <f>Source!$B$7</f>
        <v/>
      </c>
      <c r="D291" s="570" t="s">
        <v>795</v>
      </c>
      <c r="E291" s="571"/>
      <c r="F291" s="572" t="s">
        <v>796</v>
      </c>
      <c r="G291" s="27"/>
      <c r="H291" s="27"/>
      <c r="I291" s="27"/>
      <c r="J291" s="27"/>
      <c r="K291" s="27"/>
      <c r="L291" s="27"/>
      <c r="M291" s="27"/>
      <c r="N291" s="27"/>
      <c r="O291" s="27"/>
      <c r="P291" s="27"/>
      <c r="Q291" s="31"/>
    </row>
    <row r="292" ht="26.25" customHeight="1">
      <c r="A292" s="558" t="str">
        <f>Source!$B$6</f>
        <v/>
      </c>
      <c r="B292" s="559" t="str">
        <f>Source!$AB$41</f>
        <v/>
      </c>
      <c r="C292" s="560"/>
      <c r="D292" s="561" t="s">
        <v>797</v>
      </c>
      <c r="E292" s="562"/>
      <c r="F292" s="585" t="s">
        <v>798</v>
      </c>
      <c r="G292" s="27"/>
      <c r="H292" s="27"/>
      <c r="I292" s="27"/>
      <c r="J292" s="27"/>
      <c r="K292" s="27"/>
      <c r="L292" s="27"/>
      <c r="M292" s="27"/>
      <c r="N292" s="27"/>
      <c r="O292" s="565"/>
      <c r="P292" s="568"/>
      <c r="Q292" s="31"/>
    </row>
    <row r="293" ht="26.25" customHeight="1">
      <c r="A293" s="558" t="str">
        <f>Source!$B$6</f>
        <v/>
      </c>
      <c r="B293" s="559" t="str">
        <f>Source!$AN$51</f>
        <v/>
      </c>
      <c r="C293" s="569"/>
      <c r="D293" s="570" t="s">
        <v>799</v>
      </c>
      <c r="E293" s="571"/>
      <c r="F293" s="572" t="s">
        <v>800</v>
      </c>
      <c r="G293" s="27"/>
      <c r="H293" s="27"/>
      <c r="I293" s="27"/>
      <c r="J293" s="27"/>
      <c r="K293" s="27"/>
      <c r="L293" s="27"/>
      <c r="M293" s="27"/>
      <c r="N293" s="27"/>
      <c r="O293" s="565"/>
      <c r="P293" s="568"/>
      <c r="Q293" s="31"/>
    </row>
    <row r="294" ht="26.25" customHeight="1">
      <c r="A294" s="558" t="str">
        <f>Source!$B$6</f>
        <v/>
      </c>
      <c r="B294" s="559" t="str">
        <f>Source!$AH$4</f>
        <v/>
      </c>
      <c r="C294" s="560"/>
      <c r="D294" s="561" t="s">
        <v>620</v>
      </c>
      <c r="E294" s="562"/>
      <c r="F294" s="585" t="s">
        <v>801</v>
      </c>
      <c r="G294" s="27"/>
      <c r="H294" s="27"/>
      <c r="I294" s="27"/>
      <c r="J294" s="27"/>
      <c r="K294" s="27"/>
      <c r="L294" s="565"/>
      <c r="M294" s="568"/>
      <c r="N294" s="568"/>
      <c r="O294" s="568"/>
      <c r="P294" s="568"/>
      <c r="Q294" s="31"/>
    </row>
    <row r="295" ht="26.25" customHeight="1">
      <c r="A295" s="558" t="str">
        <f>Source!$B$6</f>
        <v/>
      </c>
      <c r="B295" s="559" t="str">
        <f>Source!$P$6</f>
        <v/>
      </c>
      <c r="C295" s="569" t="str">
        <f>Source!$B$7</f>
        <v/>
      </c>
      <c r="D295" s="600" t="s">
        <v>802</v>
      </c>
      <c r="E295" s="571"/>
      <c r="F295" s="572" t="s">
        <v>803</v>
      </c>
      <c r="G295" s="27"/>
      <c r="H295" s="27"/>
      <c r="I295" s="27"/>
      <c r="J295" s="27"/>
      <c r="K295" s="27"/>
      <c r="L295" s="27"/>
      <c r="M295" s="27"/>
      <c r="N295" s="27"/>
      <c r="O295" s="27"/>
      <c r="P295" s="565"/>
      <c r="Q295" s="31"/>
    </row>
    <row r="296" ht="26.25" customHeight="1">
      <c r="A296" s="558" t="str">
        <f>Source!$B$6</f>
        <v/>
      </c>
      <c r="B296" s="559" t="str">
        <f>Source!$D$11</f>
        <v/>
      </c>
      <c r="C296" s="560"/>
      <c r="D296" s="574" t="s">
        <v>804</v>
      </c>
      <c r="E296" s="562"/>
      <c r="F296" s="585" t="s">
        <v>805</v>
      </c>
      <c r="G296" s="27"/>
      <c r="H296" s="27"/>
      <c r="I296" s="27"/>
      <c r="J296" s="27"/>
      <c r="K296" s="565"/>
      <c r="L296" s="568"/>
      <c r="M296" s="568"/>
      <c r="N296" s="568"/>
      <c r="O296" s="568"/>
      <c r="P296" s="568"/>
      <c r="Q296" s="31"/>
    </row>
    <row r="297" ht="26.25" customHeight="1">
      <c r="A297" s="558" t="str">
        <f>Source!$B$6</f>
        <v/>
      </c>
      <c r="B297" s="559" t="str">
        <f>Source!$D$11</f>
        <v/>
      </c>
      <c r="C297" s="569"/>
      <c r="D297" s="601" t="s">
        <v>806</v>
      </c>
      <c r="E297" s="571"/>
      <c r="F297" s="572" t="s">
        <v>807</v>
      </c>
      <c r="G297" s="27"/>
      <c r="H297" s="27"/>
      <c r="I297" s="27"/>
      <c r="J297" s="27"/>
      <c r="K297" s="27"/>
      <c r="L297" s="27"/>
      <c r="M297" s="27"/>
      <c r="N297" s="27"/>
      <c r="O297" s="27"/>
      <c r="P297" s="27"/>
      <c r="Q297" s="31"/>
    </row>
    <row r="298" ht="26.25" customHeight="1">
      <c r="A298" s="558" t="str">
        <f>Source!$B$6</f>
        <v/>
      </c>
      <c r="B298" s="559" t="str">
        <f>Source!$D$9</f>
        <v/>
      </c>
      <c r="C298" s="560"/>
      <c r="D298" s="587" t="s">
        <v>808</v>
      </c>
      <c r="E298" s="562"/>
      <c r="F298" s="585" t="s">
        <v>809</v>
      </c>
      <c r="G298" s="27"/>
      <c r="H298" s="27"/>
      <c r="I298" s="27"/>
      <c r="J298" s="27"/>
      <c r="K298" s="27"/>
      <c r="L298" s="27"/>
      <c r="M298" s="27"/>
      <c r="N298" s="27"/>
      <c r="O298" s="27"/>
      <c r="P298" s="565"/>
      <c r="Q298" s="31"/>
    </row>
    <row r="299" ht="26.25" customHeight="1">
      <c r="A299" s="558" t="str">
        <f>Source!$B$6</f>
        <v/>
      </c>
      <c r="B299" s="559" t="str">
        <f>Source!$P$48</f>
        <v/>
      </c>
      <c r="C299" s="569"/>
      <c r="D299" s="570" t="s">
        <v>810</v>
      </c>
      <c r="E299" s="571"/>
      <c r="F299" s="609" t="s">
        <v>811</v>
      </c>
      <c r="G299" s="27"/>
      <c r="H299" s="27"/>
      <c r="I299" s="27"/>
      <c r="J299" s="27"/>
      <c r="K299" s="27"/>
      <c r="L299" s="27"/>
      <c r="M299" s="27"/>
      <c r="N299" s="27"/>
      <c r="O299" s="27"/>
      <c r="P299" s="565"/>
      <c r="Q299" s="31"/>
    </row>
    <row r="300" ht="26.25" customHeight="1">
      <c r="A300" s="558" t="str">
        <f>Source!$B$6</f>
        <v/>
      </c>
      <c r="B300" s="559" t="str">
        <f>Source!$AN$72</f>
        <v/>
      </c>
      <c r="C300" s="560"/>
      <c r="D300" s="561" t="s">
        <v>812</v>
      </c>
      <c r="E300" s="562"/>
      <c r="F300" s="608" t="s">
        <v>813</v>
      </c>
      <c r="G300" s="27"/>
      <c r="H300" s="27"/>
      <c r="I300" s="27"/>
      <c r="J300" s="27"/>
      <c r="K300" s="27"/>
      <c r="L300" s="27"/>
      <c r="M300" s="27"/>
      <c r="N300" s="27"/>
      <c r="O300" s="27"/>
      <c r="P300" s="27"/>
      <c r="Q300" s="31"/>
    </row>
    <row r="301" ht="7.5" customHeight="1">
      <c r="A301" s="578"/>
      <c r="B301" s="579"/>
      <c r="C301" s="579"/>
      <c r="D301" s="579"/>
      <c r="E301" s="579"/>
      <c r="F301" s="579"/>
      <c r="G301" s="579"/>
      <c r="H301" s="579"/>
      <c r="I301" s="579"/>
      <c r="J301" s="579"/>
      <c r="K301" s="579"/>
      <c r="L301" s="579"/>
      <c r="M301" s="579"/>
      <c r="N301" s="579"/>
      <c r="O301" s="579"/>
      <c r="P301" s="555"/>
      <c r="Q301" s="580"/>
    </row>
    <row r="302" ht="3.75" customHeight="1">
      <c r="A302" s="581"/>
      <c r="B302" s="582"/>
      <c r="C302" s="583"/>
      <c r="D302" s="583"/>
      <c r="E302" s="583"/>
      <c r="F302" s="583"/>
      <c r="G302" s="583"/>
      <c r="H302" s="583"/>
      <c r="I302" s="583"/>
      <c r="J302" s="583"/>
      <c r="K302" s="583"/>
      <c r="L302" s="583"/>
      <c r="M302" s="583"/>
      <c r="N302" s="583"/>
      <c r="O302" s="583"/>
      <c r="P302" s="583"/>
      <c r="Q302" s="580"/>
    </row>
    <row r="303" ht="7.5" customHeight="1">
      <c r="A303" s="578"/>
      <c r="B303" s="579"/>
      <c r="C303" s="579"/>
      <c r="D303" s="579"/>
      <c r="E303" s="579"/>
      <c r="F303" s="579"/>
      <c r="G303" s="579"/>
      <c r="H303" s="579"/>
      <c r="I303" s="579"/>
      <c r="J303" s="579"/>
      <c r="K303" s="579"/>
      <c r="L303" s="579"/>
      <c r="M303" s="579"/>
      <c r="N303" s="579"/>
      <c r="O303" s="579"/>
      <c r="P303" s="555"/>
      <c r="Q303" s="580"/>
    </row>
    <row r="304">
      <c r="A304" s="578"/>
      <c r="B304" s="584" t="s">
        <v>814</v>
      </c>
      <c r="C304" s="168"/>
      <c r="D304" s="169"/>
      <c r="E304" s="557"/>
      <c r="F304" s="589"/>
      <c r="G304" s="589"/>
      <c r="H304" s="589"/>
      <c r="I304" s="589"/>
      <c r="J304" s="589"/>
      <c r="K304" s="589"/>
      <c r="L304" s="589"/>
      <c r="M304" s="589"/>
      <c r="N304" s="589"/>
      <c r="O304" s="589"/>
      <c r="P304" s="589"/>
      <c r="Q304" s="557"/>
    </row>
    <row r="305" ht="26.25" customHeight="1">
      <c r="A305" s="558" t="str">
        <f>Source!$B$6</f>
        <v/>
      </c>
      <c r="B305" s="559" t="str">
        <f>Source!$AE$2</f>
        <v/>
      </c>
      <c r="C305" s="560" t="str">
        <f>Source!$B$7</f>
        <v/>
      </c>
      <c r="D305" s="561" t="s">
        <v>815</v>
      </c>
      <c r="E305" s="562"/>
      <c r="F305" s="585" t="s">
        <v>816</v>
      </c>
      <c r="G305" s="27"/>
      <c r="H305" s="27"/>
      <c r="I305" s="27"/>
      <c r="J305" s="27"/>
      <c r="K305" s="27"/>
      <c r="L305" s="27"/>
      <c r="M305" s="27"/>
      <c r="N305" s="27"/>
      <c r="O305" s="27"/>
      <c r="P305" s="27"/>
      <c r="Q305" s="588"/>
    </row>
    <row r="306" ht="26.25" customHeight="1">
      <c r="A306" s="558" t="str">
        <f>Source!$B$6</f>
        <v/>
      </c>
      <c r="B306" s="559" t="str">
        <f>Source!$AB$41</f>
        <v/>
      </c>
      <c r="C306" s="569"/>
      <c r="D306" s="570" t="s">
        <v>797</v>
      </c>
      <c r="E306" s="571"/>
      <c r="F306" s="572" t="s">
        <v>817</v>
      </c>
      <c r="G306" s="27"/>
      <c r="H306" s="27"/>
      <c r="I306" s="27"/>
      <c r="J306" s="27"/>
      <c r="K306" s="27"/>
      <c r="L306" s="27"/>
      <c r="M306" s="27"/>
      <c r="N306" s="27"/>
      <c r="O306" s="565"/>
      <c r="P306" s="568"/>
      <c r="Q306" s="31"/>
    </row>
    <row r="307" ht="26.25" customHeight="1">
      <c r="A307" s="558" t="str">
        <f>Source!$B$6</f>
        <v/>
      </c>
      <c r="B307" s="559" t="str">
        <f>Source!$D$16</f>
        <v/>
      </c>
      <c r="C307" s="560"/>
      <c r="D307" s="561" t="s">
        <v>818</v>
      </c>
      <c r="E307" s="562"/>
      <c r="F307" s="585" t="s">
        <v>819</v>
      </c>
      <c r="G307" s="27"/>
      <c r="H307" s="27"/>
      <c r="I307" s="27"/>
      <c r="J307" s="27"/>
      <c r="K307" s="27"/>
      <c r="L307" s="27"/>
      <c r="M307" s="27"/>
      <c r="N307" s="27"/>
      <c r="O307" s="565"/>
      <c r="P307" s="568"/>
      <c r="Q307" s="588"/>
    </row>
    <row r="308" ht="26.25" customHeight="1">
      <c r="A308" s="558" t="str">
        <f>Source!$B$6</f>
        <v/>
      </c>
      <c r="B308" s="559" t="str">
        <f>Source!$AH$7</f>
        <v/>
      </c>
      <c r="C308" s="569" t="str">
        <f>Source!$B$7</f>
        <v/>
      </c>
      <c r="D308" s="570" t="s">
        <v>534</v>
      </c>
      <c r="E308" s="571"/>
      <c r="F308" s="572" t="s">
        <v>820</v>
      </c>
      <c r="G308" s="27"/>
      <c r="H308" s="27"/>
      <c r="I308" s="27"/>
      <c r="J308" s="27"/>
      <c r="K308" s="27"/>
      <c r="L308" s="27"/>
      <c r="M308" s="565"/>
      <c r="N308" s="568"/>
      <c r="O308" s="568"/>
      <c r="P308" s="568"/>
      <c r="Q308" s="31"/>
    </row>
    <row r="309" ht="26.25" customHeight="1">
      <c r="A309" s="558" t="str">
        <f>Source!$B$6</f>
        <v/>
      </c>
      <c r="B309" s="559" t="str">
        <f>Source!$AB$44</f>
        <v/>
      </c>
      <c r="C309" s="560"/>
      <c r="D309" s="561" t="s">
        <v>566</v>
      </c>
      <c r="E309" s="562"/>
      <c r="F309" s="585" t="s">
        <v>821</v>
      </c>
      <c r="G309" s="27"/>
      <c r="H309" s="27"/>
      <c r="I309" s="27"/>
      <c r="J309" s="27"/>
      <c r="K309" s="27"/>
      <c r="L309" s="565"/>
      <c r="M309" s="568"/>
      <c r="N309" s="568"/>
      <c r="O309" s="568"/>
      <c r="P309" s="568"/>
      <c r="Q309" s="31"/>
    </row>
    <row r="310" ht="26.25" customHeight="1">
      <c r="A310" s="558" t="str">
        <f>Source!$B$6</f>
        <v/>
      </c>
      <c r="B310" s="559" t="str">
        <f>Source!$AN$11</f>
        <v/>
      </c>
      <c r="C310" s="569"/>
      <c r="D310" s="570" t="s">
        <v>822</v>
      </c>
      <c r="E310" s="571"/>
      <c r="F310" s="572" t="s">
        <v>823</v>
      </c>
      <c r="G310" s="27"/>
      <c r="H310" s="27"/>
      <c r="I310" s="27"/>
      <c r="J310" s="27"/>
      <c r="K310" s="27"/>
      <c r="L310" s="27"/>
      <c r="M310" s="27"/>
      <c r="N310" s="565"/>
      <c r="O310" s="568"/>
      <c r="P310" s="568"/>
      <c r="Q310" s="31"/>
    </row>
    <row r="311" ht="26.25" customHeight="1">
      <c r="A311" s="558" t="str">
        <f>Source!$B$6</f>
        <v/>
      </c>
      <c r="B311" s="559" t="str">
        <f>Source!$AB$30</f>
        <v/>
      </c>
      <c r="C311" s="560"/>
      <c r="D311" s="561" t="s">
        <v>661</v>
      </c>
      <c r="E311" s="562"/>
      <c r="F311" s="585" t="s">
        <v>824</v>
      </c>
      <c r="G311" s="27"/>
      <c r="H311" s="27"/>
      <c r="I311" s="27"/>
      <c r="J311" s="27"/>
      <c r="K311" s="27"/>
      <c r="L311" s="27"/>
      <c r="M311" s="27"/>
      <c r="N311" s="565"/>
      <c r="O311" s="568"/>
      <c r="P311" s="568"/>
      <c r="Q311" s="31"/>
    </row>
    <row r="312" ht="26.25" customHeight="1">
      <c r="A312" s="558" t="str">
        <f>Source!$B$6</f>
        <v/>
      </c>
      <c r="B312" s="559" t="str">
        <f>Source!$D$2</f>
        <v/>
      </c>
      <c r="C312" s="569" t="str">
        <f>Source!$B$7</f>
        <v/>
      </c>
      <c r="D312" s="600" t="s">
        <v>825</v>
      </c>
      <c r="E312" s="571"/>
      <c r="F312" s="572" t="s">
        <v>826</v>
      </c>
      <c r="G312" s="27"/>
      <c r="H312" s="27"/>
      <c r="I312" s="27"/>
      <c r="J312" s="27"/>
      <c r="K312" s="27"/>
      <c r="L312" s="27"/>
      <c r="M312" s="27"/>
      <c r="N312" s="27"/>
      <c r="O312" s="27"/>
      <c r="P312" s="27"/>
      <c r="Q312" s="31"/>
    </row>
    <row r="313" ht="26.25" customHeight="1">
      <c r="A313" s="558" t="str">
        <f>Source!$B$6</f>
        <v/>
      </c>
      <c r="B313" s="559" t="str">
        <f>Source!$AQ$96</f>
        <v/>
      </c>
      <c r="C313" s="560"/>
      <c r="D313" s="574" t="s">
        <v>827</v>
      </c>
      <c r="E313" s="562"/>
      <c r="F313" s="585" t="s">
        <v>828</v>
      </c>
      <c r="G313" s="27"/>
      <c r="H313" s="27"/>
      <c r="I313" s="27"/>
      <c r="J313" s="27"/>
      <c r="K313" s="27"/>
      <c r="L313" s="27"/>
      <c r="M313" s="27"/>
      <c r="N313" s="27"/>
      <c r="O313" s="565"/>
      <c r="P313" s="568"/>
      <c r="Q313" s="31"/>
    </row>
    <row r="314" ht="26.25" customHeight="1">
      <c r="A314" s="558" t="str">
        <f>Source!$B$6</f>
        <v/>
      </c>
      <c r="B314" s="559" t="str">
        <f>Source!$AN$103</f>
        <v/>
      </c>
      <c r="C314" s="569"/>
      <c r="D314" s="570" t="s">
        <v>829</v>
      </c>
      <c r="E314" s="571"/>
      <c r="F314" s="572" t="s">
        <v>830</v>
      </c>
      <c r="G314" s="27"/>
      <c r="H314" s="27"/>
      <c r="I314" s="27"/>
      <c r="J314" s="27"/>
      <c r="K314" s="27"/>
      <c r="L314" s="27"/>
      <c r="M314" s="27"/>
      <c r="N314" s="27"/>
      <c r="O314" s="565"/>
      <c r="P314" s="568"/>
      <c r="Q314" s="31"/>
    </row>
    <row r="315" ht="26.25" customHeight="1">
      <c r="A315" s="558" t="str">
        <f>Source!$B$6</f>
        <v/>
      </c>
      <c r="B315" s="559" t="str">
        <f>Source!$AK$23</f>
        <v/>
      </c>
      <c r="C315" s="560"/>
      <c r="D315" s="561" t="s">
        <v>572</v>
      </c>
      <c r="E315" s="562"/>
      <c r="F315" s="585" t="s">
        <v>831</v>
      </c>
      <c r="G315" s="27"/>
      <c r="H315" s="27"/>
      <c r="I315" s="27"/>
      <c r="J315" s="27"/>
      <c r="K315" s="27"/>
      <c r="L315" s="27"/>
      <c r="M315" s="565"/>
      <c r="N315" s="568"/>
      <c r="O315" s="568"/>
      <c r="P315" s="568"/>
      <c r="Q315" s="31"/>
    </row>
    <row r="316" ht="26.25" customHeight="1">
      <c r="A316" s="558" t="str">
        <f>Source!$B$6</f>
        <v/>
      </c>
      <c r="B316" s="559" t="str">
        <f>Source!$D$3</f>
        <v/>
      </c>
      <c r="C316" s="569"/>
      <c r="D316" s="600" t="s">
        <v>832</v>
      </c>
      <c r="E316" s="571"/>
      <c r="F316" s="572" t="s">
        <v>833</v>
      </c>
      <c r="G316" s="27"/>
      <c r="H316" s="27"/>
      <c r="I316" s="27"/>
      <c r="J316" s="27"/>
      <c r="K316" s="27"/>
      <c r="L316" s="27"/>
      <c r="M316" s="27"/>
      <c r="N316" s="565"/>
      <c r="O316" s="568"/>
      <c r="P316" s="568"/>
      <c r="Q316" s="31"/>
    </row>
    <row r="317" ht="26.25" customHeight="1">
      <c r="A317" s="558" t="str">
        <f>Source!$B$6</f>
        <v/>
      </c>
      <c r="B317" s="559" t="str">
        <f>Source!$AB$51</f>
        <v/>
      </c>
      <c r="C317" s="560"/>
      <c r="D317" s="561" t="s">
        <v>690</v>
      </c>
      <c r="E317" s="562"/>
      <c r="F317" s="585" t="s">
        <v>834</v>
      </c>
      <c r="G317" s="27"/>
      <c r="H317" s="27"/>
      <c r="I317" s="27"/>
      <c r="J317" s="27"/>
      <c r="K317" s="27"/>
      <c r="L317" s="27"/>
      <c r="M317" s="565"/>
      <c r="N317" s="568"/>
      <c r="O317" s="568"/>
      <c r="P317" s="568"/>
      <c r="Q317" s="31"/>
    </row>
    <row r="318" ht="26.25" customHeight="1">
      <c r="A318" s="558" t="str">
        <f>Source!$B$6</f>
        <v/>
      </c>
      <c r="B318" s="559" t="str">
        <f>Source!$AB$23</f>
        <v/>
      </c>
      <c r="C318" s="569" t="str">
        <f>Source!$B$7</f>
        <v/>
      </c>
      <c r="D318" s="570" t="s">
        <v>686</v>
      </c>
      <c r="E318" s="571"/>
      <c r="F318" s="572" t="s">
        <v>835</v>
      </c>
      <c r="G318" s="27"/>
      <c r="H318" s="27"/>
      <c r="I318" s="27"/>
      <c r="J318" s="27"/>
      <c r="K318" s="27"/>
      <c r="L318" s="27"/>
      <c r="M318" s="27"/>
      <c r="N318" s="27"/>
      <c r="O318" s="27"/>
      <c r="P318" s="27"/>
      <c r="Q318" s="31"/>
    </row>
    <row r="319" ht="26.25" customHeight="1">
      <c r="A319" s="558" t="str">
        <f>Source!$B$6</f>
        <v/>
      </c>
      <c r="B319" s="559" t="str">
        <f>Source!$AB$8</f>
        <v/>
      </c>
      <c r="C319" s="560"/>
      <c r="D319" s="561" t="s">
        <v>836</v>
      </c>
      <c r="E319" s="562"/>
      <c r="F319" s="585" t="s">
        <v>837</v>
      </c>
      <c r="G319" s="27"/>
      <c r="H319" s="27"/>
      <c r="I319" s="27"/>
      <c r="J319" s="27"/>
      <c r="K319" s="565"/>
      <c r="L319" s="568"/>
      <c r="M319" s="568"/>
      <c r="N319" s="568"/>
      <c r="O319" s="568"/>
      <c r="P319" s="568"/>
      <c r="Q319" s="31"/>
    </row>
    <row r="320" ht="26.25" customHeight="1">
      <c r="A320" s="558" t="str">
        <f>Source!$B$6</f>
        <v/>
      </c>
      <c r="B320" s="559" t="str">
        <f>Source!$Y$27</f>
        <v/>
      </c>
      <c r="C320" s="569"/>
      <c r="D320" s="570" t="s">
        <v>838</v>
      </c>
      <c r="E320" s="571"/>
      <c r="F320" s="572" t="s">
        <v>839</v>
      </c>
      <c r="G320" s="27"/>
      <c r="H320" s="27"/>
      <c r="I320" s="27"/>
      <c r="J320" s="27"/>
      <c r="K320" s="27"/>
      <c r="L320" s="27"/>
      <c r="M320" s="27"/>
      <c r="N320" s="27"/>
      <c r="O320" s="565"/>
      <c r="P320" s="568"/>
      <c r="Q320" s="31"/>
    </row>
    <row r="321" ht="26.25" customHeight="1">
      <c r="A321" s="558" t="str">
        <f>Source!$B$6</f>
        <v/>
      </c>
      <c r="B321" s="559" t="str">
        <f>Source!$Y$26</f>
        <v/>
      </c>
      <c r="C321" s="560"/>
      <c r="D321" s="561" t="s">
        <v>840</v>
      </c>
      <c r="E321" s="562"/>
      <c r="F321" s="585" t="s">
        <v>841</v>
      </c>
      <c r="G321" s="27"/>
      <c r="H321" s="27"/>
      <c r="I321" s="27"/>
      <c r="J321" s="27"/>
      <c r="K321" s="27"/>
      <c r="L321" s="27"/>
      <c r="M321" s="27"/>
      <c r="N321" s="27"/>
      <c r="O321" s="565"/>
      <c r="P321" s="568"/>
      <c r="Q321" s="31"/>
    </row>
    <row r="322" ht="26.25" customHeight="1">
      <c r="A322" s="558" t="str">
        <f>Source!$B$6</f>
        <v/>
      </c>
      <c r="B322" s="559" t="str">
        <f>Source!$AQ$185</f>
        <v/>
      </c>
      <c r="C322" s="569"/>
      <c r="D322" s="600" t="s">
        <v>842</v>
      </c>
      <c r="E322" s="571"/>
      <c r="F322" s="572" t="s">
        <v>843</v>
      </c>
      <c r="G322" s="27"/>
      <c r="H322" s="27"/>
      <c r="I322" s="27"/>
      <c r="J322" s="27"/>
      <c r="K322" s="27"/>
      <c r="L322" s="27"/>
      <c r="M322" s="27"/>
      <c r="N322" s="565"/>
      <c r="O322" s="568"/>
      <c r="P322" s="568"/>
      <c r="Q322" s="31"/>
    </row>
    <row r="323" ht="7.5" customHeight="1">
      <c r="A323" s="578"/>
      <c r="B323" s="579"/>
      <c r="C323" s="579"/>
      <c r="D323" s="579"/>
      <c r="E323" s="579"/>
      <c r="F323" s="579"/>
      <c r="G323" s="579"/>
      <c r="H323" s="579"/>
      <c r="I323" s="579"/>
      <c r="J323" s="579"/>
      <c r="K323" s="579"/>
      <c r="L323" s="579"/>
      <c r="M323" s="579"/>
      <c r="N323" s="579"/>
      <c r="O323" s="579"/>
      <c r="P323" s="555"/>
      <c r="Q323" s="580"/>
    </row>
    <row r="324" ht="3.75" customHeight="1">
      <c r="A324" s="581"/>
      <c r="B324" s="582"/>
      <c r="C324" s="583"/>
      <c r="D324" s="583"/>
      <c r="E324" s="583"/>
      <c r="F324" s="583"/>
      <c r="G324" s="583"/>
      <c r="H324" s="583"/>
      <c r="I324" s="583"/>
      <c r="J324" s="583"/>
      <c r="K324" s="583"/>
      <c r="L324" s="583"/>
      <c r="M324" s="583"/>
      <c r="N324" s="583"/>
      <c r="O324" s="583"/>
      <c r="P324" s="583"/>
      <c r="Q324" s="580"/>
    </row>
    <row r="325" ht="7.5" customHeight="1">
      <c r="A325" s="578"/>
      <c r="B325" s="579"/>
      <c r="C325" s="579"/>
      <c r="D325" s="579"/>
      <c r="E325" s="579"/>
      <c r="F325" s="579"/>
      <c r="G325" s="579"/>
      <c r="H325" s="579"/>
      <c r="I325" s="579"/>
      <c r="J325" s="579"/>
      <c r="K325" s="579"/>
      <c r="L325" s="579"/>
      <c r="M325" s="579"/>
      <c r="N325" s="579"/>
      <c r="O325" s="579"/>
      <c r="P325" s="555"/>
      <c r="Q325" s="580"/>
    </row>
    <row r="326">
      <c r="A326" s="578"/>
      <c r="B326" s="604" t="s">
        <v>844</v>
      </c>
      <c r="C326" s="168"/>
      <c r="D326" s="169"/>
      <c r="E326" s="557"/>
      <c r="F326" s="589"/>
      <c r="G326" s="589"/>
      <c r="H326" s="589"/>
      <c r="I326" s="589"/>
      <c r="J326" s="589"/>
      <c r="K326" s="589"/>
      <c r="L326" s="589"/>
      <c r="M326" s="589"/>
      <c r="N326" s="589"/>
      <c r="O326" s="589"/>
      <c r="P326" s="589"/>
      <c r="Q326" s="557"/>
    </row>
    <row r="327" ht="26.25" customHeight="1">
      <c r="A327" s="558" t="str">
        <f>Source!$B$6</f>
        <v/>
      </c>
      <c r="B327" s="559" t="str">
        <f>Source!$P$39</f>
        <v/>
      </c>
      <c r="C327" s="560" t="str">
        <f>Source!$B$7</f>
        <v/>
      </c>
      <c r="D327" s="574" t="s">
        <v>845</v>
      </c>
      <c r="E327" s="562"/>
      <c r="F327" s="585" t="s">
        <v>846</v>
      </c>
      <c r="G327" s="27"/>
      <c r="H327" s="27"/>
      <c r="I327" s="565"/>
      <c r="J327" s="568"/>
      <c r="K327" s="568"/>
      <c r="L327" s="568"/>
      <c r="M327" s="568"/>
      <c r="N327" s="568"/>
      <c r="O327" s="568"/>
      <c r="P327" s="568"/>
      <c r="Q327" s="588"/>
    </row>
    <row r="328" ht="26.25" customHeight="1">
      <c r="A328" s="558" t="str">
        <f>Source!$B$6</f>
        <v/>
      </c>
      <c r="B328" s="559" t="str">
        <f>Source!$AB$12</f>
        <v/>
      </c>
      <c r="C328" s="569"/>
      <c r="D328" s="570" t="s">
        <v>644</v>
      </c>
      <c r="E328" s="571"/>
      <c r="F328" s="572" t="s">
        <v>847</v>
      </c>
      <c r="G328" s="27"/>
      <c r="H328" s="27"/>
      <c r="I328" s="27"/>
      <c r="J328" s="27"/>
      <c r="K328" s="27"/>
      <c r="L328" s="27"/>
      <c r="M328" s="565"/>
      <c r="N328" s="568"/>
      <c r="O328" s="568"/>
      <c r="P328" s="568"/>
      <c r="Q328" s="31"/>
    </row>
    <row r="329" ht="26.25" customHeight="1">
      <c r="A329" s="558" t="str">
        <f>Source!$B$6</f>
        <v/>
      </c>
      <c r="B329" s="559" t="str">
        <f>Source!$AB$4</f>
        <v/>
      </c>
      <c r="C329" s="560"/>
      <c r="D329" s="561" t="s">
        <v>848</v>
      </c>
      <c r="E329" s="562"/>
      <c r="F329" s="585" t="s">
        <v>849</v>
      </c>
      <c r="G329" s="27"/>
      <c r="H329" s="27"/>
      <c r="I329" s="27"/>
      <c r="J329" s="27"/>
      <c r="K329" s="27"/>
      <c r="L329" s="27"/>
      <c r="M329" s="27"/>
      <c r="N329" s="565"/>
      <c r="O329" s="568"/>
      <c r="P329" s="568"/>
      <c r="Q329" s="588"/>
    </row>
    <row r="330" ht="26.25" customHeight="1">
      <c r="A330" s="558" t="str">
        <f>Source!$B$6</f>
        <v/>
      </c>
      <c r="B330" s="559" t="str">
        <f>Source!$Y$11</f>
        <v/>
      </c>
      <c r="C330" s="569" t="str">
        <f>Source!$B$7</f>
        <v/>
      </c>
      <c r="D330" s="570" t="s">
        <v>589</v>
      </c>
      <c r="E330" s="571"/>
      <c r="F330" s="572" t="s">
        <v>850</v>
      </c>
      <c r="G330" s="27"/>
      <c r="H330" s="27"/>
      <c r="I330" s="27"/>
      <c r="J330" s="27"/>
      <c r="K330" s="565"/>
      <c r="L330" s="568"/>
      <c r="M330" s="568"/>
      <c r="N330" s="568"/>
      <c r="O330" s="568"/>
      <c r="P330" s="568"/>
      <c r="Q330" s="31"/>
    </row>
    <row r="331" ht="26.25" customHeight="1">
      <c r="A331" s="558" t="str">
        <f>Source!$B$6</f>
        <v/>
      </c>
      <c r="B331" s="559" t="str">
        <f>Source!$AN$23</f>
        <v/>
      </c>
      <c r="C331" s="560"/>
      <c r="D331" s="561" t="s">
        <v>851</v>
      </c>
      <c r="E331" s="562"/>
      <c r="F331" s="585" t="s">
        <v>852</v>
      </c>
      <c r="G331" s="27"/>
      <c r="H331" s="27"/>
      <c r="I331" s="27"/>
      <c r="J331" s="27"/>
      <c r="K331" s="27"/>
      <c r="L331" s="27"/>
      <c r="M331" s="27"/>
      <c r="N331" s="565"/>
      <c r="O331" s="568"/>
      <c r="P331" s="568"/>
      <c r="Q331" s="31"/>
    </row>
    <row r="332" ht="26.25" customHeight="1">
      <c r="A332" s="558" t="str">
        <f>Source!$B$6</f>
        <v/>
      </c>
      <c r="B332" s="559" t="str">
        <f>Source!$AH$3</f>
        <v/>
      </c>
      <c r="C332" s="569"/>
      <c r="D332" s="570" t="s">
        <v>853</v>
      </c>
      <c r="E332" s="571"/>
      <c r="F332" s="572" t="s">
        <v>854</v>
      </c>
      <c r="G332" s="27"/>
      <c r="H332" s="27"/>
      <c r="I332" s="27"/>
      <c r="J332" s="27"/>
      <c r="K332" s="565"/>
      <c r="L332" s="568"/>
      <c r="M332" s="568"/>
      <c r="N332" s="568"/>
      <c r="O332" s="568"/>
      <c r="P332" s="568"/>
      <c r="Q332" s="31"/>
    </row>
    <row r="333" ht="26.25" customHeight="1">
      <c r="A333" s="558" t="str">
        <f>Source!$B$6</f>
        <v/>
      </c>
      <c r="B333" s="559" t="str">
        <f>Source!$AH$7</f>
        <v/>
      </c>
      <c r="C333" s="560"/>
      <c r="D333" s="561" t="s">
        <v>534</v>
      </c>
      <c r="E333" s="562"/>
      <c r="F333" s="585" t="s">
        <v>855</v>
      </c>
      <c r="G333" s="27"/>
      <c r="H333" s="27"/>
      <c r="I333" s="27"/>
      <c r="J333" s="27"/>
      <c r="K333" s="565"/>
      <c r="L333" s="568"/>
      <c r="M333" s="568"/>
      <c r="N333" s="568"/>
      <c r="O333" s="568"/>
      <c r="P333" s="568"/>
      <c r="Q333" s="31"/>
    </row>
    <row r="334" ht="26.25" customHeight="1">
      <c r="A334" s="558" t="str">
        <f>Source!$B$6</f>
        <v/>
      </c>
      <c r="B334" s="559" t="str">
        <f>Source!$D$8</f>
        <v/>
      </c>
      <c r="C334" s="569" t="str">
        <f>Source!$B$7</f>
        <v/>
      </c>
      <c r="D334" s="600" t="s">
        <v>856</v>
      </c>
      <c r="E334" s="571"/>
      <c r="F334" s="572" t="s">
        <v>857</v>
      </c>
      <c r="G334" s="27"/>
      <c r="H334" s="27"/>
      <c r="I334" s="27"/>
      <c r="J334" s="27"/>
      <c r="K334" s="565"/>
      <c r="L334" s="568"/>
      <c r="M334" s="568"/>
      <c r="N334" s="568"/>
      <c r="O334" s="568"/>
      <c r="P334" s="568"/>
      <c r="Q334" s="31"/>
    </row>
    <row r="335" ht="26.25" customHeight="1">
      <c r="A335" s="558" t="str">
        <f>Source!$B$6</f>
        <v/>
      </c>
      <c r="B335" s="559" t="str">
        <f>Source!$AB$44</f>
        <v/>
      </c>
      <c r="C335" s="560"/>
      <c r="D335" s="561" t="s">
        <v>566</v>
      </c>
      <c r="E335" s="562"/>
      <c r="F335" s="585" t="s">
        <v>858</v>
      </c>
      <c r="G335" s="27"/>
      <c r="H335" s="27"/>
      <c r="I335" s="27"/>
      <c r="J335" s="27"/>
      <c r="K335" s="565"/>
      <c r="L335" s="568"/>
      <c r="M335" s="568"/>
      <c r="N335" s="568"/>
      <c r="O335" s="568"/>
      <c r="P335" s="568"/>
      <c r="Q335" s="31"/>
    </row>
    <row r="336" ht="26.25" customHeight="1">
      <c r="A336" s="558" t="str">
        <f>Source!$B$6</f>
        <v/>
      </c>
      <c r="B336" s="559" t="str">
        <f>Source!$AK$29</f>
        <v/>
      </c>
      <c r="C336" s="569"/>
      <c r="D336" s="570" t="s">
        <v>859</v>
      </c>
      <c r="E336" s="571"/>
      <c r="F336" s="572" t="s">
        <v>860</v>
      </c>
      <c r="G336" s="27"/>
      <c r="H336" s="27"/>
      <c r="I336" s="27"/>
      <c r="J336" s="27"/>
      <c r="K336" s="27"/>
      <c r="L336" s="27"/>
      <c r="M336" s="27"/>
      <c r="N336" s="27"/>
      <c r="O336" s="27"/>
      <c r="P336" s="565"/>
      <c r="Q336" s="31"/>
    </row>
    <row r="337" ht="26.25" customHeight="1">
      <c r="A337" s="558" t="str">
        <f>Source!$B$6</f>
        <v/>
      </c>
      <c r="B337" s="559" t="str">
        <f>Source!$AN$96</f>
        <v/>
      </c>
      <c r="C337" s="560"/>
      <c r="D337" s="561" t="s">
        <v>861</v>
      </c>
      <c r="E337" s="562"/>
      <c r="F337" s="585" t="s">
        <v>862</v>
      </c>
      <c r="G337" s="27"/>
      <c r="H337" s="27"/>
      <c r="I337" s="27"/>
      <c r="J337" s="27"/>
      <c r="K337" s="27"/>
      <c r="L337" s="27"/>
      <c r="M337" s="27"/>
      <c r="N337" s="27"/>
      <c r="O337" s="27"/>
      <c r="P337" s="27"/>
      <c r="Q337" s="31"/>
    </row>
    <row r="338" ht="26.25" customHeight="1">
      <c r="A338" s="558" t="str">
        <f>Source!$B$6</f>
        <v/>
      </c>
      <c r="B338" s="559" t="str">
        <f>Source!$M$10</f>
        <v/>
      </c>
      <c r="C338" s="569"/>
      <c r="D338" s="570" t="s">
        <v>863</v>
      </c>
      <c r="E338" s="571"/>
      <c r="F338" s="572" t="s">
        <v>864</v>
      </c>
      <c r="G338" s="27"/>
      <c r="H338" s="27"/>
      <c r="I338" s="27"/>
      <c r="J338" s="27"/>
      <c r="K338" s="27"/>
      <c r="L338" s="27"/>
      <c r="M338" s="27"/>
      <c r="N338" s="27"/>
      <c r="O338" s="27"/>
      <c r="P338" s="27"/>
      <c r="Q338" s="31"/>
    </row>
    <row r="339" ht="26.25" customHeight="1">
      <c r="A339" s="558" t="str">
        <f>Source!$B$6</f>
        <v/>
      </c>
      <c r="B339" s="559" t="str">
        <f>Source!$S$23</f>
        <v/>
      </c>
      <c r="C339" s="560"/>
      <c r="D339" s="561" t="s">
        <v>865</v>
      </c>
      <c r="E339" s="562"/>
      <c r="F339" s="585" t="s">
        <v>866</v>
      </c>
      <c r="G339" s="27"/>
      <c r="H339" s="27"/>
      <c r="I339" s="27"/>
      <c r="J339" s="27"/>
      <c r="K339" s="27"/>
      <c r="L339" s="27"/>
      <c r="M339" s="27"/>
      <c r="N339" s="27"/>
      <c r="O339" s="27"/>
      <c r="P339" s="565"/>
      <c r="Q339" s="31"/>
    </row>
    <row r="340" ht="26.25" customHeight="1">
      <c r="A340" s="558" t="str">
        <f>Source!$B$6</f>
        <v/>
      </c>
      <c r="B340" s="559" t="str">
        <f>Source!$S$13</f>
        <v/>
      </c>
      <c r="C340" s="569" t="str">
        <f>Source!$B$7</f>
        <v/>
      </c>
      <c r="D340" s="570" t="s">
        <v>867</v>
      </c>
      <c r="E340" s="571"/>
      <c r="F340" s="572" t="s">
        <v>868</v>
      </c>
      <c r="G340" s="27"/>
      <c r="H340" s="27"/>
      <c r="I340" s="27"/>
      <c r="J340" s="27"/>
      <c r="K340" s="27"/>
      <c r="L340" s="27"/>
      <c r="M340" s="27"/>
      <c r="N340" s="27"/>
      <c r="O340" s="27"/>
      <c r="P340" s="565"/>
      <c r="Q340" s="31"/>
    </row>
    <row r="341" ht="26.25" customHeight="1">
      <c r="A341" s="558" t="str">
        <f>Source!$B$6</f>
        <v/>
      </c>
      <c r="B341" s="559" t="str">
        <f>Source!$S$21</f>
        <v/>
      </c>
      <c r="C341" s="560"/>
      <c r="D341" s="561" t="s">
        <v>869</v>
      </c>
      <c r="E341" s="562"/>
      <c r="F341" s="585" t="s">
        <v>870</v>
      </c>
      <c r="G341" s="27"/>
      <c r="H341" s="27"/>
      <c r="I341" s="27"/>
      <c r="J341" s="27"/>
      <c r="K341" s="27"/>
      <c r="L341" s="27"/>
      <c r="M341" s="27"/>
      <c r="N341" s="27"/>
      <c r="O341" s="27"/>
      <c r="P341" s="565"/>
      <c r="Q341" s="31"/>
    </row>
    <row r="342" ht="7.5" customHeight="1">
      <c r="A342" s="578"/>
      <c r="B342" s="579"/>
      <c r="C342" s="579"/>
      <c r="D342" s="579"/>
      <c r="E342" s="579"/>
      <c r="F342" s="579"/>
      <c r="G342" s="579"/>
      <c r="H342" s="579"/>
      <c r="I342" s="579"/>
      <c r="J342" s="579"/>
      <c r="K342" s="579"/>
      <c r="L342" s="579"/>
      <c r="M342" s="579"/>
      <c r="N342" s="579"/>
      <c r="O342" s="579"/>
      <c r="P342" s="555"/>
      <c r="Q342" s="580"/>
    </row>
    <row r="343" ht="3.75" customHeight="1">
      <c r="A343" s="581"/>
      <c r="B343" s="582"/>
      <c r="C343" s="583"/>
      <c r="D343" s="583"/>
      <c r="E343" s="583"/>
      <c r="F343" s="583"/>
      <c r="G343" s="583"/>
      <c r="H343" s="583"/>
      <c r="I343" s="583"/>
      <c r="J343" s="583"/>
      <c r="K343" s="583"/>
      <c r="L343" s="583"/>
      <c r="M343" s="583"/>
      <c r="N343" s="583"/>
      <c r="O343" s="583"/>
      <c r="P343" s="583"/>
      <c r="Q343" s="580"/>
    </row>
    <row r="344" ht="7.5" customHeight="1">
      <c r="A344" s="578"/>
      <c r="B344" s="579"/>
      <c r="C344" s="579"/>
      <c r="D344" s="579"/>
      <c r="E344" s="579"/>
      <c r="F344" s="579"/>
      <c r="G344" s="579"/>
      <c r="H344" s="579"/>
      <c r="I344" s="579"/>
      <c r="J344" s="579"/>
      <c r="K344" s="579"/>
      <c r="L344" s="579"/>
      <c r="M344" s="579"/>
      <c r="N344" s="579"/>
      <c r="O344" s="579"/>
      <c r="P344" s="555"/>
      <c r="Q344" s="580"/>
    </row>
    <row r="345">
      <c r="A345" s="578"/>
      <c r="B345" s="604" t="s">
        <v>871</v>
      </c>
      <c r="C345" s="168"/>
      <c r="D345" s="169"/>
      <c r="E345" s="557"/>
      <c r="F345" s="589"/>
      <c r="G345" s="589"/>
      <c r="H345" s="589"/>
      <c r="I345" s="589"/>
      <c r="J345" s="589"/>
      <c r="K345" s="589"/>
      <c r="L345" s="589"/>
      <c r="M345" s="589"/>
      <c r="N345" s="589"/>
      <c r="O345" s="589"/>
      <c r="P345" s="589"/>
      <c r="Q345" s="557"/>
    </row>
    <row r="346" ht="26.25" customHeight="1">
      <c r="A346" s="558" t="str">
        <f>Source!$B$6</f>
        <v/>
      </c>
      <c r="B346" s="559" t="str">
        <f>Source!$D$16</f>
        <v/>
      </c>
      <c r="C346" s="560" t="str">
        <f>Source!$B$7</f>
        <v/>
      </c>
      <c r="D346" s="574" t="s">
        <v>872</v>
      </c>
      <c r="E346" s="562"/>
      <c r="F346" s="585" t="s">
        <v>873</v>
      </c>
      <c r="G346" s="27"/>
      <c r="H346" s="27"/>
      <c r="I346" s="27"/>
      <c r="J346" s="27"/>
      <c r="K346" s="27"/>
      <c r="L346" s="27"/>
      <c r="M346" s="27"/>
      <c r="N346" s="27"/>
      <c r="O346" s="565"/>
      <c r="P346" s="568"/>
      <c r="Q346" s="588"/>
    </row>
    <row r="347" ht="26.25" customHeight="1">
      <c r="A347" s="558" t="str">
        <f>Source!$B$6</f>
        <v/>
      </c>
      <c r="B347" s="559" t="str">
        <f>Source!$D$7</f>
        <v/>
      </c>
      <c r="C347" s="569"/>
      <c r="D347" s="600" t="s">
        <v>874</v>
      </c>
      <c r="E347" s="571"/>
      <c r="F347" s="572" t="s">
        <v>875</v>
      </c>
      <c r="G347" s="27"/>
      <c r="H347" s="27"/>
      <c r="I347" s="27"/>
      <c r="J347" s="27"/>
      <c r="K347" s="27"/>
      <c r="L347" s="565"/>
      <c r="M347" s="568"/>
      <c r="N347" s="568"/>
      <c r="O347" s="568"/>
      <c r="P347" s="568"/>
      <c r="Q347" s="31"/>
    </row>
    <row r="348" ht="26.25" customHeight="1">
      <c r="A348" s="558" t="str">
        <f>Source!$B$6</f>
        <v/>
      </c>
      <c r="B348" s="559" t="str">
        <f>Source!$AN$33</f>
        <v/>
      </c>
      <c r="C348" s="560"/>
      <c r="D348" s="561" t="s">
        <v>876</v>
      </c>
      <c r="E348" s="562"/>
      <c r="F348" s="585" t="s">
        <v>875</v>
      </c>
      <c r="G348" s="27"/>
      <c r="H348" s="27"/>
      <c r="I348" s="27"/>
      <c r="J348" s="27"/>
      <c r="K348" s="27"/>
      <c r="L348" s="565"/>
      <c r="M348" s="568"/>
      <c r="N348" s="568"/>
      <c r="O348" s="568"/>
      <c r="P348" s="568"/>
      <c r="Q348" s="588"/>
    </row>
    <row r="349" ht="26.25" customHeight="1">
      <c r="A349" s="558" t="str">
        <f>Source!$B$6</f>
        <v/>
      </c>
      <c r="B349" s="559" t="str">
        <f>Source!$AQ$115</f>
        <v/>
      </c>
      <c r="C349" s="569" t="str">
        <f>Source!$B$7</f>
        <v/>
      </c>
      <c r="D349" s="600" t="s">
        <v>877</v>
      </c>
      <c r="E349" s="571"/>
      <c r="F349" s="572" t="s">
        <v>878</v>
      </c>
      <c r="G349" s="27"/>
      <c r="H349" s="27"/>
      <c r="I349" s="27"/>
      <c r="J349" s="27"/>
      <c r="K349" s="27"/>
      <c r="L349" s="27"/>
      <c r="M349" s="27"/>
      <c r="N349" s="27"/>
      <c r="O349" s="27"/>
      <c r="P349" s="565"/>
      <c r="Q349" s="31"/>
    </row>
    <row r="350" ht="26.25" customHeight="1">
      <c r="A350" s="558" t="str">
        <f>Source!$B$6</f>
        <v/>
      </c>
      <c r="B350" s="559" t="str">
        <f>Source!$D$16</f>
        <v/>
      </c>
      <c r="C350" s="560"/>
      <c r="D350" s="574" t="s">
        <v>879</v>
      </c>
      <c r="E350" s="562"/>
      <c r="F350" s="585" t="s">
        <v>880</v>
      </c>
      <c r="G350" s="27"/>
      <c r="H350" s="27"/>
      <c r="I350" s="27"/>
      <c r="J350" s="27"/>
      <c r="K350" s="27"/>
      <c r="L350" s="27"/>
      <c r="M350" s="565"/>
      <c r="N350" s="568"/>
      <c r="O350" s="568"/>
      <c r="P350" s="568"/>
      <c r="Q350" s="31"/>
    </row>
    <row r="351" ht="26.25" customHeight="1">
      <c r="A351" s="558" t="str">
        <f>Source!$B$6</f>
        <v/>
      </c>
      <c r="B351" s="559" t="str">
        <f>Source!$D$16</f>
        <v/>
      </c>
      <c r="C351" s="569"/>
      <c r="D351" s="570" t="s">
        <v>781</v>
      </c>
      <c r="E351" s="571"/>
      <c r="F351" s="572" t="s">
        <v>881</v>
      </c>
      <c r="G351" s="27"/>
      <c r="H351" s="27"/>
      <c r="I351" s="27"/>
      <c r="J351" s="27"/>
      <c r="K351" s="27"/>
      <c r="L351" s="27"/>
      <c r="M351" s="565"/>
      <c r="N351" s="568"/>
      <c r="O351" s="568"/>
      <c r="P351" s="568"/>
      <c r="Q351" s="31"/>
    </row>
    <row r="352" ht="26.25" customHeight="1">
      <c r="A352" s="610" t="str">
        <f>Source!$B$6</f>
        <v/>
      </c>
      <c r="B352" s="611" t="str">
        <f>Source!$AQ$184</f>
        <v/>
      </c>
      <c r="C352" s="612"/>
      <c r="D352" s="613" t="s">
        <v>882</v>
      </c>
      <c r="E352" s="614"/>
      <c r="F352" s="563" t="s">
        <v>883</v>
      </c>
      <c r="G352" s="139"/>
      <c r="H352" s="139"/>
      <c r="I352" s="139"/>
      <c r="J352" s="139"/>
      <c r="K352" s="139"/>
      <c r="L352" s="139"/>
      <c r="M352" s="139"/>
      <c r="N352" s="139"/>
      <c r="O352" s="139"/>
      <c r="P352" s="139"/>
      <c r="Q352" s="31"/>
    </row>
    <row r="353" ht="7.5" customHeight="1">
      <c r="A353" s="615"/>
      <c r="B353" s="616"/>
      <c r="C353" s="617"/>
      <c r="D353" s="618"/>
      <c r="E353" s="618"/>
      <c r="F353" s="619"/>
      <c r="G353" s="620"/>
      <c r="H353" s="620"/>
      <c r="I353" s="620"/>
      <c r="J353" s="620"/>
      <c r="K353" s="620"/>
      <c r="L353" s="620"/>
      <c r="M353" s="620"/>
      <c r="N353" s="620"/>
      <c r="O353" s="620"/>
      <c r="P353" s="620"/>
      <c r="Q353" s="31"/>
    </row>
    <row r="354" ht="26.25" customHeight="1">
      <c r="A354" s="610" t="str">
        <f>Source!$B$6</f>
        <v/>
      </c>
      <c r="B354" s="611" t="str">
        <f>Source!$P$18</f>
        <v/>
      </c>
      <c r="C354" s="621"/>
      <c r="D354" s="622" t="s">
        <v>884</v>
      </c>
      <c r="E354" s="623"/>
      <c r="F354" s="624" t="s">
        <v>885</v>
      </c>
      <c r="G354" s="139"/>
      <c r="H354" s="139"/>
      <c r="I354" s="139"/>
      <c r="J354" s="139"/>
      <c r="K354" s="139"/>
      <c r="L354" s="139"/>
      <c r="M354" s="139"/>
      <c r="N354" s="139"/>
      <c r="O354" s="139"/>
      <c r="P354" s="139"/>
      <c r="Q354" s="31"/>
    </row>
    <row r="355" ht="7.5" customHeight="1">
      <c r="A355" s="615"/>
      <c r="B355" s="616"/>
      <c r="C355" s="625"/>
      <c r="D355" s="626"/>
      <c r="E355" s="626"/>
      <c r="F355" s="627"/>
      <c r="G355" s="620"/>
      <c r="H355" s="620"/>
      <c r="I355" s="620"/>
      <c r="J355" s="620"/>
      <c r="K355" s="620"/>
      <c r="L355" s="620"/>
      <c r="M355" s="620"/>
      <c r="N355" s="620"/>
      <c r="O355" s="620"/>
      <c r="P355" s="620"/>
      <c r="Q355" s="31"/>
    </row>
    <row r="356" ht="26.25" customHeight="1">
      <c r="A356" s="610" t="str">
        <f>Source!$B$6</f>
        <v/>
      </c>
      <c r="B356" s="611" t="str">
        <f>Source!$AN$37</f>
        <v/>
      </c>
      <c r="C356" s="612"/>
      <c r="D356" s="613" t="s">
        <v>886</v>
      </c>
      <c r="E356" s="614"/>
      <c r="F356" s="563" t="s">
        <v>887</v>
      </c>
      <c r="G356" s="139"/>
      <c r="H356" s="139"/>
      <c r="I356" s="139"/>
      <c r="J356" s="139"/>
      <c r="K356" s="139"/>
      <c r="L356" s="139"/>
      <c r="M356" s="139"/>
      <c r="N356" s="139"/>
      <c r="O356" s="139"/>
      <c r="P356" s="139"/>
      <c r="Q356" s="31"/>
    </row>
    <row r="357" ht="7.5" customHeight="1">
      <c r="A357" s="615"/>
      <c r="B357" s="616"/>
      <c r="C357" s="617"/>
      <c r="D357" s="618"/>
      <c r="E357" s="618"/>
      <c r="F357" s="619"/>
      <c r="G357" s="620"/>
      <c r="H357" s="620"/>
      <c r="I357" s="620"/>
      <c r="J357" s="620"/>
      <c r="K357" s="620"/>
      <c r="L357" s="620"/>
      <c r="M357" s="620"/>
      <c r="N357" s="620"/>
      <c r="O357" s="620"/>
      <c r="P357" s="620"/>
      <c r="Q357" s="31"/>
    </row>
    <row r="358" ht="26.25" customHeight="1">
      <c r="A358" s="610" t="str">
        <f>Source!$B$6</f>
        <v/>
      </c>
      <c r="B358" s="611" t="str">
        <f>Source!$P$44</f>
        <v/>
      </c>
      <c r="C358" s="621"/>
      <c r="D358" s="622" t="s">
        <v>888</v>
      </c>
      <c r="E358" s="623"/>
      <c r="F358" s="624" t="s">
        <v>889</v>
      </c>
      <c r="G358" s="139"/>
      <c r="H358" s="139"/>
      <c r="I358" s="139"/>
      <c r="J358" s="139"/>
      <c r="K358" s="139"/>
      <c r="L358" s="139"/>
      <c r="M358" s="139"/>
      <c r="N358" s="139"/>
      <c r="O358" s="139"/>
      <c r="P358" s="139"/>
      <c r="Q358" s="31"/>
    </row>
    <row r="359" ht="7.5" customHeight="1">
      <c r="A359" s="615"/>
      <c r="B359" s="616"/>
      <c r="C359" s="625"/>
      <c r="D359" s="626"/>
      <c r="E359" s="626"/>
      <c r="F359" s="627"/>
      <c r="G359" s="620"/>
      <c r="H359" s="620"/>
      <c r="I359" s="620"/>
      <c r="J359" s="620"/>
      <c r="K359" s="620"/>
      <c r="L359" s="620"/>
      <c r="M359" s="620"/>
      <c r="N359" s="620"/>
      <c r="O359" s="620"/>
      <c r="P359" s="620"/>
      <c r="Q359" s="31"/>
    </row>
    <row r="360" ht="26.25" customHeight="1">
      <c r="A360" s="610" t="str">
        <f>Source!$B$6</f>
        <v/>
      </c>
      <c r="B360" s="611" t="str">
        <f>Source!$AN$60</f>
        <v/>
      </c>
      <c r="C360" s="612"/>
      <c r="D360" s="613" t="s">
        <v>890</v>
      </c>
      <c r="E360" s="614"/>
      <c r="F360" s="563" t="s">
        <v>889</v>
      </c>
      <c r="G360" s="139"/>
      <c r="H360" s="139"/>
      <c r="I360" s="139"/>
      <c r="J360" s="139"/>
      <c r="K360" s="139"/>
      <c r="L360" s="139"/>
      <c r="M360" s="139"/>
      <c r="N360" s="139"/>
      <c r="O360" s="139"/>
      <c r="P360" s="139"/>
      <c r="Q360" s="31"/>
    </row>
    <row r="361" ht="7.5" customHeight="1">
      <c r="A361" s="615"/>
      <c r="B361" s="616"/>
      <c r="C361" s="617"/>
      <c r="D361" s="618"/>
      <c r="E361" s="618"/>
      <c r="F361" s="619"/>
      <c r="G361" s="620"/>
      <c r="H361" s="620"/>
      <c r="I361" s="620"/>
      <c r="J361" s="620"/>
      <c r="K361" s="620"/>
      <c r="L361" s="620"/>
      <c r="M361" s="620"/>
      <c r="N361" s="620"/>
      <c r="O361" s="620"/>
      <c r="P361" s="620"/>
      <c r="Q361" s="31"/>
    </row>
    <row r="362" ht="26.25" customHeight="1">
      <c r="A362" s="558" t="str">
        <f>Source!$B$6</f>
        <v/>
      </c>
      <c r="B362" s="559" t="str">
        <f>Source!$D$12</f>
        <v/>
      </c>
      <c r="C362" s="569"/>
      <c r="D362" s="570" t="s">
        <v>891</v>
      </c>
      <c r="E362" s="571"/>
      <c r="F362" s="572" t="s">
        <v>892</v>
      </c>
      <c r="G362" s="27"/>
      <c r="H362" s="27"/>
      <c r="I362" s="27"/>
      <c r="J362" s="27"/>
      <c r="K362" s="27"/>
      <c r="L362" s="27"/>
      <c r="M362" s="27"/>
      <c r="N362" s="27"/>
      <c r="O362" s="27"/>
      <c r="P362" s="27"/>
      <c r="Q362" s="31"/>
    </row>
    <row r="363" ht="26.25" customHeight="1">
      <c r="A363" s="610" t="str">
        <f>Source!$B$6</f>
        <v/>
      </c>
      <c r="B363" s="611" t="str">
        <f>Source!$P$46</f>
        <v/>
      </c>
      <c r="C363" s="612"/>
      <c r="D363" s="613" t="s">
        <v>893</v>
      </c>
      <c r="E363" s="614"/>
      <c r="F363" s="563" t="s">
        <v>894</v>
      </c>
      <c r="G363" s="139"/>
      <c r="H363" s="139"/>
      <c r="I363" s="139"/>
      <c r="J363" s="139"/>
      <c r="K363" s="139"/>
      <c r="L363" s="139"/>
      <c r="M363" s="139"/>
      <c r="N363" s="139"/>
      <c r="O363" s="139"/>
      <c r="P363" s="139"/>
      <c r="Q363" s="31"/>
    </row>
    <row r="364" ht="7.5" customHeight="1">
      <c r="A364" s="615"/>
      <c r="B364" s="616"/>
      <c r="C364" s="617"/>
      <c r="D364" s="618"/>
      <c r="E364" s="618"/>
      <c r="F364" s="619"/>
      <c r="G364" s="620"/>
      <c r="H364" s="620"/>
      <c r="I364" s="620"/>
      <c r="J364" s="620"/>
      <c r="K364" s="620"/>
      <c r="L364" s="620"/>
      <c r="M364" s="620"/>
      <c r="N364" s="620"/>
      <c r="O364" s="620"/>
      <c r="P364" s="620"/>
      <c r="Q364" s="31"/>
    </row>
    <row r="365" ht="26.25" customHeight="1">
      <c r="A365" s="558" t="str">
        <f>Source!$B$6</f>
        <v/>
      </c>
      <c r="B365" s="559" t="str">
        <f>Source!$AH$7</f>
        <v/>
      </c>
      <c r="C365" s="569"/>
      <c r="D365" s="570" t="s">
        <v>534</v>
      </c>
      <c r="E365" s="571"/>
      <c r="F365" s="572" t="s">
        <v>895</v>
      </c>
      <c r="G365" s="27"/>
      <c r="H365" s="27"/>
      <c r="I365" s="27"/>
      <c r="J365" s="27"/>
      <c r="K365" s="27"/>
      <c r="L365" s="27"/>
      <c r="M365" s="27"/>
      <c r="N365" s="27"/>
      <c r="O365" s="27"/>
      <c r="P365" s="565"/>
      <c r="Q365" s="31"/>
    </row>
    <row r="366" ht="26.25" customHeight="1">
      <c r="A366" s="610" t="str">
        <f>Source!$B$6</f>
        <v/>
      </c>
      <c r="B366" s="611" t="str">
        <f>Source!$S$36</f>
        <v/>
      </c>
      <c r="C366" s="612"/>
      <c r="D366" s="613" t="s">
        <v>896</v>
      </c>
      <c r="E366" s="614"/>
      <c r="F366" s="563" t="s">
        <v>897</v>
      </c>
      <c r="G366" s="139"/>
      <c r="H366" s="139"/>
      <c r="I366" s="139"/>
      <c r="J366" s="139"/>
      <c r="K366" s="139"/>
      <c r="L366" s="139"/>
      <c r="M366" s="139"/>
      <c r="N366" s="139"/>
      <c r="O366" s="139"/>
      <c r="P366" s="139"/>
      <c r="Q366" s="31"/>
    </row>
    <row r="367" ht="7.5" customHeight="1">
      <c r="A367" s="615"/>
      <c r="B367" s="616"/>
      <c r="C367" s="617"/>
      <c r="D367" s="618"/>
      <c r="E367" s="618"/>
      <c r="F367" s="619"/>
      <c r="G367" s="620"/>
      <c r="H367" s="620"/>
      <c r="I367" s="620"/>
      <c r="J367" s="620"/>
      <c r="K367" s="620"/>
      <c r="L367" s="620"/>
      <c r="M367" s="620"/>
      <c r="N367" s="620"/>
      <c r="O367" s="620"/>
      <c r="P367" s="620"/>
      <c r="Q367" s="31"/>
    </row>
    <row r="368" ht="26.25" customHeight="1">
      <c r="A368" s="558" t="str">
        <f>Source!$B$6</f>
        <v/>
      </c>
      <c r="B368" s="559" t="str">
        <f>Source!$AN$68</f>
        <v/>
      </c>
      <c r="C368" s="569"/>
      <c r="D368" s="570" t="s">
        <v>898</v>
      </c>
      <c r="E368" s="571"/>
      <c r="F368" s="628" t="s">
        <v>899</v>
      </c>
      <c r="G368" s="27"/>
      <c r="H368" s="27"/>
      <c r="I368" s="27"/>
      <c r="J368" s="27"/>
      <c r="K368" s="27"/>
      <c r="L368" s="27"/>
      <c r="M368" s="27"/>
      <c r="N368" s="27"/>
      <c r="O368" s="27"/>
      <c r="P368" s="27"/>
      <c r="Q368" s="31"/>
    </row>
    <row r="369" ht="7.5" customHeight="1">
      <c r="A369" s="578"/>
      <c r="B369" s="579"/>
      <c r="C369" s="579"/>
      <c r="D369" s="579"/>
      <c r="E369" s="579"/>
      <c r="F369" s="579"/>
      <c r="G369" s="579"/>
      <c r="H369" s="579"/>
      <c r="I369" s="579"/>
      <c r="J369" s="579"/>
      <c r="K369" s="579"/>
      <c r="L369" s="579"/>
      <c r="M369" s="579"/>
      <c r="N369" s="579"/>
      <c r="O369" s="579"/>
      <c r="P369" s="555"/>
      <c r="Q369" s="580"/>
    </row>
    <row r="370" ht="3.75" customHeight="1">
      <c r="A370" s="581"/>
      <c r="B370" s="582"/>
      <c r="C370" s="583"/>
      <c r="D370" s="583"/>
      <c r="E370" s="583"/>
      <c r="F370" s="583"/>
      <c r="G370" s="583"/>
      <c r="H370" s="583"/>
      <c r="I370" s="583"/>
      <c r="J370" s="583"/>
      <c r="K370" s="583"/>
      <c r="L370" s="583"/>
      <c r="M370" s="583"/>
      <c r="N370" s="583"/>
      <c r="O370" s="583"/>
      <c r="P370" s="583"/>
      <c r="Q370" s="580"/>
    </row>
    <row r="371" ht="7.5" customHeight="1">
      <c r="A371" s="578"/>
      <c r="B371" s="579"/>
      <c r="C371" s="579"/>
      <c r="D371" s="579"/>
      <c r="E371" s="579"/>
      <c r="F371" s="579"/>
      <c r="G371" s="579"/>
      <c r="H371" s="579"/>
      <c r="I371" s="579"/>
      <c r="J371" s="579"/>
      <c r="K371" s="579"/>
      <c r="L371" s="579"/>
      <c r="M371" s="579"/>
      <c r="N371" s="579"/>
      <c r="O371" s="579"/>
      <c r="P371" s="555"/>
      <c r="Q371" s="580"/>
    </row>
    <row r="372">
      <c r="A372" s="578"/>
      <c r="B372" s="604" t="s">
        <v>900</v>
      </c>
      <c r="C372" s="168"/>
      <c r="D372" s="169"/>
      <c r="E372" s="557"/>
      <c r="F372" s="589"/>
      <c r="G372" s="589"/>
      <c r="H372" s="589"/>
      <c r="I372" s="589"/>
      <c r="J372" s="589"/>
      <c r="K372" s="589"/>
      <c r="L372" s="589"/>
      <c r="M372" s="589"/>
      <c r="N372" s="589"/>
      <c r="O372" s="589"/>
      <c r="P372" s="589"/>
      <c r="Q372" s="557"/>
    </row>
    <row r="373" ht="26.25" customHeight="1">
      <c r="A373" s="558" t="str">
        <f>Source!$B$6</f>
        <v/>
      </c>
      <c r="B373" s="559" t="str">
        <f>Source!$D$14</f>
        <v/>
      </c>
      <c r="C373" s="560" t="str">
        <f>Source!$B$7</f>
        <v/>
      </c>
      <c r="D373" s="574" t="s">
        <v>901</v>
      </c>
      <c r="E373" s="562"/>
      <c r="F373" s="585" t="s">
        <v>902</v>
      </c>
      <c r="G373" s="27"/>
      <c r="H373" s="27"/>
      <c r="I373" s="27"/>
      <c r="J373" s="27"/>
      <c r="K373" s="27"/>
      <c r="L373" s="565"/>
      <c r="M373" s="568"/>
      <c r="N373" s="568"/>
      <c r="O373" s="568"/>
      <c r="P373" s="568"/>
      <c r="Q373" s="588"/>
    </row>
    <row r="374" ht="26.25" customHeight="1">
      <c r="A374" s="558" t="str">
        <f>Source!$B$6</f>
        <v/>
      </c>
      <c r="B374" s="559" t="str">
        <f>Source!$D$5</f>
        <v/>
      </c>
      <c r="C374" s="569"/>
      <c r="D374" s="600" t="s">
        <v>903</v>
      </c>
      <c r="E374" s="571"/>
      <c r="F374" s="572" t="s">
        <v>904</v>
      </c>
      <c r="G374" s="27"/>
      <c r="H374" s="27"/>
      <c r="I374" s="27"/>
      <c r="J374" s="27"/>
      <c r="K374" s="27"/>
      <c r="L374" s="27"/>
      <c r="M374" s="27"/>
      <c r="N374" s="27"/>
      <c r="O374" s="565"/>
      <c r="P374" s="568"/>
      <c r="Q374" s="31"/>
    </row>
    <row r="375" ht="26.25" customHeight="1">
      <c r="A375" s="610" t="str">
        <f>Source!$B$6</f>
        <v/>
      </c>
      <c r="B375" s="611" t="str">
        <f>Source!$Y$38</f>
        <v/>
      </c>
      <c r="C375" s="612"/>
      <c r="D375" s="629" t="s">
        <v>905</v>
      </c>
      <c r="E375" s="614"/>
      <c r="F375" s="563" t="s">
        <v>906</v>
      </c>
      <c r="G375" s="139"/>
      <c r="H375" s="139"/>
      <c r="I375" s="139"/>
      <c r="J375" s="139"/>
      <c r="K375" s="139"/>
      <c r="L375" s="139"/>
      <c r="M375" s="139"/>
      <c r="N375" s="139"/>
      <c r="O375" s="139"/>
      <c r="P375" s="139"/>
      <c r="Q375" s="588"/>
    </row>
    <row r="376" ht="7.5" customHeight="1">
      <c r="A376" s="615"/>
      <c r="B376" s="616"/>
      <c r="C376" s="617"/>
      <c r="D376" s="618"/>
      <c r="E376" s="618"/>
      <c r="F376" s="619"/>
      <c r="G376" s="620"/>
      <c r="H376" s="620"/>
      <c r="I376" s="620"/>
      <c r="J376" s="620"/>
      <c r="K376" s="620"/>
      <c r="L376" s="620"/>
      <c r="M376" s="620"/>
      <c r="N376" s="620"/>
      <c r="O376" s="620"/>
      <c r="P376" s="620"/>
      <c r="Q376" s="588"/>
    </row>
    <row r="377" ht="26.25" customHeight="1">
      <c r="A377" s="558" t="str">
        <f>Source!$B$6</f>
        <v/>
      </c>
      <c r="B377" s="559" t="str">
        <f>Source!$AB$42</f>
        <v/>
      </c>
      <c r="C377" s="569" t="str">
        <f>Source!$B$7</f>
        <v/>
      </c>
      <c r="D377" s="570" t="s">
        <v>907</v>
      </c>
      <c r="E377" s="571"/>
      <c r="F377" s="572" t="s">
        <v>908</v>
      </c>
      <c r="G377" s="27"/>
      <c r="H377" s="27"/>
      <c r="I377" s="27"/>
      <c r="J377" s="27"/>
      <c r="K377" s="27"/>
      <c r="L377" s="27"/>
      <c r="M377" s="27"/>
      <c r="N377" s="27"/>
      <c r="O377" s="565"/>
      <c r="P377" s="568"/>
      <c r="Q377" s="31"/>
    </row>
    <row r="378" ht="26.25" customHeight="1">
      <c r="A378" s="610" t="str">
        <f>Source!$B$6</f>
        <v/>
      </c>
      <c r="B378" s="611" t="str">
        <f>Source!$AB$23</f>
        <v/>
      </c>
      <c r="C378" s="612"/>
      <c r="D378" s="629" t="s">
        <v>686</v>
      </c>
      <c r="E378" s="614"/>
      <c r="F378" s="563" t="s">
        <v>909</v>
      </c>
      <c r="G378" s="139"/>
      <c r="H378" s="139"/>
      <c r="I378" s="139"/>
      <c r="J378" s="139"/>
      <c r="K378" s="139"/>
      <c r="L378" s="139"/>
      <c r="M378" s="139"/>
      <c r="N378" s="630"/>
      <c r="O378" s="631"/>
      <c r="P378" s="631"/>
      <c r="Q378" s="31"/>
    </row>
    <row r="379" ht="7.5" customHeight="1">
      <c r="A379" s="615"/>
      <c r="B379" s="616"/>
      <c r="C379" s="617"/>
      <c r="D379" s="618"/>
      <c r="E379" s="618"/>
      <c r="F379" s="619"/>
      <c r="G379" s="620"/>
      <c r="H379" s="620"/>
      <c r="I379" s="620"/>
      <c r="J379" s="620"/>
      <c r="K379" s="620"/>
      <c r="L379" s="620"/>
      <c r="M379" s="620"/>
      <c r="N379" s="615"/>
      <c r="O379" s="620"/>
      <c r="P379" s="620"/>
      <c r="Q379" s="31"/>
    </row>
    <row r="380" ht="26.25" customHeight="1">
      <c r="A380" s="558" t="str">
        <f>Source!$B$6</f>
        <v/>
      </c>
      <c r="B380" s="559" t="str">
        <f>Source!$AB$25</f>
        <v/>
      </c>
      <c r="C380" s="569"/>
      <c r="D380" s="570" t="s">
        <v>910</v>
      </c>
      <c r="E380" s="571"/>
      <c r="F380" s="572" t="s">
        <v>911</v>
      </c>
      <c r="G380" s="27"/>
      <c r="H380" s="27"/>
      <c r="I380" s="27"/>
      <c r="J380" s="27"/>
      <c r="K380" s="27"/>
      <c r="L380" s="27"/>
      <c r="M380" s="27"/>
      <c r="N380" s="27"/>
      <c r="O380" s="565"/>
      <c r="P380" s="568"/>
      <c r="Q380" s="31"/>
    </row>
    <row r="381" ht="26.25" customHeight="1">
      <c r="A381" s="558" t="str">
        <f>Source!$B$6</f>
        <v/>
      </c>
      <c r="B381" s="559" t="str">
        <f>Source!$D$19</f>
        <v/>
      </c>
      <c r="C381" s="560"/>
      <c r="D381" s="561" t="s">
        <v>912</v>
      </c>
      <c r="E381" s="562"/>
      <c r="F381" s="585" t="s">
        <v>913</v>
      </c>
      <c r="G381" s="27"/>
      <c r="H381" s="27"/>
      <c r="I381" s="27"/>
      <c r="J381" s="27"/>
      <c r="K381" s="27"/>
      <c r="L381" s="27"/>
      <c r="M381" s="565"/>
      <c r="N381" s="568"/>
      <c r="O381" s="568"/>
      <c r="P381" s="568"/>
      <c r="Q381" s="31"/>
    </row>
    <row r="382" ht="26.25" customHeight="1">
      <c r="A382" s="558" t="str">
        <f>Source!$B$6</f>
        <v/>
      </c>
      <c r="B382" s="559" t="str">
        <f>Source!$AB$17</f>
        <v/>
      </c>
      <c r="C382" s="569" t="str">
        <f>Source!$B$7</f>
        <v/>
      </c>
      <c r="D382" s="570" t="s">
        <v>914</v>
      </c>
      <c r="E382" s="571"/>
      <c r="F382" s="572" t="s">
        <v>915</v>
      </c>
      <c r="G382" s="27"/>
      <c r="H382" s="27"/>
      <c r="I382" s="27"/>
      <c r="J382" s="27"/>
      <c r="K382" s="27"/>
      <c r="L382" s="27"/>
      <c r="M382" s="27"/>
      <c r="N382" s="565"/>
      <c r="O382" s="568"/>
      <c r="P382" s="568"/>
      <c r="Q382" s="31"/>
    </row>
    <row r="383" ht="26.25" customHeight="1">
      <c r="A383" s="558" t="str">
        <f>Source!$B$6</f>
        <v/>
      </c>
      <c r="B383" s="559" t="str">
        <f>Source!$AB$33</f>
        <v/>
      </c>
      <c r="C383" s="560"/>
      <c r="D383" s="561" t="s">
        <v>916</v>
      </c>
      <c r="E383" s="562"/>
      <c r="F383" s="585" t="s">
        <v>915</v>
      </c>
      <c r="G383" s="27"/>
      <c r="H383" s="27"/>
      <c r="I383" s="27"/>
      <c r="J383" s="27"/>
      <c r="K383" s="27"/>
      <c r="L383" s="27"/>
      <c r="M383" s="27"/>
      <c r="N383" s="565"/>
      <c r="O383" s="568"/>
      <c r="P383" s="568"/>
      <c r="Q383" s="31"/>
    </row>
    <row r="384" ht="26.25" customHeight="1">
      <c r="A384" s="558" t="str">
        <f>Source!$B$6</f>
        <v/>
      </c>
      <c r="B384" s="559" t="str">
        <f>Source!$P$39</f>
        <v/>
      </c>
      <c r="C384" s="569"/>
      <c r="D384" s="600" t="s">
        <v>917</v>
      </c>
      <c r="E384" s="571"/>
      <c r="F384" s="572" t="s">
        <v>915</v>
      </c>
      <c r="G384" s="27"/>
      <c r="H384" s="27"/>
      <c r="I384" s="27"/>
      <c r="J384" s="27"/>
      <c r="K384" s="27"/>
      <c r="L384" s="27"/>
      <c r="M384" s="27"/>
      <c r="N384" s="565"/>
      <c r="O384" s="568"/>
      <c r="P384" s="568"/>
      <c r="Q384" s="31"/>
    </row>
    <row r="385" ht="26.25" customHeight="1">
      <c r="A385" s="558" t="str">
        <f>Source!$B$6</f>
        <v/>
      </c>
      <c r="B385" s="559" t="str">
        <f>Source!$AQ$24</f>
        <v/>
      </c>
      <c r="C385" s="560"/>
      <c r="D385" s="561" t="s">
        <v>918</v>
      </c>
      <c r="E385" s="562"/>
      <c r="F385" s="585" t="s">
        <v>919</v>
      </c>
      <c r="G385" s="27"/>
      <c r="H385" s="27"/>
      <c r="I385" s="27"/>
      <c r="J385" s="27"/>
      <c r="K385" s="27"/>
      <c r="L385" s="27"/>
      <c r="M385" s="565"/>
      <c r="N385" s="568"/>
      <c r="O385" s="568"/>
      <c r="P385" s="568"/>
      <c r="Q385" s="31"/>
    </row>
    <row r="386" ht="26.25" customHeight="1">
      <c r="A386" s="558" t="str">
        <f>Source!$B$6</f>
        <v/>
      </c>
      <c r="B386" s="559" t="str">
        <f>Source!$AB$41</f>
        <v/>
      </c>
      <c r="C386" s="569"/>
      <c r="D386" s="570" t="s">
        <v>797</v>
      </c>
      <c r="E386" s="571"/>
      <c r="F386" s="572" t="s">
        <v>920</v>
      </c>
      <c r="G386" s="27"/>
      <c r="H386" s="27"/>
      <c r="I386" s="27"/>
      <c r="J386" s="27"/>
      <c r="K386" s="27"/>
      <c r="L386" s="27"/>
      <c r="M386" s="565"/>
      <c r="N386" s="568"/>
      <c r="O386" s="568"/>
      <c r="P386" s="568"/>
      <c r="Q386" s="31"/>
    </row>
    <row r="387" ht="26.25" customHeight="1">
      <c r="A387" s="558" t="str">
        <f>Source!$B$6</f>
        <v/>
      </c>
      <c r="B387" s="559" t="str">
        <f>Source!$AB$12</f>
        <v/>
      </c>
      <c r="C387" s="560"/>
      <c r="D387" s="561" t="s">
        <v>644</v>
      </c>
      <c r="E387" s="562"/>
      <c r="F387" s="585" t="s">
        <v>921</v>
      </c>
      <c r="G387" s="27"/>
      <c r="H387" s="27"/>
      <c r="I387" s="27"/>
      <c r="J387" s="27"/>
      <c r="K387" s="27"/>
      <c r="L387" s="27"/>
      <c r="M387" s="27"/>
      <c r="N387" s="27"/>
      <c r="O387" s="27"/>
      <c r="P387" s="27"/>
      <c r="Q387" s="31"/>
    </row>
    <row r="388" ht="26.25" customHeight="1">
      <c r="A388" s="558" t="str">
        <f>Source!$B$6</f>
        <v/>
      </c>
      <c r="B388" s="559" t="str">
        <f>Source!$AB$42</f>
        <v/>
      </c>
      <c r="C388" s="569" t="str">
        <f>Source!$B$7</f>
        <v/>
      </c>
      <c r="D388" s="570" t="s">
        <v>907</v>
      </c>
      <c r="E388" s="571"/>
      <c r="F388" s="572" t="s">
        <v>922</v>
      </c>
      <c r="G388" s="27"/>
      <c r="H388" s="27"/>
      <c r="I388" s="27"/>
      <c r="J388" s="27"/>
      <c r="K388" s="27"/>
      <c r="L388" s="27"/>
      <c r="M388" s="27"/>
      <c r="N388" s="27"/>
      <c r="O388" s="27"/>
      <c r="P388" s="27"/>
      <c r="Q388" s="31"/>
    </row>
    <row r="389" ht="26.25" customHeight="1">
      <c r="A389" s="558" t="str">
        <f>Source!$B$6</f>
        <v/>
      </c>
      <c r="B389" s="559" t="str">
        <f>Source!$D$7</f>
        <v/>
      </c>
      <c r="C389" s="560"/>
      <c r="D389" s="561" t="s">
        <v>923</v>
      </c>
      <c r="E389" s="562"/>
      <c r="F389" s="585" t="s">
        <v>924</v>
      </c>
      <c r="G389" s="27"/>
      <c r="H389" s="27"/>
      <c r="I389" s="27"/>
      <c r="J389" s="27"/>
      <c r="K389" s="27"/>
      <c r="L389" s="27"/>
      <c r="M389" s="27"/>
      <c r="N389" s="565"/>
      <c r="O389" s="568"/>
      <c r="P389" s="568"/>
      <c r="Q389" s="31"/>
    </row>
    <row r="390" ht="26.25" customHeight="1">
      <c r="A390" s="558" t="str">
        <f>Source!$B$6</f>
        <v/>
      </c>
      <c r="B390" s="559" t="str">
        <f>Source!$AB$9</f>
        <v/>
      </c>
      <c r="C390" s="569" t="str">
        <f>Source!$B$7</f>
        <v/>
      </c>
      <c r="D390" s="570" t="s">
        <v>925</v>
      </c>
      <c r="E390" s="571"/>
      <c r="F390" s="572" t="s">
        <v>926</v>
      </c>
      <c r="G390" s="27"/>
      <c r="H390" s="27"/>
      <c r="I390" s="27"/>
      <c r="J390" s="27"/>
      <c r="K390" s="27"/>
      <c r="L390" s="27"/>
      <c r="M390" s="27"/>
      <c r="N390" s="565"/>
      <c r="O390" s="568"/>
      <c r="P390" s="568"/>
      <c r="Q390" s="31"/>
    </row>
    <row r="391" ht="26.25" customHeight="1">
      <c r="A391" s="558" t="str">
        <f>Source!$B$6</f>
        <v/>
      </c>
      <c r="B391" s="559" t="str">
        <f>Source!$AB$22</f>
        <v/>
      </c>
      <c r="C391" s="560"/>
      <c r="D391" s="561" t="s">
        <v>927</v>
      </c>
      <c r="E391" s="562"/>
      <c r="F391" s="585" t="s">
        <v>928</v>
      </c>
      <c r="G391" s="27"/>
      <c r="H391" s="27"/>
      <c r="I391" s="27"/>
      <c r="J391" s="27"/>
      <c r="K391" s="27"/>
      <c r="L391" s="27"/>
      <c r="M391" s="27"/>
      <c r="N391" s="565"/>
      <c r="O391" s="568"/>
      <c r="P391" s="568"/>
      <c r="Q391" s="31"/>
    </row>
    <row r="392" ht="26.25" customHeight="1">
      <c r="A392" s="558" t="str">
        <f>Source!$B$6</f>
        <v/>
      </c>
      <c r="B392" s="559" t="str">
        <f>Source!$P$9</f>
        <v/>
      </c>
      <c r="C392" s="569"/>
      <c r="D392" s="600" t="s">
        <v>929</v>
      </c>
      <c r="E392" s="571"/>
      <c r="F392" s="572" t="s">
        <v>930</v>
      </c>
      <c r="G392" s="27"/>
      <c r="H392" s="27"/>
      <c r="I392" s="27"/>
      <c r="J392" s="27"/>
      <c r="K392" s="27"/>
      <c r="L392" s="27"/>
      <c r="M392" s="27"/>
      <c r="N392" s="565"/>
      <c r="O392" s="568"/>
      <c r="P392" s="568"/>
      <c r="Q392" s="31"/>
    </row>
    <row r="393" ht="26.25" customHeight="1">
      <c r="A393" s="558" t="str">
        <f>Source!$B$6</f>
        <v/>
      </c>
      <c r="B393" s="559" t="str">
        <f>Source!$AB$54</f>
        <v/>
      </c>
      <c r="C393" s="560"/>
      <c r="D393" s="561" t="s">
        <v>931</v>
      </c>
      <c r="E393" s="562"/>
      <c r="F393" s="585" t="s">
        <v>932</v>
      </c>
      <c r="G393" s="27"/>
      <c r="H393" s="27"/>
      <c r="I393" s="27"/>
      <c r="J393" s="27"/>
      <c r="K393" s="27"/>
      <c r="L393" s="27"/>
      <c r="M393" s="27"/>
      <c r="N393" s="27"/>
      <c r="O393" s="27"/>
      <c r="P393" s="27"/>
      <c r="Q393" s="31"/>
    </row>
    <row r="394" ht="26.25" customHeight="1">
      <c r="A394" s="558" t="str">
        <f>Source!$B$6</f>
        <v/>
      </c>
      <c r="B394" s="559" t="str">
        <f>Source!$D$16</f>
        <v/>
      </c>
      <c r="C394" s="569"/>
      <c r="D394" s="570" t="s">
        <v>933</v>
      </c>
      <c r="E394" s="571"/>
      <c r="F394" s="572" t="s">
        <v>934</v>
      </c>
      <c r="G394" s="27"/>
      <c r="H394" s="27"/>
      <c r="I394" s="27"/>
      <c r="J394" s="27"/>
      <c r="K394" s="27"/>
      <c r="L394" s="27"/>
      <c r="M394" s="565"/>
      <c r="N394" s="568"/>
      <c r="O394" s="568"/>
      <c r="P394" s="568"/>
      <c r="Q394" s="31"/>
    </row>
    <row r="395" ht="26.25" customHeight="1">
      <c r="A395" s="558" t="str">
        <f>Source!$B$6</f>
        <v/>
      </c>
      <c r="B395" s="559" t="str">
        <f>Source!$P$26</f>
        <v/>
      </c>
      <c r="C395" s="560"/>
      <c r="D395" s="561" t="s">
        <v>935</v>
      </c>
      <c r="E395" s="562"/>
      <c r="F395" s="585" t="s">
        <v>936</v>
      </c>
      <c r="G395" s="27"/>
      <c r="H395" s="27"/>
      <c r="I395" s="27"/>
      <c r="J395" s="27"/>
      <c r="K395" s="27"/>
      <c r="L395" s="27"/>
      <c r="M395" s="27"/>
      <c r="N395" s="565"/>
      <c r="O395" s="568"/>
      <c r="P395" s="568"/>
      <c r="Q395" s="31"/>
    </row>
    <row r="396" ht="26.25" customHeight="1">
      <c r="A396" s="558" t="str">
        <f>Source!$B$6</f>
        <v/>
      </c>
      <c r="B396" s="559" t="str">
        <f>Source!$AB$25</f>
        <v/>
      </c>
      <c r="C396" s="569" t="str">
        <f>Source!$B$7</f>
        <v/>
      </c>
      <c r="D396" s="570" t="s">
        <v>910</v>
      </c>
      <c r="E396" s="571"/>
      <c r="F396" s="572" t="s">
        <v>937</v>
      </c>
      <c r="G396" s="27"/>
      <c r="H396" s="27"/>
      <c r="I396" s="27"/>
      <c r="J396" s="27"/>
      <c r="K396" s="27"/>
      <c r="L396" s="565"/>
      <c r="M396" s="568"/>
      <c r="N396" s="568"/>
      <c r="O396" s="568"/>
      <c r="P396" s="568"/>
      <c r="Q396" s="31"/>
    </row>
    <row r="397" ht="26.25" customHeight="1">
      <c r="A397" s="558" t="str">
        <f>Source!$B$6</f>
        <v/>
      </c>
      <c r="B397" s="559" t="str">
        <f>Source!$AH$7</f>
        <v/>
      </c>
      <c r="C397" s="560"/>
      <c r="D397" s="561" t="s">
        <v>534</v>
      </c>
      <c r="E397" s="562"/>
      <c r="F397" s="585" t="s">
        <v>938</v>
      </c>
      <c r="G397" s="27"/>
      <c r="H397" s="27"/>
      <c r="I397" s="27"/>
      <c r="J397" s="27"/>
      <c r="K397" s="27"/>
      <c r="L397" s="27"/>
      <c r="M397" s="27"/>
      <c r="N397" s="27"/>
      <c r="O397" s="565"/>
      <c r="P397" s="568"/>
      <c r="Q397" s="31"/>
    </row>
    <row r="398" ht="26.25" customHeight="1">
      <c r="A398" s="610" t="str">
        <f>Source!$B$6</f>
        <v/>
      </c>
      <c r="B398" s="611" t="str">
        <f>Source!$AB$32</f>
        <v/>
      </c>
      <c r="C398" s="621"/>
      <c r="D398" s="622" t="s">
        <v>939</v>
      </c>
      <c r="E398" s="623"/>
      <c r="F398" s="624" t="s">
        <v>940</v>
      </c>
      <c r="G398" s="139"/>
      <c r="H398" s="139"/>
      <c r="I398" s="139"/>
      <c r="J398" s="139"/>
      <c r="K398" s="139"/>
      <c r="L398" s="139"/>
      <c r="M398" s="139"/>
      <c r="N398" s="139"/>
      <c r="O398" s="139"/>
      <c r="P398" s="139"/>
      <c r="Q398" s="31"/>
    </row>
    <row r="399" ht="7.5" customHeight="1">
      <c r="A399" s="615"/>
      <c r="B399" s="616"/>
      <c r="C399" s="625"/>
      <c r="D399" s="626"/>
      <c r="E399" s="626"/>
      <c r="F399" s="627"/>
      <c r="G399" s="620"/>
      <c r="H399" s="620"/>
      <c r="I399" s="620"/>
      <c r="J399" s="620"/>
      <c r="K399" s="620"/>
      <c r="L399" s="620"/>
      <c r="M399" s="620"/>
      <c r="N399" s="620"/>
      <c r="O399" s="620"/>
      <c r="P399" s="620"/>
      <c r="Q399" s="31"/>
    </row>
    <row r="400" ht="26.25" customHeight="1">
      <c r="A400" s="558" t="str">
        <f>Source!$B$6</f>
        <v/>
      </c>
      <c r="B400" s="559" t="str">
        <f>Source!$AB$8</f>
        <v/>
      </c>
      <c r="C400" s="560"/>
      <c r="D400" s="561" t="s">
        <v>941</v>
      </c>
      <c r="E400" s="562"/>
      <c r="F400" s="585" t="s">
        <v>942</v>
      </c>
      <c r="G400" s="27"/>
      <c r="H400" s="27"/>
      <c r="I400" s="27"/>
      <c r="J400" s="27"/>
      <c r="K400" s="27"/>
      <c r="L400" s="27"/>
      <c r="M400" s="27"/>
      <c r="N400" s="27"/>
      <c r="O400" s="27"/>
      <c r="P400" s="27"/>
      <c r="Q400" s="31"/>
    </row>
    <row r="401" ht="26.25" customHeight="1">
      <c r="A401" s="558" t="str">
        <f>Source!$B$6</f>
        <v/>
      </c>
      <c r="B401" s="559" t="str">
        <f>Source!$AB$22</f>
        <v/>
      </c>
      <c r="C401" s="569" t="str">
        <f>Source!$B$7</f>
        <v/>
      </c>
      <c r="D401" s="570" t="s">
        <v>927</v>
      </c>
      <c r="E401" s="571"/>
      <c r="F401" s="572" t="s">
        <v>943</v>
      </c>
      <c r="G401" s="27"/>
      <c r="H401" s="27"/>
      <c r="I401" s="27"/>
      <c r="J401" s="27"/>
      <c r="K401" s="27"/>
      <c r="L401" s="27"/>
      <c r="M401" s="565"/>
      <c r="N401" s="568"/>
      <c r="O401" s="568"/>
      <c r="P401" s="568"/>
      <c r="Q401" s="31"/>
    </row>
    <row r="402" ht="26.25" customHeight="1">
      <c r="A402" s="558" t="str">
        <f>Source!$B$6</f>
        <v/>
      </c>
      <c r="B402" s="559" t="str">
        <f>Source!$AB$9</f>
        <v/>
      </c>
      <c r="C402" s="560"/>
      <c r="D402" s="561" t="s">
        <v>925</v>
      </c>
      <c r="E402" s="562"/>
      <c r="F402" s="585" t="s">
        <v>944</v>
      </c>
      <c r="G402" s="27"/>
      <c r="H402" s="27"/>
      <c r="I402" s="27"/>
      <c r="J402" s="27"/>
      <c r="K402" s="27"/>
      <c r="L402" s="565"/>
      <c r="M402" s="568"/>
      <c r="N402" s="568"/>
      <c r="O402" s="568"/>
      <c r="P402" s="568"/>
      <c r="Q402" s="31"/>
    </row>
    <row r="403" ht="26.25" customHeight="1">
      <c r="A403" s="558" t="str">
        <f>Source!$B$6</f>
        <v/>
      </c>
      <c r="B403" s="559" t="str">
        <f>Source!$AB$44</f>
        <v/>
      </c>
      <c r="C403" s="569" t="str">
        <f>Source!$B$7</f>
        <v/>
      </c>
      <c r="D403" s="570" t="s">
        <v>566</v>
      </c>
      <c r="E403" s="571"/>
      <c r="F403" s="572" t="s">
        <v>945</v>
      </c>
      <c r="G403" s="27"/>
      <c r="H403" s="27"/>
      <c r="I403" s="27"/>
      <c r="J403" s="27"/>
      <c r="K403" s="27"/>
      <c r="L403" s="565"/>
      <c r="M403" s="568"/>
      <c r="N403" s="568"/>
      <c r="O403" s="568"/>
      <c r="P403" s="568"/>
      <c r="Q403" s="31"/>
    </row>
    <row r="404" ht="26.25" customHeight="1">
      <c r="A404" s="558" t="str">
        <f>Source!$B$6</f>
        <v/>
      </c>
      <c r="B404" s="559" t="str">
        <f>Source!$Y$38</f>
        <v/>
      </c>
      <c r="C404" s="560"/>
      <c r="D404" s="561" t="s">
        <v>905</v>
      </c>
      <c r="E404" s="562"/>
      <c r="F404" s="585" t="s">
        <v>946</v>
      </c>
      <c r="G404" s="27"/>
      <c r="H404" s="27"/>
      <c r="I404" s="27"/>
      <c r="J404" s="27"/>
      <c r="K404" s="27"/>
      <c r="L404" s="565"/>
      <c r="M404" s="568"/>
      <c r="N404" s="568"/>
      <c r="O404" s="568"/>
      <c r="P404" s="568"/>
      <c r="Q404" s="31"/>
    </row>
    <row r="405" ht="26.25" customHeight="1">
      <c r="A405" s="558" t="str">
        <f>Source!$B$6</f>
        <v/>
      </c>
      <c r="B405" s="559" t="str">
        <f>Source!$AB$54</f>
        <v/>
      </c>
      <c r="C405" s="569"/>
      <c r="D405" s="570" t="s">
        <v>931</v>
      </c>
      <c r="E405" s="571"/>
      <c r="F405" s="572" t="s">
        <v>947</v>
      </c>
      <c r="G405" s="27"/>
      <c r="H405" s="27"/>
      <c r="I405" s="27"/>
      <c r="J405" s="27"/>
      <c r="K405" s="27"/>
      <c r="L405" s="27"/>
      <c r="M405" s="27"/>
      <c r="N405" s="565"/>
      <c r="O405" s="568"/>
      <c r="P405" s="568"/>
      <c r="Q405" s="31"/>
    </row>
    <row r="406" ht="26.25" customHeight="1">
      <c r="A406" s="610" t="str">
        <f>Source!$B$6</f>
        <v/>
      </c>
      <c r="B406" s="611" t="str">
        <f>Source!$AB$47</f>
        <v/>
      </c>
      <c r="C406" s="612"/>
      <c r="D406" s="629" t="s">
        <v>580</v>
      </c>
      <c r="E406" s="614"/>
      <c r="F406" s="563" t="s">
        <v>948</v>
      </c>
      <c r="G406" s="139"/>
      <c r="H406" s="139"/>
      <c r="I406" s="139"/>
      <c r="J406" s="139"/>
      <c r="K406" s="139"/>
      <c r="L406" s="139"/>
      <c r="M406" s="139"/>
      <c r="N406" s="139"/>
      <c r="O406" s="139"/>
      <c r="P406" s="139"/>
      <c r="Q406" s="31"/>
    </row>
    <row r="407" ht="7.5" customHeight="1">
      <c r="A407" s="615"/>
      <c r="B407" s="616"/>
      <c r="C407" s="617"/>
      <c r="D407" s="618"/>
      <c r="E407" s="618"/>
      <c r="F407" s="619"/>
      <c r="G407" s="620"/>
      <c r="H407" s="620"/>
      <c r="I407" s="620"/>
      <c r="J407" s="620"/>
      <c r="K407" s="620"/>
      <c r="L407" s="620"/>
      <c r="M407" s="620"/>
      <c r="N407" s="620"/>
      <c r="O407" s="620"/>
      <c r="P407" s="620"/>
      <c r="Q407" s="31"/>
    </row>
    <row r="408" ht="26.25" customHeight="1">
      <c r="A408" s="558" t="str">
        <f>Source!$B$6</f>
        <v/>
      </c>
      <c r="B408" s="559" t="str">
        <f>Source!$D$4</f>
        <v/>
      </c>
      <c r="C408" s="569"/>
      <c r="D408" s="570" t="s">
        <v>949</v>
      </c>
      <c r="E408" s="571"/>
      <c r="F408" s="572" t="s">
        <v>950</v>
      </c>
      <c r="G408" s="27"/>
      <c r="H408" s="27"/>
      <c r="I408" s="27"/>
      <c r="J408" s="27"/>
      <c r="K408" s="27"/>
      <c r="L408" s="27"/>
      <c r="M408" s="565"/>
      <c r="N408" s="568"/>
      <c r="O408" s="568"/>
      <c r="P408" s="568"/>
      <c r="Q408" s="31"/>
    </row>
    <row r="409" ht="26.25" customHeight="1">
      <c r="A409" s="558" t="str">
        <f>Source!$B$6</f>
        <v/>
      </c>
      <c r="B409" s="559" t="str">
        <f>Source!$Y$24</f>
        <v/>
      </c>
      <c r="C409" s="560"/>
      <c r="D409" s="561" t="s">
        <v>951</v>
      </c>
      <c r="E409" s="562"/>
      <c r="F409" s="585" t="s">
        <v>952</v>
      </c>
      <c r="G409" s="27"/>
      <c r="H409" s="27"/>
      <c r="I409" s="27"/>
      <c r="J409" s="27"/>
      <c r="K409" s="27"/>
      <c r="L409" s="27"/>
      <c r="M409" s="27"/>
      <c r="N409" s="565"/>
      <c r="O409" s="568"/>
      <c r="P409" s="568"/>
      <c r="Q409" s="31"/>
    </row>
    <row r="410" ht="26.25" customHeight="1">
      <c r="A410" s="558" t="str">
        <f>Source!$B$6</f>
        <v/>
      </c>
      <c r="B410" s="559" t="str">
        <f>Source!$AK$39</f>
        <v/>
      </c>
      <c r="C410" s="569" t="str">
        <f>Source!$B$7</f>
        <v/>
      </c>
      <c r="D410" s="570" t="s">
        <v>953</v>
      </c>
      <c r="E410" s="571"/>
      <c r="F410" s="572" t="s">
        <v>954</v>
      </c>
      <c r="G410" s="27"/>
      <c r="H410" s="27"/>
      <c r="I410" s="27"/>
      <c r="J410" s="27"/>
      <c r="K410" s="27"/>
      <c r="L410" s="27"/>
      <c r="M410" s="27"/>
      <c r="N410" s="27"/>
      <c r="O410" s="27"/>
      <c r="P410" s="27"/>
      <c r="Q410" s="31"/>
    </row>
    <row r="411" ht="7.5" customHeight="1">
      <c r="A411" s="578"/>
      <c r="B411" s="579"/>
      <c r="C411" s="579"/>
      <c r="D411" s="579"/>
      <c r="E411" s="579"/>
      <c r="F411" s="579"/>
      <c r="G411" s="579"/>
      <c r="H411" s="579"/>
      <c r="I411" s="579"/>
      <c r="J411" s="579"/>
      <c r="K411" s="579"/>
      <c r="L411" s="579"/>
      <c r="M411" s="579"/>
      <c r="N411" s="579"/>
      <c r="O411" s="579"/>
      <c r="P411" s="555"/>
      <c r="Q411" s="580"/>
    </row>
    <row r="412" ht="3.75" customHeight="1">
      <c r="A412" s="581"/>
      <c r="B412" s="582"/>
      <c r="C412" s="583"/>
      <c r="D412" s="583"/>
      <c r="E412" s="583"/>
      <c r="F412" s="583"/>
      <c r="G412" s="583"/>
      <c r="H412" s="583"/>
      <c r="I412" s="583"/>
      <c r="J412" s="583"/>
      <c r="K412" s="583"/>
      <c r="L412" s="583"/>
      <c r="M412" s="583"/>
      <c r="N412" s="583"/>
      <c r="O412" s="583"/>
      <c r="P412" s="583"/>
      <c r="Q412" s="580"/>
    </row>
    <row r="413" ht="7.5" customHeight="1">
      <c r="A413" s="578"/>
      <c r="B413" s="579"/>
      <c r="C413" s="579"/>
      <c r="D413" s="579"/>
      <c r="E413" s="579"/>
      <c r="F413" s="579"/>
      <c r="G413" s="579"/>
      <c r="H413" s="579"/>
      <c r="I413" s="579"/>
      <c r="J413" s="579"/>
      <c r="K413" s="579"/>
      <c r="L413" s="579"/>
      <c r="M413" s="579"/>
      <c r="N413" s="579"/>
      <c r="O413" s="579"/>
      <c r="P413" s="555"/>
      <c r="Q413" s="580"/>
    </row>
    <row r="414">
      <c r="A414" s="578"/>
      <c r="B414" s="584" t="s">
        <v>955</v>
      </c>
      <c r="C414" s="168"/>
      <c r="D414" s="169"/>
      <c r="E414" s="557"/>
      <c r="F414" s="589"/>
      <c r="G414" s="589"/>
      <c r="H414" s="589"/>
      <c r="I414" s="589"/>
      <c r="J414" s="589"/>
      <c r="K414" s="589"/>
      <c r="L414" s="589"/>
      <c r="M414" s="589"/>
      <c r="N414" s="589"/>
      <c r="O414" s="589"/>
      <c r="P414" s="589"/>
      <c r="Q414" s="557"/>
    </row>
    <row r="415" ht="26.25" customHeight="1">
      <c r="A415" s="558" t="str">
        <f>Source!$B$6</f>
        <v/>
      </c>
      <c r="B415" s="559" t="str">
        <f>Source!$D$9</f>
        <v/>
      </c>
      <c r="C415" s="560" t="str">
        <f>Source!$B$7</f>
        <v/>
      </c>
      <c r="D415" s="574" t="s">
        <v>956</v>
      </c>
      <c r="E415" s="562"/>
      <c r="F415" s="585" t="s">
        <v>957</v>
      </c>
      <c r="G415" s="27"/>
      <c r="H415" s="27"/>
      <c r="I415" s="27"/>
      <c r="J415" s="27"/>
      <c r="K415" s="27"/>
      <c r="L415" s="27"/>
      <c r="M415" s="27"/>
      <c r="N415" s="27"/>
      <c r="O415" s="27"/>
      <c r="P415" s="27"/>
      <c r="Q415" s="588"/>
    </row>
    <row r="416" ht="26.25" customHeight="1">
      <c r="A416" s="558" t="str">
        <f>Source!$B$6</f>
        <v/>
      </c>
      <c r="B416" s="559" t="str">
        <f>Source!$D$9</f>
        <v/>
      </c>
      <c r="C416" s="569"/>
      <c r="D416" s="601" t="s">
        <v>958</v>
      </c>
      <c r="E416" s="571"/>
      <c r="F416" s="572" t="s">
        <v>959</v>
      </c>
      <c r="G416" s="27"/>
      <c r="H416" s="27"/>
      <c r="I416" s="27"/>
      <c r="J416" s="27"/>
      <c r="K416" s="27"/>
      <c r="L416" s="27"/>
      <c r="M416" s="27"/>
      <c r="N416" s="27"/>
      <c r="O416" s="27"/>
      <c r="P416" s="565"/>
      <c r="Q416" s="31"/>
    </row>
    <row r="417" ht="26.25" customHeight="1">
      <c r="A417" s="558" t="str">
        <f>Source!$B$6</f>
        <v/>
      </c>
      <c r="B417" s="559" t="str">
        <f>Source!$AN$48</f>
        <v/>
      </c>
      <c r="C417" s="560"/>
      <c r="D417" s="561" t="s">
        <v>960</v>
      </c>
      <c r="E417" s="562"/>
      <c r="F417" s="585" t="s">
        <v>961</v>
      </c>
      <c r="G417" s="27"/>
      <c r="H417" s="27"/>
      <c r="I417" s="27"/>
      <c r="J417" s="27"/>
      <c r="K417" s="27"/>
      <c r="L417" s="27"/>
      <c r="M417" s="27"/>
      <c r="N417" s="565"/>
      <c r="O417" s="568"/>
      <c r="P417" s="568"/>
      <c r="Q417" s="588"/>
    </row>
    <row r="418" ht="26.25" customHeight="1">
      <c r="A418" s="558" t="str">
        <f>Source!$B$6</f>
        <v/>
      </c>
      <c r="B418" s="559" t="str">
        <f>Source!$P$48</f>
        <v/>
      </c>
      <c r="C418" s="569" t="str">
        <f>Source!$B$7</f>
        <v/>
      </c>
      <c r="D418" s="601" t="s">
        <v>962</v>
      </c>
      <c r="E418" s="571"/>
      <c r="F418" s="572" t="s">
        <v>963</v>
      </c>
      <c r="G418" s="27"/>
      <c r="H418" s="27"/>
      <c r="I418" s="27"/>
      <c r="J418" s="27"/>
      <c r="K418" s="27"/>
      <c r="L418" s="27"/>
      <c r="M418" s="27"/>
      <c r="N418" s="27"/>
      <c r="O418" s="27"/>
      <c r="P418" s="27"/>
      <c r="Q418" s="31"/>
    </row>
    <row r="419" ht="26.25" customHeight="1">
      <c r="A419" s="610" t="str">
        <f>Source!$B$6</f>
        <v/>
      </c>
      <c r="B419" s="611" t="str">
        <f>IMAGE("https://i.ibb.co/jDXBL1t/z.png",4,28,28)</f>
        <v/>
      </c>
      <c r="C419" s="612"/>
      <c r="D419" s="629" t="s">
        <v>964</v>
      </c>
      <c r="E419" s="614"/>
      <c r="F419" s="563" t="s">
        <v>965</v>
      </c>
      <c r="G419" s="139"/>
      <c r="H419" s="139"/>
      <c r="I419" s="139"/>
      <c r="J419" s="139"/>
      <c r="K419" s="139"/>
      <c r="L419" s="139"/>
      <c r="M419" s="139"/>
      <c r="N419" s="139"/>
      <c r="O419" s="139"/>
      <c r="P419" s="139"/>
      <c r="Q419" s="31"/>
    </row>
    <row r="420" ht="7.5" customHeight="1">
      <c r="A420" s="615"/>
      <c r="B420" s="616"/>
      <c r="C420" s="617"/>
      <c r="D420" s="618"/>
      <c r="E420" s="618"/>
      <c r="F420" s="619"/>
      <c r="G420" s="620"/>
      <c r="H420" s="620"/>
      <c r="I420" s="620"/>
      <c r="J420" s="620"/>
      <c r="K420" s="620"/>
      <c r="L420" s="620"/>
      <c r="M420" s="620"/>
      <c r="N420" s="620"/>
      <c r="O420" s="620"/>
      <c r="P420" s="620"/>
      <c r="Q420" s="31"/>
    </row>
    <row r="421" ht="26.25" customHeight="1">
      <c r="A421" s="558" t="str">
        <f>Source!$B$6</f>
        <v/>
      </c>
      <c r="B421" s="559" t="str">
        <f>Source!$P$12</f>
        <v/>
      </c>
      <c r="C421" s="569"/>
      <c r="D421" s="601" t="s">
        <v>966</v>
      </c>
      <c r="E421" s="571"/>
      <c r="F421" s="572" t="s">
        <v>967</v>
      </c>
      <c r="G421" s="27"/>
      <c r="H421" s="27"/>
      <c r="I421" s="27"/>
      <c r="J421" s="27"/>
      <c r="K421" s="27"/>
      <c r="L421" s="27"/>
      <c r="M421" s="27"/>
      <c r="N421" s="27"/>
      <c r="O421" s="27"/>
      <c r="P421" s="27"/>
      <c r="Q421" s="31"/>
    </row>
    <row r="422" ht="26.25" customHeight="1">
      <c r="A422" s="610" t="str">
        <f>Source!$B$6</f>
        <v/>
      </c>
      <c r="B422" s="611" t="str">
        <f>Source!$AQ$212</f>
        <v/>
      </c>
      <c r="C422" s="612"/>
      <c r="D422" s="629" t="s">
        <v>968</v>
      </c>
      <c r="E422" s="614"/>
      <c r="F422" s="563" t="s">
        <v>969</v>
      </c>
      <c r="G422" s="139"/>
      <c r="H422" s="139"/>
      <c r="I422" s="139"/>
      <c r="J422" s="139"/>
      <c r="K422" s="139"/>
      <c r="L422" s="139"/>
      <c r="M422" s="139"/>
      <c r="N422" s="139"/>
      <c r="O422" s="139"/>
      <c r="P422" s="139"/>
      <c r="Q422" s="31"/>
    </row>
    <row r="423" ht="7.5" customHeight="1">
      <c r="A423" s="615"/>
      <c r="B423" s="616"/>
      <c r="C423" s="617"/>
      <c r="D423" s="618"/>
      <c r="E423" s="618"/>
      <c r="F423" s="619"/>
      <c r="G423" s="620"/>
      <c r="H423" s="620"/>
      <c r="I423" s="620"/>
      <c r="J423" s="620"/>
      <c r="K423" s="620"/>
      <c r="L423" s="620"/>
      <c r="M423" s="620"/>
      <c r="N423" s="620"/>
      <c r="O423" s="620"/>
      <c r="P423" s="620"/>
      <c r="Q423" s="31"/>
    </row>
    <row r="424" ht="7.5" customHeight="1">
      <c r="A424" s="578"/>
      <c r="B424" s="579"/>
      <c r="C424" s="579"/>
      <c r="D424" s="579"/>
      <c r="E424" s="579"/>
      <c r="F424" s="579"/>
      <c r="G424" s="579"/>
      <c r="H424" s="579"/>
      <c r="I424" s="579"/>
      <c r="J424" s="579"/>
      <c r="K424" s="579"/>
      <c r="L424" s="579"/>
      <c r="M424" s="579"/>
      <c r="N424" s="579"/>
      <c r="O424" s="579"/>
      <c r="P424" s="555"/>
      <c r="Q424" s="580"/>
    </row>
    <row r="425" ht="3.75" customHeight="1">
      <c r="A425" s="581"/>
      <c r="B425" s="582"/>
      <c r="C425" s="583"/>
      <c r="D425" s="583"/>
      <c r="E425" s="583"/>
      <c r="F425" s="583"/>
      <c r="G425" s="583"/>
      <c r="H425" s="583"/>
      <c r="I425" s="583"/>
      <c r="J425" s="583"/>
      <c r="K425" s="583"/>
      <c r="L425" s="583"/>
      <c r="M425" s="583"/>
      <c r="N425" s="583"/>
      <c r="O425" s="583"/>
      <c r="P425" s="583"/>
      <c r="Q425" s="580"/>
    </row>
    <row r="426" ht="7.5" customHeight="1">
      <c r="A426" s="578"/>
      <c r="B426" s="579"/>
      <c r="C426" s="579"/>
      <c r="D426" s="579"/>
      <c r="E426" s="579"/>
      <c r="F426" s="579"/>
      <c r="G426" s="579"/>
      <c r="H426" s="579"/>
      <c r="I426" s="579"/>
      <c r="J426" s="579"/>
      <c r="K426" s="579"/>
      <c r="L426" s="579"/>
      <c r="M426" s="579"/>
      <c r="N426" s="579"/>
      <c r="O426" s="579"/>
      <c r="P426" s="555"/>
      <c r="Q426" s="580"/>
    </row>
    <row r="427">
      <c r="A427" s="578"/>
      <c r="B427" s="584" t="s">
        <v>970</v>
      </c>
      <c r="C427" s="168"/>
      <c r="D427" s="169"/>
      <c r="E427" s="557"/>
      <c r="F427" s="589"/>
      <c r="G427" s="589"/>
      <c r="H427" s="589"/>
      <c r="I427" s="589"/>
      <c r="J427" s="589"/>
      <c r="K427" s="589"/>
      <c r="L427" s="589"/>
      <c r="M427" s="589"/>
      <c r="N427" s="589"/>
      <c r="O427" s="589"/>
      <c r="P427" s="589"/>
      <c r="Q427" s="557"/>
    </row>
    <row r="428" ht="26.25" customHeight="1">
      <c r="A428" s="558" t="str">
        <f>Source!$B$6</f>
        <v/>
      </c>
      <c r="B428" s="559" t="str">
        <f>Source!$D$8</f>
        <v/>
      </c>
      <c r="C428" s="560" t="str">
        <f>Source!$B$7</f>
        <v/>
      </c>
      <c r="D428" s="587" t="s">
        <v>971</v>
      </c>
      <c r="E428" s="562"/>
      <c r="F428" s="585" t="s">
        <v>972</v>
      </c>
      <c r="G428" s="27"/>
      <c r="H428" s="27"/>
      <c r="I428" s="27"/>
      <c r="J428" s="27"/>
      <c r="K428" s="27"/>
      <c r="L428" s="27"/>
      <c r="M428" s="632"/>
      <c r="N428" s="633"/>
      <c r="O428" s="633"/>
      <c r="P428" s="633"/>
      <c r="Q428" s="588"/>
    </row>
    <row r="429" ht="26.25" customHeight="1">
      <c r="A429" s="558" t="str">
        <f>Source!$B$6</f>
        <v/>
      </c>
      <c r="B429" s="559" t="str">
        <f>Source!$AB$41</f>
        <v/>
      </c>
      <c r="C429" s="569"/>
      <c r="D429" s="570" t="s">
        <v>797</v>
      </c>
      <c r="E429" s="571"/>
      <c r="F429" s="572" t="s">
        <v>973</v>
      </c>
      <c r="G429" s="27"/>
      <c r="H429" s="27"/>
      <c r="I429" s="27"/>
      <c r="J429" s="27"/>
      <c r="K429" s="27"/>
      <c r="L429" s="27"/>
      <c r="M429" s="27"/>
      <c r="N429" s="27"/>
      <c r="O429" s="632"/>
      <c r="P429" s="633"/>
      <c r="Q429" s="31"/>
    </row>
    <row r="430" ht="26.25" customHeight="1">
      <c r="A430" s="558" t="str">
        <f>Source!$B$6</f>
        <v/>
      </c>
      <c r="B430" s="559" t="str">
        <f>Source!$AB$33</f>
        <v/>
      </c>
      <c r="C430" s="560"/>
      <c r="D430" s="561" t="s">
        <v>916</v>
      </c>
      <c r="E430" s="562"/>
      <c r="F430" s="585" t="s">
        <v>974</v>
      </c>
      <c r="G430" s="27"/>
      <c r="H430" s="27"/>
      <c r="I430" s="27"/>
      <c r="J430" s="27"/>
      <c r="K430" s="27"/>
      <c r="L430" s="27"/>
      <c r="M430" s="27"/>
      <c r="N430" s="27"/>
      <c r="O430" s="27"/>
      <c r="P430" s="632"/>
      <c r="Q430" s="588"/>
    </row>
    <row r="431" ht="26.25" customHeight="1">
      <c r="A431" s="558" t="str">
        <f>Source!$B$6</f>
        <v/>
      </c>
      <c r="B431" s="559" t="str">
        <f>Source!$P$3</f>
        <v/>
      </c>
      <c r="C431" s="569" t="str">
        <f>Source!$B$7</f>
        <v/>
      </c>
      <c r="D431" s="601" t="s">
        <v>975</v>
      </c>
      <c r="E431" s="571"/>
      <c r="F431" s="572" t="s">
        <v>976</v>
      </c>
      <c r="G431" s="27"/>
      <c r="H431" s="27"/>
      <c r="I431" s="27"/>
      <c r="J431" s="27"/>
      <c r="K431" s="27"/>
      <c r="L431" s="27"/>
      <c r="M431" s="27"/>
      <c r="N431" s="632"/>
      <c r="O431" s="633"/>
      <c r="P431" s="633"/>
      <c r="Q431" s="31"/>
    </row>
    <row r="432" ht="26.25" customHeight="1">
      <c r="A432" s="558" t="str">
        <f>Source!$B$6</f>
        <v/>
      </c>
      <c r="B432" s="559" t="str">
        <f>Source!$AB$18</f>
        <v/>
      </c>
      <c r="C432" s="560" t="str">
        <f>Source!$B$7</f>
        <v/>
      </c>
      <c r="D432" s="561" t="s">
        <v>977</v>
      </c>
      <c r="E432" s="562"/>
      <c r="F432" s="585" t="s">
        <v>978</v>
      </c>
      <c r="G432" s="27"/>
      <c r="H432" s="27"/>
      <c r="I432" s="27"/>
      <c r="J432" s="27"/>
      <c r="K432" s="27"/>
      <c r="L432" s="27"/>
      <c r="M432" s="27"/>
      <c r="N432" s="27"/>
      <c r="O432" s="632"/>
      <c r="P432" s="633"/>
      <c r="Q432" s="588"/>
    </row>
    <row r="433" ht="26.25" customHeight="1">
      <c r="A433" s="558" t="str">
        <f>Source!$B$6</f>
        <v/>
      </c>
      <c r="B433" s="559" t="str">
        <f>Source!$AB$44</f>
        <v/>
      </c>
      <c r="C433" s="569"/>
      <c r="D433" s="570" t="s">
        <v>566</v>
      </c>
      <c r="E433" s="571"/>
      <c r="F433" s="572" t="s">
        <v>979</v>
      </c>
      <c r="G433" s="27"/>
      <c r="H433" s="27"/>
      <c r="I433" s="27"/>
      <c r="J433" s="27"/>
      <c r="K433" s="27"/>
      <c r="L433" s="27"/>
      <c r="M433" s="27"/>
      <c r="N433" s="27"/>
      <c r="O433" s="27"/>
      <c r="P433" s="632"/>
      <c r="Q433" s="31"/>
    </row>
    <row r="434" ht="26.25" customHeight="1">
      <c r="A434" s="558" t="str">
        <f>Source!$B$6</f>
        <v/>
      </c>
      <c r="B434" s="559" t="str">
        <f>Source!$AB$29</f>
        <v/>
      </c>
      <c r="C434" s="560"/>
      <c r="D434" s="561" t="s">
        <v>980</v>
      </c>
      <c r="E434" s="562"/>
      <c r="F434" s="585" t="s">
        <v>981</v>
      </c>
      <c r="G434" s="27"/>
      <c r="H434" s="27"/>
      <c r="I434" s="27"/>
      <c r="J434" s="27"/>
      <c r="K434" s="27"/>
      <c r="L434" s="27"/>
      <c r="M434" s="27"/>
      <c r="N434" s="27"/>
      <c r="O434" s="27"/>
      <c r="P434" s="27"/>
      <c r="Q434" s="588"/>
    </row>
    <row r="435" ht="7.5" customHeight="1">
      <c r="A435" s="578"/>
      <c r="B435" s="579"/>
      <c r="C435" s="579"/>
      <c r="D435" s="579"/>
      <c r="E435" s="579"/>
      <c r="F435" s="579"/>
      <c r="G435" s="579"/>
      <c r="H435" s="579"/>
      <c r="I435" s="579"/>
      <c r="J435" s="579"/>
      <c r="K435" s="579"/>
      <c r="L435" s="579"/>
      <c r="M435" s="579"/>
      <c r="N435" s="579"/>
      <c r="O435" s="579"/>
      <c r="P435" s="555"/>
      <c r="Q435" s="580"/>
    </row>
    <row r="436" ht="3.75" customHeight="1">
      <c r="A436" s="581"/>
      <c r="B436" s="582"/>
      <c r="C436" s="583"/>
      <c r="D436" s="583"/>
      <c r="E436" s="583"/>
      <c r="F436" s="583"/>
      <c r="G436" s="583"/>
      <c r="H436" s="583"/>
      <c r="I436" s="583"/>
      <c r="J436" s="583"/>
      <c r="K436" s="583"/>
      <c r="L436" s="583"/>
      <c r="M436" s="583"/>
      <c r="N436" s="583"/>
      <c r="O436" s="583"/>
      <c r="P436" s="583"/>
      <c r="Q436" s="580"/>
    </row>
    <row r="437" ht="7.5" customHeight="1">
      <c r="A437" s="578"/>
      <c r="B437" s="579"/>
      <c r="C437" s="579"/>
      <c r="D437" s="579"/>
      <c r="E437" s="579"/>
      <c r="F437" s="579"/>
      <c r="G437" s="579"/>
      <c r="H437" s="579"/>
      <c r="I437" s="579"/>
      <c r="J437" s="579"/>
      <c r="K437" s="579"/>
      <c r="L437" s="579"/>
      <c r="M437" s="579"/>
      <c r="N437" s="579"/>
      <c r="O437" s="579"/>
      <c r="P437" s="555"/>
      <c r="Q437" s="580"/>
    </row>
    <row r="438">
      <c r="A438" s="578"/>
      <c r="B438" s="584" t="s">
        <v>982</v>
      </c>
      <c r="C438" s="168"/>
      <c r="D438" s="169"/>
      <c r="E438" s="557"/>
      <c r="F438" s="589"/>
      <c r="G438" s="589"/>
      <c r="H438" s="589"/>
      <c r="I438" s="589"/>
      <c r="J438" s="589"/>
      <c r="K438" s="589"/>
      <c r="L438" s="589"/>
      <c r="M438" s="589"/>
      <c r="N438" s="589"/>
      <c r="O438" s="589"/>
      <c r="P438" s="589"/>
      <c r="Q438" s="557"/>
    </row>
    <row r="439" ht="26.25" customHeight="1">
      <c r="A439" s="558" t="str">
        <f>Source!$B$6</f>
        <v/>
      </c>
      <c r="B439" s="559" t="str">
        <f>Source!$P$7</f>
        <v/>
      </c>
      <c r="C439" s="560" t="str">
        <f>Source!$B$7</f>
        <v/>
      </c>
      <c r="D439" s="587" t="s">
        <v>983</v>
      </c>
      <c r="E439" s="634"/>
      <c r="F439" s="585" t="s">
        <v>984</v>
      </c>
      <c r="G439" s="27"/>
      <c r="H439" s="27"/>
      <c r="I439" s="27"/>
      <c r="J439" s="27"/>
      <c r="K439" s="27"/>
      <c r="L439" s="27"/>
      <c r="M439" s="635"/>
      <c r="N439" s="632"/>
      <c r="O439" s="633"/>
      <c r="P439" s="633"/>
      <c r="Q439" s="588"/>
    </row>
    <row r="440" ht="7.5" customHeight="1">
      <c r="A440" s="578"/>
      <c r="B440" s="579"/>
      <c r="C440" s="579"/>
      <c r="D440" s="579"/>
      <c r="E440" s="579"/>
      <c r="F440" s="579"/>
      <c r="G440" s="579"/>
      <c r="H440" s="579"/>
      <c r="I440" s="579"/>
      <c r="J440" s="579"/>
      <c r="K440" s="579"/>
      <c r="L440" s="579"/>
      <c r="M440" s="579"/>
      <c r="N440" s="579"/>
      <c r="O440" s="579"/>
      <c r="P440" s="555"/>
      <c r="Q440" s="580"/>
    </row>
    <row r="441" ht="3.75" customHeight="1">
      <c r="A441" s="581"/>
      <c r="B441" s="582"/>
      <c r="C441" s="583"/>
      <c r="D441" s="583"/>
      <c r="E441" s="583"/>
      <c r="F441" s="583"/>
      <c r="G441" s="583"/>
      <c r="H441" s="583"/>
      <c r="I441" s="583"/>
      <c r="J441" s="583"/>
      <c r="K441" s="583"/>
      <c r="L441" s="583"/>
      <c r="M441" s="583"/>
      <c r="N441" s="583"/>
      <c r="O441" s="583"/>
      <c r="P441" s="583"/>
      <c r="Q441" s="580"/>
    </row>
    <row r="442" ht="7.5" customHeight="1">
      <c r="A442" s="578"/>
      <c r="B442" s="579"/>
      <c r="C442" s="579"/>
      <c r="D442" s="579"/>
      <c r="E442" s="579"/>
      <c r="F442" s="579"/>
      <c r="G442" s="579"/>
      <c r="H442" s="579"/>
      <c r="I442" s="579"/>
      <c r="J442" s="579"/>
      <c r="K442" s="579"/>
      <c r="L442" s="579"/>
      <c r="M442" s="579"/>
      <c r="N442" s="579"/>
      <c r="O442" s="579"/>
      <c r="P442" s="555"/>
      <c r="Q442" s="580"/>
    </row>
    <row r="443">
      <c r="A443" s="578"/>
      <c r="B443" s="584" t="s">
        <v>985</v>
      </c>
      <c r="C443" s="168"/>
      <c r="D443" s="169"/>
      <c r="E443" s="557"/>
      <c r="F443" s="589"/>
      <c r="G443" s="589"/>
      <c r="H443" s="589"/>
      <c r="I443" s="589"/>
      <c r="J443" s="589"/>
      <c r="K443" s="589"/>
      <c r="L443" s="589"/>
      <c r="M443" s="589"/>
      <c r="N443" s="589"/>
      <c r="O443" s="589"/>
      <c r="P443" s="589"/>
      <c r="Q443" s="557"/>
    </row>
    <row r="444" ht="26.25" customHeight="1">
      <c r="A444" s="558" t="str">
        <f>Source!$B$6</f>
        <v/>
      </c>
      <c r="B444" s="559" t="str">
        <f>Source!$P$44</f>
        <v/>
      </c>
      <c r="C444" s="560" t="str">
        <f>Source!$B$7</f>
        <v/>
      </c>
      <c r="D444" s="587" t="s">
        <v>986</v>
      </c>
      <c r="E444" s="562"/>
      <c r="F444" s="585" t="s">
        <v>987</v>
      </c>
      <c r="G444" s="27"/>
      <c r="H444" s="27"/>
      <c r="I444" s="27"/>
      <c r="J444" s="27"/>
      <c r="K444" s="27"/>
      <c r="L444" s="27"/>
      <c r="M444" s="27"/>
      <c r="N444" s="27"/>
      <c r="O444" s="27"/>
      <c r="P444" s="632"/>
      <c r="Q444" s="588"/>
    </row>
    <row r="445" ht="26.25" customHeight="1">
      <c r="A445" s="558" t="str">
        <f>Source!$B$6</f>
        <v/>
      </c>
      <c r="B445" s="559" t="str">
        <f>Source!$AN$48</f>
        <v/>
      </c>
      <c r="C445" s="569"/>
      <c r="D445" s="570" t="s">
        <v>960</v>
      </c>
      <c r="E445" s="571"/>
      <c r="F445" s="572" t="s">
        <v>961</v>
      </c>
      <c r="G445" s="27"/>
      <c r="H445" s="27"/>
      <c r="I445" s="27"/>
      <c r="J445" s="27"/>
      <c r="K445" s="27"/>
      <c r="L445" s="27"/>
      <c r="M445" s="27"/>
      <c r="N445" s="632"/>
      <c r="O445" s="633"/>
      <c r="P445" s="633"/>
      <c r="Q445" s="31"/>
    </row>
    <row r="446" ht="26.25" customHeight="1">
      <c r="A446" s="558" t="str">
        <f>Source!$B$6</f>
        <v/>
      </c>
      <c r="B446" s="559" t="str">
        <f>Source!$P$43</f>
        <v/>
      </c>
      <c r="C446" s="560"/>
      <c r="D446" s="574" t="s">
        <v>988</v>
      </c>
      <c r="E446" s="562"/>
      <c r="F446" s="585" t="s">
        <v>989</v>
      </c>
      <c r="G446" s="27"/>
      <c r="H446" s="27"/>
      <c r="I446" s="27"/>
      <c r="J446" s="27"/>
      <c r="K446" s="27"/>
      <c r="L446" s="27"/>
      <c r="M446" s="27"/>
      <c r="N446" s="27"/>
      <c r="O446" s="632"/>
      <c r="P446" s="633"/>
      <c r="Q446" s="588"/>
    </row>
    <row r="447" ht="26.25" customHeight="1">
      <c r="A447" s="558" t="str">
        <f>Source!$B$6</f>
        <v/>
      </c>
      <c r="B447" s="559" t="str">
        <f>Source!$AB$25</f>
        <v/>
      </c>
      <c r="C447" s="569" t="str">
        <f>Source!$B$7</f>
        <v/>
      </c>
      <c r="D447" s="570" t="s">
        <v>910</v>
      </c>
      <c r="E447" s="571"/>
      <c r="F447" s="572" t="s">
        <v>990</v>
      </c>
      <c r="G447" s="27"/>
      <c r="H447" s="27"/>
      <c r="I447" s="27"/>
      <c r="J447" s="27"/>
      <c r="K447" s="632"/>
      <c r="L447" s="633"/>
      <c r="M447" s="633"/>
      <c r="N447" s="633"/>
      <c r="O447" s="633"/>
      <c r="P447" s="633"/>
      <c r="Q447" s="31"/>
    </row>
    <row r="448" ht="26.25" customHeight="1">
      <c r="A448" s="558" t="str">
        <f>Source!$B$6</f>
        <v/>
      </c>
      <c r="B448" s="559" t="str">
        <f>Source!$AB$44</f>
        <v/>
      </c>
      <c r="C448" s="560" t="str">
        <f>Source!$B$7</f>
        <v/>
      </c>
      <c r="D448" s="561" t="s">
        <v>566</v>
      </c>
      <c r="E448" s="562"/>
      <c r="F448" s="585" t="s">
        <v>991</v>
      </c>
      <c r="G448" s="27"/>
      <c r="H448" s="27"/>
      <c r="I448" s="27"/>
      <c r="J448" s="27"/>
      <c r="K448" s="27"/>
      <c r="L448" s="27"/>
      <c r="M448" s="27"/>
      <c r="N448" s="27"/>
      <c r="O448" s="27"/>
      <c r="P448" s="632"/>
      <c r="Q448" s="588"/>
    </row>
    <row r="449" ht="26.25" customHeight="1">
      <c r="A449" s="558" t="str">
        <f>Source!$B$6</f>
        <v/>
      </c>
      <c r="B449" s="559" t="str">
        <f>Source!$D$11</f>
        <v/>
      </c>
      <c r="C449" s="569"/>
      <c r="D449" s="570" t="s">
        <v>992</v>
      </c>
      <c r="E449" s="571"/>
      <c r="F449" s="572" t="s">
        <v>993</v>
      </c>
      <c r="G449" s="27"/>
      <c r="H449" s="27"/>
      <c r="I449" s="27"/>
      <c r="J449" s="27"/>
      <c r="K449" s="27"/>
      <c r="L449" s="632"/>
      <c r="M449" s="633"/>
      <c r="N449" s="633"/>
      <c r="O449" s="633"/>
      <c r="P449" s="633"/>
      <c r="Q449" s="31"/>
    </row>
    <row r="450" ht="7.5" customHeight="1">
      <c r="A450" s="578"/>
      <c r="B450" s="579"/>
      <c r="C450" s="579"/>
      <c r="D450" s="579"/>
      <c r="E450" s="579"/>
      <c r="F450" s="579"/>
      <c r="G450" s="579"/>
      <c r="H450" s="579"/>
      <c r="I450" s="579"/>
      <c r="J450" s="579"/>
      <c r="K450" s="579"/>
      <c r="L450" s="579"/>
      <c r="M450" s="579"/>
      <c r="N450" s="579"/>
      <c r="O450" s="579"/>
      <c r="P450" s="555"/>
      <c r="Q450" s="580"/>
    </row>
    <row r="451" ht="3.75" customHeight="1">
      <c r="A451" s="581"/>
      <c r="B451" s="582"/>
      <c r="C451" s="583"/>
      <c r="D451" s="583"/>
      <c r="E451" s="583"/>
      <c r="F451" s="583"/>
      <c r="G451" s="583"/>
      <c r="H451" s="583"/>
      <c r="I451" s="583"/>
      <c r="J451" s="583"/>
      <c r="K451" s="583"/>
      <c r="L451" s="583"/>
      <c r="M451" s="583"/>
      <c r="N451" s="583"/>
      <c r="O451" s="583"/>
      <c r="P451" s="583"/>
      <c r="Q451" s="580"/>
    </row>
    <row r="452" ht="7.5" customHeight="1">
      <c r="A452" s="578"/>
      <c r="B452" s="579"/>
      <c r="C452" s="579"/>
      <c r="D452" s="579"/>
      <c r="E452" s="579"/>
      <c r="F452" s="579"/>
      <c r="G452" s="579"/>
      <c r="H452" s="579"/>
      <c r="I452" s="579"/>
      <c r="J452" s="579"/>
      <c r="K452" s="579"/>
      <c r="L452" s="579"/>
      <c r="M452" s="579"/>
      <c r="N452" s="579"/>
      <c r="O452" s="579"/>
      <c r="P452" s="555"/>
      <c r="Q452" s="580"/>
    </row>
    <row r="453">
      <c r="A453" s="578"/>
      <c r="B453" s="584" t="s">
        <v>994</v>
      </c>
      <c r="C453" s="168"/>
      <c r="D453" s="169"/>
      <c r="E453" s="557"/>
      <c r="F453" s="589"/>
      <c r="G453" s="589"/>
      <c r="H453" s="589"/>
      <c r="I453" s="589"/>
      <c r="J453" s="589"/>
      <c r="K453" s="589"/>
      <c r="L453" s="589"/>
      <c r="M453" s="589"/>
      <c r="N453" s="589"/>
      <c r="O453" s="589"/>
      <c r="P453" s="589"/>
      <c r="Q453" s="557"/>
    </row>
    <row r="454" ht="26.25" customHeight="1">
      <c r="A454" s="558" t="str">
        <f>Source!$B$6</f>
        <v/>
      </c>
      <c r="B454" s="559" t="str">
        <f>Source!$AB$41</f>
        <v/>
      </c>
      <c r="C454" s="560" t="str">
        <f>Source!$B$7</f>
        <v/>
      </c>
      <c r="D454" s="561" t="s">
        <v>797</v>
      </c>
      <c r="E454" s="562"/>
      <c r="F454" s="585" t="s">
        <v>995</v>
      </c>
      <c r="G454" s="27"/>
      <c r="H454" s="27"/>
      <c r="I454" s="27"/>
      <c r="J454" s="27"/>
      <c r="K454" s="27"/>
      <c r="L454" s="27"/>
      <c r="M454" s="27"/>
      <c r="N454" s="27"/>
      <c r="O454" s="27"/>
      <c r="P454" s="632"/>
      <c r="Q454" s="588"/>
    </row>
    <row r="455" ht="26.25" customHeight="1">
      <c r="A455" s="558" t="str">
        <f>Source!$B$6</f>
        <v/>
      </c>
      <c r="B455" s="559" t="str">
        <f>Source!$D$16</f>
        <v/>
      </c>
      <c r="C455" s="569"/>
      <c r="D455" s="600" t="s">
        <v>996</v>
      </c>
      <c r="E455" s="571"/>
      <c r="F455" s="572" t="s">
        <v>997</v>
      </c>
      <c r="G455" s="27"/>
      <c r="H455" s="27"/>
      <c r="I455" s="27"/>
      <c r="J455" s="27"/>
      <c r="K455" s="27"/>
      <c r="L455" s="27"/>
      <c r="M455" s="27"/>
      <c r="N455" s="27"/>
      <c r="O455" s="27"/>
      <c r="P455" s="632"/>
      <c r="Q455" s="31"/>
    </row>
    <row r="456" ht="26.25" customHeight="1">
      <c r="A456" s="558" t="str">
        <f>Source!$B$6</f>
        <v/>
      </c>
      <c r="B456" s="559" t="str">
        <f>IMAGE("https://i.ibb.co/xLd6SQw/burnt.png",4,28,28)</f>
        <v/>
      </c>
      <c r="C456" s="560"/>
      <c r="D456" s="561" t="s">
        <v>998</v>
      </c>
      <c r="E456" s="562"/>
      <c r="F456" s="585" t="s">
        <v>999</v>
      </c>
      <c r="G456" s="27"/>
      <c r="H456" s="27"/>
      <c r="I456" s="27"/>
      <c r="J456" s="27"/>
      <c r="K456" s="27"/>
      <c r="L456" s="636"/>
      <c r="M456" s="637"/>
      <c r="N456" s="637"/>
      <c r="O456" s="637"/>
      <c r="P456" s="633"/>
      <c r="Q456" s="588"/>
    </row>
    <row r="457" ht="7.5" customHeight="1">
      <c r="A457" s="578"/>
      <c r="B457" s="579"/>
      <c r="C457" s="579"/>
      <c r="D457" s="579"/>
      <c r="E457" s="579"/>
      <c r="F457" s="579"/>
      <c r="G457" s="579"/>
      <c r="H457" s="579"/>
      <c r="I457" s="579"/>
      <c r="J457" s="579"/>
      <c r="K457" s="579"/>
      <c r="L457" s="579"/>
      <c r="M457" s="579"/>
      <c r="N457" s="579"/>
      <c r="O457" s="579"/>
      <c r="P457" s="555"/>
      <c r="Q457" s="580"/>
    </row>
    <row r="458" ht="3.75" customHeight="1">
      <c r="A458" s="581"/>
      <c r="B458" s="582"/>
      <c r="C458" s="583"/>
      <c r="D458" s="583"/>
      <c r="E458" s="583"/>
      <c r="F458" s="583"/>
      <c r="G458" s="583"/>
      <c r="H458" s="583"/>
      <c r="I458" s="583"/>
      <c r="J458" s="583"/>
      <c r="K458" s="583"/>
      <c r="L458" s="583"/>
      <c r="M458" s="583"/>
      <c r="N458" s="583"/>
      <c r="O458" s="583"/>
      <c r="P458" s="583"/>
      <c r="Q458" s="580"/>
    </row>
    <row r="459" ht="7.5" customHeight="1">
      <c r="A459" s="578"/>
      <c r="B459" s="579"/>
      <c r="C459" s="579"/>
      <c r="D459" s="579"/>
      <c r="E459" s="579"/>
      <c r="F459" s="579"/>
      <c r="G459" s="579"/>
      <c r="H459" s="579"/>
      <c r="I459" s="579"/>
      <c r="J459" s="579"/>
      <c r="K459" s="579"/>
      <c r="L459" s="579"/>
      <c r="M459" s="579"/>
      <c r="N459" s="579"/>
      <c r="O459" s="579"/>
      <c r="P459" s="555"/>
      <c r="Q459" s="580"/>
    </row>
    <row r="460">
      <c r="A460" s="578"/>
      <c r="B460" s="584" t="s">
        <v>1000</v>
      </c>
      <c r="C460" s="168"/>
      <c r="D460" s="169"/>
      <c r="E460" s="557"/>
      <c r="F460" s="589"/>
      <c r="G460" s="589"/>
      <c r="H460" s="589"/>
      <c r="I460" s="589"/>
      <c r="J460" s="589"/>
      <c r="K460" s="589"/>
      <c r="L460" s="589"/>
      <c r="M460" s="589"/>
      <c r="N460" s="589"/>
      <c r="O460" s="589"/>
      <c r="P460" s="589"/>
      <c r="Q460" s="557"/>
    </row>
    <row r="461" ht="26.25" customHeight="1">
      <c r="A461" s="558" t="str">
        <f>Source!$B$6</f>
        <v/>
      </c>
      <c r="B461" s="559" t="str">
        <f>Source!$AT$51</f>
        <v/>
      </c>
      <c r="C461" s="560" t="str">
        <f>Source!$B$7</f>
        <v/>
      </c>
      <c r="D461" s="561" t="s">
        <v>1001</v>
      </c>
      <c r="E461" s="562"/>
      <c r="F461" s="585" t="s">
        <v>1002</v>
      </c>
      <c r="G461" s="27"/>
      <c r="H461" s="27"/>
      <c r="I461" s="27"/>
      <c r="J461" s="27"/>
      <c r="K461" s="27"/>
      <c r="L461" s="27"/>
      <c r="M461" s="27"/>
      <c r="N461" s="27"/>
      <c r="O461" s="632"/>
      <c r="P461" s="637"/>
      <c r="Q461" s="588"/>
    </row>
    <row r="462" ht="26.25" customHeight="1">
      <c r="A462" s="558" t="str">
        <f>Source!$B$6</f>
        <v/>
      </c>
      <c r="B462" s="559" t="str">
        <f>Source!$AB$54</f>
        <v/>
      </c>
      <c r="C462" s="569"/>
      <c r="D462" s="570" t="s">
        <v>931</v>
      </c>
      <c r="E462" s="571"/>
      <c r="F462" s="572" t="s">
        <v>1003</v>
      </c>
      <c r="G462" s="27"/>
      <c r="H462" s="27"/>
      <c r="I462" s="27"/>
      <c r="J462" s="27"/>
      <c r="K462" s="27"/>
      <c r="L462" s="27"/>
      <c r="M462" s="27"/>
      <c r="N462" s="27"/>
      <c r="O462" s="27"/>
      <c r="P462" s="27"/>
      <c r="Q462" s="31"/>
    </row>
    <row r="463" ht="26.25" customHeight="1">
      <c r="A463" s="558" t="str">
        <f>Source!$B$6</f>
        <v/>
      </c>
      <c r="B463" s="559" t="str">
        <f>Source!$D$4</f>
        <v/>
      </c>
      <c r="C463" s="560"/>
      <c r="D463" s="561" t="s">
        <v>1004</v>
      </c>
      <c r="E463" s="562"/>
      <c r="F463" s="585" t="s">
        <v>1005</v>
      </c>
      <c r="G463" s="27"/>
      <c r="H463" s="27"/>
      <c r="I463" s="636"/>
      <c r="J463" s="637"/>
      <c r="K463" s="637"/>
      <c r="L463" s="637"/>
      <c r="M463" s="637"/>
      <c r="N463" s="637"/>
      <c r="O463" s="637"/>
      <c r="P463" s="633"/>
      <c r="Q463" s="588"/>
    </row>
    <row r="464" ht="7.5" customHeight="1">
      <c r="A464" s="578"/>
      <c r="B464" s="579"/>
      <c r="C464" s="579"/>
      <c r="D464" s="579"/>
      <c r="E464" s="579"/>
      <c r="F464" s="579"/>
      <c r="G464" s="579"/>
      <c r="H464" s="579"/>
      <c r="I464" s="579"/>
      <c r="J464" s="579"/>
      <c r="K464" s="579"/>
      <c r="L464" s="579"/>
      <c r="M464" s="579"/>
      <c r="N464" s="579"/>
      <c r="O464" s="579"/>
      <c r="P464" s="555"/>
      <c r="Q464" s="580"/>
    </row>
    <row r="465" ht="3.75" customHeight="1">
      <c r="A465" s="581"/>
      <c r="B465" s="582"/>
      <c r="C465" s="583"/>
      <c r="D465" s="583"/>
      <c r="E465" s="583"/>
      <c r="F465" s="583"/>
      <c r="G465" s="583"/>
      <c r="H465" s="583"/>
      <c r="I465" s="583"/>
      <c r="J465" s="583"/>
      <c r="K465" s="583"/>
      <c r="L465" s="583"/>
      <c r="M465" s="583"/>
      <c r="N465" s="583"/>
      <c r="O465" s="583"/>
      <c r="P465" s="583"/>
      <c r="Q465" s="580"/>
    </row>
    <row r="466" ht="7.5" customHeight="1">
      <c r="A466" s="578"/>
      <c r="B466" s="579"/>
      <c r="C466" s="579"/>
      <c r="D466" s="579"/>
      <c r="E466" s="579"/>
      <c r="F466" s="579"/>
      <c r="G466" s="579"/>
      <c r="H466" s="579"/>
      <c r="I466" s="579"/>
      <c r="J466" s="579"/>
      <c r="K466" s="579"/>
      <c r="L466" s="579"/>
      <c r="M466" s="579"/>
      <c r="N466" s="579"/>
      <c r="O466" s="579"/>
      <c r="P466" s="555"/>
      <c r="Q466" s="580"/>
    </row>
    <row r="467">
      <c r="A467" s="578"/>
      <c r="B467" s="584" t="s">
        <v>1006</v>
      </c>
      <c r="C467" s="168"/>
      <c r="D467" s="169"/>
      <c r="E467" s="557"/>
      <c r="F467" s="589"/>
      <c r="G467" s="589"/>
      <c r="H467" s="589"/>
      <c r="I467" s="589"/>
      <c r="J467" s="589"/>
      <c r="K467" s="589"/>
      <c r="L467" s="589"/>
      <c r="M467" s="589"/>
      <c r="N467" s="589"/>
      <c r="O467" s="589"/>
      <c r="P467" s="589"/>
      <c r="Q467" s="557"/>
    </row>
    <row r="468" ht="26.25" customHeight="1">
      <c r="A468" s="558" t="str">
        <f>Source!$B$6</f>
        <v/>
      </c>
      <c r="B468" s="559" t="str">
        <f>Source!$D$19</f>
        <v/>
      </c>
      <c r="C468" s="560" t="str">
        <f>Source!$B$7</f>
        <v/>
      </c>
      <c r="D468" s="561" t="s">
        <v>1007</v>
      </c>
      <c r="E468" s="562"/>
      <c r="F468" s="585" t="s">
        <v>1008</v>
      </c>
      <c r="G468" s="27"/>
      <c r="H468" s="27"/>
      <c r="I468" s="27"/>
      <c r="J468" s="27"/>
      <c r="K468" s="27"/>
      <c r="L468" s="27"/>
      <c r="M468" s="27"/>
      <c r="N468" s="632"/>
      <c r="O468" s="637"/>
      <c r="P468" s="637"/>
      <c r="Q468" s="588"/>
    </row>
    <row r="469" ht="26.25" customHeight="1">
      <c r="A469" s="558" t="str">
        <f>Source!$B$6</f>
        <v/>
      </c>
      <c r="B469" s="559" t="str">
        <f>Source!$AN$98</f>
        <v/>
      </c>
      <c r="C469" s="569"/>
      <c r="D469" s="570" t="s">
        <v>1009</v>
      </c>
      <c r="E469" s="571"/>
      <c r="F469" s="572" t="s">
        <v>1010</v>
      </c>
      <c r="G469" s="27"/>
      <c r="H469" s="27"/>
      <c r="I469" s="27"/>
      <c r="J469" s="27"/>
      <c r="K469" s="27"/>
      <c r="L469" s="632"/>
      <c r="M469" s="637"/>
      <c r="N469" s="637"/>
      <c r="O469" s="637"/>
      <c r="P469" s="637"/>
      <c r="Q469" s="31"/>
    </row>
    <row r="470" ht="26.25" customHeight="1">
      <c r="A470" s="558" t="str">
        <f>Source!$B$6</f>
        <v/>
      </c>
      <c r="B470" s="559" t="str">
        <f>Source!$AN$34</f>
        <v/>
      </c>
      <c r="C470" s="560"/>
      <c r="D470" s="561" t="s">
        <v>1011</v>
      </c>
      <c r="E470" s="562"/>
      <c r="F470" s="603" t="s">
        <v>1012</v>
      </c>
      <c r="G470" s="27"/>
      <c r="H470" s="27"/>
      <c r="I470" s="27"/>
      <c r="J470" s="27"/>
      <c r="K470" s="27"/>
      <c r="L470" s="632"/>
      <c r="M470" s="637"/>
      <c r="N470" s="637"/>
      <c r="O470" s="637"/>
      <c r="P470" s="637"/>
      <c r="Q470" s="588"/>
    </row>
    <row r="471" ht="26.25" customHeight="1">
      <c r="A471" s="558" t="str">
        <f>Source!$B$6</f>
        <v/>
      </c>
      <c r="B471" s="559" t="str">
        <f>Source!$P$29</f>
        <v/>
      </c>
      <c r="C471" s="569"/>
      <c r="D471" s="570" t="s">
        <v>1013</v>
      </c>
      <c r="E471" s="571"/>
      <c r="F471" s="572" t="s">
        <v>1014</v>
      </c>
      <c r="G471" s="27"/>
      <c r="H471" s="27"/>
      <c r="I471" s="27"/>
      <c r="J471" s="27"/>
      <c r="K471" s="27"/>
      <c r="L471" s="27"/>
      <c r="M471" s="27"/>
      <c r="N471" s="27"/>
      <c r="O471" s="27"/>
      <c r="P471" s="27"/>
      <c r="Q471" s="31"/>
    </row>
    <row r="472" ht="26.25" customHeight="1">
      <c r="A472" s="558" t="str">
        <f>Source!$B$6</f>
        <v/>
      </c>
      <c r="B472" s="559" t="str">
        <f>Source!$AN$67</f>
        <v/>
      </c>
      <c r="C472" s="560"/>
      <c r="D472" s="561" t="s">
        <v>1015</v>
      </c>
      <c r="E472" s="562"/>
      <c r="F472" s="585" t="s">
        <v>1014</v>
      </c>
      <c r="G472" s="27"/>
      <c r="H472" s="27"/>
      <c r="I472" s="27"/>
      <c r="J472" s="27"/>
      <c r="K472" s="27"/>
      <c r="L472" s="27"/>
      <c r="M472" s="27"/>
      <c r="N472" s="27"/>
      <c r="O472" s="27"/>
      <c r="P472" s="27"/>
      <c r="Q472" s="588"/>
    </row>
    <row r="473" ht="7.5" customHeight="1">
      <c r="A473" s="578"/>
      <c r="B473" s="579"/>
      <c r="C473" s="579"/>
      <c r="D473" s="579"/>
      <c r="E473" s="579"/>
      <c r="F473" s="579"/>
      <c r="G473" s="579"/>
      <c r="H473" s="579"/>
      <c r="I473" s="579"/>
      <c r="J473" s="579"/>
      <c r="K473" s="579"/>
      <c r="L473" s="579"/>
      <c r="M473" s="579"/>
      <c r="N473" s="579"/>
      <c r="O473" s="579"/>
      <c r="P473" s="555"/>
      <c r="Q473" s="580"/>
    </row>
    <row r="474" ht="3.75" customHeight="1">
      <c r="A474" s="581"/>
      <c r="B474" s="582"/>
      <c r="C474" s="583"/>
      <c r="D474" s="583"/>
      <c r="E474" s="583"/>
      <c r="F474" s="583"/>
      <c r="G474" s="583"/>
      <c r="H474" s="583"/>
      <c r="I474" s="583"/>
      <c r="J474" s="583"/>
      <c r="K474" s="583"/>
      <c r="L474" s="583"/>
      <c r="M474" s="583"/>
      <c r="N474" s="583"/>
      <c r="O474" s="583"/>
      <c r="P474" s="583"/>
      <c r="Q474" s="580"/>
    </row>
    <row r="475" ht="7.5" customHeight="1">
      <c r="A475" s="578"/>
      <c r="B475" s="579"/>
      <c r="C475" s="579"/>
      <c r="D475" s="579"/>
      <c r="E475" s="579"/>
      <c r="F475" s="579"/>
      <c r="G475" s="579"/>
      <c r="H475" s="579"/>
      <c r="I475" s="579"/>
      <c r="J475" s="579"/>
      <c r="K475" s="579"/>
      <c r="L475" s="579"/>
      <c r="M475" s="579"/>
      <c r="N475" s="579"/>
      <c r="O475" s="579"/>
      <c r="P475" s="555"/>
      <c r="Q475" s="580"/>
    </row>
    <row r="476">
      <c r="A476" s="578"/>
      <c r="B476" s="604" t="s">
        <v>1016</v>
      </c>
      <c r="C476" s="168"/>
      <c r="D476" s="169"/>
      <c r="E476" s="557"/>
      <c r="F476" s="589"/>
      <c r="G476" s="589"/>
      <c r="H476" s="589"/>
      <c r="I476" s="589"/>
      <c r="J476" s="589"/>
      <c r="K476" s="589"/>
      <c r="L476" s="589"/>
      <c r="M476" s="589"/>
      <c r="N476" s="589"/>
      <c r="O476" s="589"/>
      <c r="P476" s="589"/>
      <c r="Q476" s="557"/>
    </row>
    <row r="477" ht="26.25" customHeight="1">
      <c r="A477" s="558" t="str">
        <f>Source!$B$6</f>
        <v/>
      </c>
      <c r="B477" s="559" t="str">
        <f>Source!$AQ$202</f>
        <v/>
      </c>
      <c r="C477" s="560" t="str">
        <f>Source!$B$7</f>
        <v/>
      </c>
      <c r="D477" s="574" t="s">
        <v>1017</v>
      </c>
      <c r="E477" s="562"/>
      <c r="F477" s="585" t="s">
        <v>1018</v>
      </c>
      <c r="G477" s="27"/>
      <c r="H477" s="27"/>
      <c r="I477" s="27"/>
      <c r="J477" s="27"/>
      <c r="K477" s="27"/>
      <c r="L477" s="27"/>
      <c r="M477" s="632"/>
      <c r="N477" s="637"/>
      <c r="O477" s="637"/>
      <c r="P477" s="637"/>
      <c r="Q477" s="588"/>
    </row>
    <row r="478" ht="26.25" customHeight="1">
      <c r="A478" s="558" t="str">
        <f>Source!$B$6</f>
        <v/>
      </c>
      <c r="B478" s="559" t="str">
        <f>Source!$Y$27</f>
        <v/>
      </c>
      <c r="C478" s="569"/>
      <c r="D478" s="570" t="s">
        <v>838</v>
      </c>
      <c r="E478" s="571"/>
      <c r="F478" s="572" t="s">
        <v>1019</v>
      </c>
      <c r="G478" s="27"/>
      <c r="H478" s="27"/>
      <c r="I478" s="27"/>
      <c r="J478" s="27"/>
      <c r="K478" s="27"/>
      <c r="L478" s="27"/>
      <c r="M478" s="27"/>
      <c r="N478" s="27"/>
      <c r="O478" s="27"/>
      <c r="P478" s="27"/>
      <c r="Q478" s="31"/>
    </row>
    <row r="479" ht="26.25" customHeight="1">
      <c r="A479" s="558" t="str">
        <f>Source!$B$6</f>
        <v/>
      </c>
      <c r="B479" s="559" t="str">
        <f>Source!$AB$33</f>
        <v/>
      </c>
      <c r="C479" s="560"/>
      <c r="D479" s="561" t="s">
        <v>916</v>
      </c>
      <c r="E479" s="562"/>
      <c r="F479" s="585" t="s">
        <v>1020</v>
      </c>
      <c r="G479" s="27"/>
      <c r="H479" s="27"/>
      <c r="I479" s="27"/>
      <c r="J479" s="27"/>
      <c r="K479" s="27"/>
      <c r="L479" s="27"/>
      <c r="M479" s="27"/>
      <c r="N479" s="27"/>
      <c r="O479" s="632"/>
      <c r="P479" s="637"/>
      <c r="Q479" s="588"/>
    </row>
    <row r="480" ht="26.25" customHeight="1">
      <c r="A480" s="558" t="str">
        <f>Source!$B$6</f>
        <v/>
      </c>
      <c r="B480" s="559" t="str">
        <f>Source!$D$15</f>
        <v/>
      </c>
      <c r="C480" s="569"/>
      <c r="D480" s="570" t="s">
        <v>1021</v>
      </c>
      <c r="E480" s="571"/>
      <c r="F480" s="572" t="s">
        <v>1022</v>
      </c>
      <c r="G480" s="27"/>
      <c r="H480" s="27"/>
      <c r="I480" s="27"/>
      <c r="J480" s="27"/>
      <c r="K480" s="632"/>
      <c r="L480" s="633"/>
      <c r="M480" s="637"/>
      <c r="N480" s="637"/>
      <c r="O480" s="637"/>
      <c r="P480" s="637"/>
      <c r="Q480" s="31"/>
    </row>
    <row r="481" ht="26.25" customHeight="1">
      <c r="A481" s="610" t="str">
        <f>Source!$B$6</f>
        <v/>
      </c>
      <c r="B481" s="611" t="str">
        <f>Source!$AN$49</f>
        <v/>
      </c>
      <c r="C481" s="612"/>
      <c r="D481" s="629" t="s">
        <v>1023</v>
      </c>
      <c r="E481" s="614"/>
      <c r="F481" s="563" t="s">
        <v>1024</v>
      </c>
      <c r="G481" s="139"/>
      <c r="H481" s="139"/>
      <c r="I481" s="139"/>
      <c r="J481" s="139"/>
      <c r="K481" s="139"/>
      <c r="L481" s="139"/>
      <c r="M481" s="139"/>
      <c r="N481" s="139"/>
      <c r="O481" s="139"/>
      <c r="P481" s="139"/>
      <c r="Q481" s="588"/>
    </row>
    <row r="482" ht="7.5" customHeight="1">
      <c r="A482" s="615"/>
      <c r="B482" s="616"/>
      <c r="C482" s="617"/>
      <c r="D482" s="618"/>
      <c r="E482" s="618"/>
      <c r="F482" s="619"/>
      <c r="G482" s="620"/>
      <c r="H482" s="620"/>
      <c r="I482" s="620"/>
      <c r="J482" s="620"/>
      <c r="K482" s="620"/>
      <c r="L482" s="620"/>
      <c r="M482" s="620"/>
      <c r="N482" s="620"/>
      <c r="O482" s="620"/>
      <c r="P482" s="620"/>
      <c r="Q482" s="588"/>
    </row>
    <row r="483" ht="26.25" customHeight="1">
      <c r="A483" s="610" t="str">
        <f>Source!$B$6</f>
        <v/>
      </c>
      <c r="B483" s="611" t="str">
        <f>Source!$P$10</f>
        <v/>
      </c>
      <c r="C483" s="621"/>
      <c r="D483" s="638" t="s">
        <v>1025</v>
      </c>
      <c r="E483" s="623"/>
      <c r="F483" s="639" t="s">
        <v>1026</v>
      </c>
      <c r="G483" s="139"/>
      <c r="H483" s="139"/>
      <c r="I483" s="139"/>
      <c r="J483" s="139"/>
      <c r="K483" s="139"/>
      <c r="L483" s="139"/>
      <c r="M483" s="139"/>
      <c r="N483" s="139"/>
      <c r="O483" s="139"/>
      <c r="P483" s="139"/>
      <c r="Q483" s="588"/>
    </row>
    <row r="484" ht="7.5" customHeight="1">
      <c r="A484" s="615"/>
      <c r="B484" s="616"/>
      <c r="C484" s="625"/>
      <c r="D484" s="626"/>
      <c r="E484" s="626"/>
      <c r="F484" s="627"/>
      <c r="G484" s="620"/>
      <c r="H484" s="620"/>
      <c r="I484" s="620"/>
      <c r="J484" s="620"/>
      <c r="K484" s="620"/>
      <c r="L484" s="620"/>
      <c r="M484" s="620"/>
      <c r="N484" s="620"/>
      <c r="O484" s="620"/>
      <c r="P484" s="620"/>
      <c r="Q484" s="588"/>
    </row>
    <row r="485" ht="26.25" customHeight="1">
      <c r="A485" s="558" t="str">
        <f>Source!$B$6</f>
        <v/>
      </c>
      <c r="B485" s="559" t="str">
        <f>Source!$D$7</f>
        <v/>
      </c>
      <c r="C485" s="560"/>
      <c r="D485" s="561" t="s">
        <v>1027</v>
      </c>
      <c r="E485" s="562"/>
      <c r="F485" s="585" t="s">
        <v>1028</v>
      </c>
      <c r="G485" s="27"/>
      <c r="H485" s="27"/>
      <c r="I485" s="27"/>
      <c r="J485" s="27"/>
      <c r="K485" s="27"/>
      <c r="L485" s="27"/>
      <c r="M485" s="27"/>
      <c r="N485" s="27"/>
      <c r="O485" s="632"/>
      <c r="P485" s="637"/>
      <c r="Q485" s="31"/>
    </row>
    <row r="486" ht="26.25" customHeight="1">
      <c r="A486" s="558" t="str">
        <f>Source!$B$6</f>
        <v/>
      </c>
      <c r="B486" s="559" t="str">
        <f>Source!$D$14</f>
        <v/>
      </c>
      <c r="C486" s="569"/>
      <c r="D486" s="601" t="s">
        <v>1029</v>
      </c>
      <c r="E486" s="571"/>
      <c r="F486" s="572" t="s">
        <v>1030</v>
      </c>
      <c r="G486" s="27"/>
      <c r="H486" s="27"/>
      <c r="I486" s="27"/>
      <c r="J486" s="27"/>
      <c r="K486" s="27"/>
      <c r="L486" s="27"/>
      <c r="M486" s="27"/>
      <c r="N486" s="27"/>
      <c r="O486" s="27"/>
      <c r="P486" s="632"/>
      <c r="Q486" s="588"/>
    </row>
    <row r="487" ht="26.25" customHeight="1">
      <c r="A487" s="558" t="str">
        <f>Source!$B$6</f>
        <v/>
      </c>
      <c r="B487" s="559" t="str">
        <f>Source!$AB$44</f>
        <v/>
      </c>
      <c r="C487" s="560"/>
      <c r="D487" s="561" t="s">
        <v>566</v>
      </c>
      <c r="E487" s="562"/>
      <c r="F487" s="585" t="s">
        <v>1031</v>
      </c>
      <c r="G487" s="27"/>
      <c r="H487" s="27"/>
      <c r="I487" s="27"/>
      <c r="J487" s="27"/>
      <c r="K487" s="27"/>
      <c r="L487" s="27"/>
      <c r="M487" s="632"/>
      <c r="N487" s="637"/>
      <c r="O487" s="637"/>
      <c r="P487" s="637"/>
      <c r="Q487" s="31"/>
    </row>
    <row r="488" ht="26.25" customHeight="1">
      <c r="A488" s="558" t="str">
        <f>Source!$B$6</f>
        <v/>
      </c>
      <c r="B488" s="559" t="str">
        <f>Source!$AB$40</f>
        <v/>
      </c>
      <c r="C488" s="569"/>
      <c r="D488" s="601" t="s">
        <v>1032</v>
      </c>
      <c r="E488" s="571"/>
      <c r="F488" s="572" t="s">
        <v>1033</v>
      </c>
      <c r="G488" s="27"/>
      <c r="H488" s="27"/>
      <c r="I488" s="27"/>
      <c r="J488" s="27"/>
      <c r="K488" s="27"/>
      <c r="L488" s="27"/>
      <c r="M488" s="27"/>
      <c r="N488" s="27"/>
      <c r="O488" s="27"/>
      <c r="P488" s="632"/>
      <c r="Q488" s="588"/>
    </row>
    <row r="489" ht="7.5" customHeight="1">
      <c r="A489" s="578"/>
      <c r="B489" s="579"/>
      <c r="C489" s="579"/>
      <c r="D489" s="579"/>
      <c r="E489" s="579"/>
      <c r="F489" s="579"/>
      <c r="G489" s="579"/>
      <c r="H489" s="579"/>
      <c r="I489" s="579"/>
      <c r="J489" s="579"/>
      <c r="K489" s="579"/>
      <c r="L489" s="579"/>
      <c r="M489" s="579"/>
      <c r="N489" s="579"/>
      <c r="O489" s="579"/>
      <c r="P489" s="555"/>
      <c r="Q489" s="580"/>
    </row>
    <row r="490" ht="3.75" customHeight="1">
      <c r="A490" s="581"/>
      <c r="B490" s="582"/>
      <c r="C490" s="583"/>
      <c r="D490" s="583"/>
      <c r="E490" s="583"/>
      <c r="F490" s="583"/>
      <c r="G490" s="583"/>
      <c r="H490" s="583"/>
      <c r="I490" s="583"/>
      <c r="J490" s="583"/>
      <c r="K490" s="583"/>
      <c r="L490" s="583"/>
      <c r="M490" s="583"/>
      <c r="N490" s="583"/>
      <c r="O490" s="583"/>
      <c r="P490" s="583"/>
      <c r="Q490" s="580"/>
    </row>
    <row r="491" ht="7.5" customHeight="1">
      <c r="A491" s="578"/>
      <c r="B491" s="579"/>
      <c r="C491" s="579"/>
      <c r="D491" s="579"/>
      <c r="E491" s="579"/>
      <c r="F491" s="579"/>
      <c r="G491" s="579"/>
      <c r="H491" s="579"/>
      <c r="I491" s="579"/>
      <c r="J491" s="579"/>
      <c r="K491" s="579"/>
      <c r="L491" s="579"/>
      <c r="M491" s="579"/>
      <c r="N491" s="579"/>
      <c r="O491" s="579"/>
      <c r="P491" s="555"/>
      <c r="Q491" s="580"/>
    </row>
    <row r="492">
      <c r="A492" s="578"/>
      <c r="B492" s="584" t="s">
        <v>1034</v>
      </c>
      <c r="C492" s="168"/>
      <c r="D492" s="169"/>
      <c r="E492" s="557"/>
      <c r="F492" s="589"/>
      <c r="G492" s="589"/>
      <c r="H492" s="589"/>
      <c r="I492" s="589"/>
      <c r="J492" s="589"/>
      <c r="K492" s="589"/>
      <c r="L492" s="589"/>
      <c r="M492" s="589"/>
      <c r="N492" s="589"/>
      <c r="O492" s="589"/>
      <c r="P492" s="589"/>
      <c r="Q492" s="557"/>
    </row>
    <row r="493" ht="26.25" customHeight="1">
      <c r="A493" s="558" t="str">
        <f>Source!$B$6</f>
        <v/>
      </c>
      <c r="B493" s="559" t="str">
        <f>Source!$AK$19</f>
        <v/>
      </c>
      <c r="C493" s="560" t="str">
        <f>Source!$B$7</f>
        <v/>
      </c>
      <c r="D493" s="561" t="s">
        <v>631</v>
      </c>
      <c r="E493" s="562"/>
      <c r="F493" s="585" t="s">
        <v>1035</v>
      </c>
      <c r="G493" s="27"/>
      <c r="H493" s="27"/>
      <c r="I493" s="27"/>
      <c r="J493" s="27"/>
      <c r="K493" s="27"/>
      <c r="L493" s="27"/>
      <c r="M493" s="27"/>
      <c r="N493" s="27"/>
      <c r="O493" s="565"/>
      <c r="P493" s="568"/>
      <c r="Q493" s="588"/>
    </row>
    <row r="494" ht="26.25" customHeight="1">
      <c r="A494" s="558" t="str">
        <f>Source!$B$6</f>
        <v/>
      </c>
      <c r="B494" s="559" t="str">
        <f>Source!$D$12</f>
        <v/>
      </c>
      <c r="C494" s="569"/>
      <c r="D494" s="570" t="s">
        <v>1036</v>
      </c>
      <c r="E494" s="571"/>
      <c r="F494" s="572" t="s">
        <v>1037</v>
      </c>
      <c r="G494" s="27"/>
      <c r="H494" s="27"/>
      <c r="I494" s="27"/>
      <c r="J494" s="27"/>
      <c r="K494" s="27"/>
      <c r="L494" s="27"/>
      <c r="M494" s="565"/>
      <c r="N494" s="568"/>
      <c r="O494" s="568"/>
      <c r="P494" s="568"/>
      <c r="Q494" s="31"/>
    </row>
    <row r="495" ht="26.25" customHeight="1">
      <c r="A495" s="558" t="str">
        <f>Source!$B$6</f>
        <v/>
      </c>
      <c r="B495" s="559" t="str">
        <f>Source!$AB$32</f>
        <v/>
      </c>
      <c r="C495" s="560"/>
      <c r="D495" s="561" t="s">
        <v>939</v>
      </c>
      <c r="E495" s="562"/>
      <c r="F495" s="585" t="s">
        <v>1038</v>
      </c>
      <c r="G495" s="27"/>
      <c r="H495" s="27"/>
      <c r="I495" s="27"/>
      <c r="J495" s="27"/>
      <c r="K495" s="565"/>
      <c r="L495" s="568"/>
      <c r="M495" s="568"/>
      <c r="N495" s="568"/>
      <c r="O495" s="568"/>
      <c r="P495" s="568"/>
      <c r="Q495" s="588"/>
    </row>
    <row r="496" ht="26.25" customHeight="1">
      <c r="A496" s="558" t="str">
        <f>Source!$B$6</f>
        <v/>
      </c>
      <c r="B496" s="559" t="str">
        <f>Source!$P$24</f>
        <v/>
      </c>
      <c r="C496" s="569" t="str">
        <f>Source!$B$7</f>
        <v/>
      </c>
      <c r="D496" s="600" t="s">
        <v>1039</v>
      </c>
      <c r="E496" s="571"/>
      <c r="F496" s="572" t="s">
        <v>1040</v>
      </c>
      <c r="G496" s="27"/>
      <c r="H496" s="27"/>
      <c r="I496" s="27"/>
      <c r="J496" s="27"/>
      <c r="K496" s="27"/>
      <c r="L496" s="27"/>
      <c r="M496" s="27"/>
      <c r="N496" s="27"/>
      <c r="O496" s="27"/>
      <c r="P496" s="565"/>
      <c r="Q496" s="31"/>
    </row>
    <row r="497" ht="26.25" customHeight="1">
      <c r="A497" s="558" t="str">
        <f>Source!$B$6</f>
        <v/>
      </c>
      <c r="B497" s="559" t="str">
        <f>Source!$D$5</f>
        <v/>
      </c>
      <c r="C497" s="560"/>
      <c r="D497" s="587" t="s">
        <v>1041</v>
      </c>
      <c r="E497" s="562"/>
      <c r="F497" s="585" t="s">
        <v>1042</v>
      </c>
      <c r="G497" s="27"/>
      <c r="H497" s="27"/>
      <c r="I497" s="27"/>
      <c r="J497" s="27"/>
      <c r="K497" s="27"/>
      <c r="L497" s="27"/>
      <c r="M497" s="27"/>
      <c r="N497" s="27"/>
      <c r="O497" s="565"/>
      <c r="P497" s="568"/>
      <c r="Q497" s="31"/>
    </row>
    <row r="498" ht="26.25" customHeight="1">
      <c r="A498" s="558" t="str">
        <f>Source!$B$6</f>
        <v/>
      </c>
      <c r="B498" s="559" t="str">
        <f>Source!$P$11</f>
        <v/>
      </c>
      <c r="C498" s="569"/>
      <c r="D498" s="600" t="s">
        <v>1043</v>
      </c>
      <c r="E498" s="571"/>
      <c r="F498" s="572" t="s">
        <v>1044</v>
      </c>
      <c r="G498" s="27"/>
      <c r="H498" s="27"/>
      <c r="I498" s="27"/>
      <c r="J498" s="27"/>
      <c r="K498" s="27"/>
      <c r="L498" s="27"/>
      <c r="M498" s="27"/>
      <c r="N498" s="27"/>
      <c r="O498" s="565"/>
      <c r="P498" s="568"/>
      <c r="Q498" s="31"/>
    </row>
    <row r="499" ht="26.25" customHeight="1">
      <c r="A499" s="558" t="str">
        <f>Source!$B$6</f>
        <v/>
      </c>
      <c r="B499" s="559" t="str">
        <f>Source!$D$4</f>
        <v/>
      </c>
      <c r="C499" s="560"/>
      <c r="D499" s="561" t="s">
        <v>1045</v>
      </c>
      <c r="E499" s="562"/>
      <c r="F499" s="585" t="s">
        <v>1046</v>
      </c>
      <c r="G499" s="27"/>
      <c r="H499" s="27"/>
      <c r="I499" s="27"/>
      <c r="J499" s="27"/>
      <c r="K499" s="27"/>
      <c r="L499" s="565"/>
      <c r="M499" s="568"/>
      <c r="N499" s="568"/>
      <c r="O499" s="568"/>
      <c r="P499" s="568"/>
      <c r="Q499" s="31"/>
    </row>
    <row r="500" ht="26.25" customHeight="1">
      <c r="A500" s="558" t="str">
        <f>Source!$B$6</f>
        <v/>
      </c>
      <c r="B500" s="559" t="str">
        <f>Source!$P$37</f>
        <v/>
      </c>
      <c r="C500" s="569" t="str">
        <f>Source!$B$7</f>
        <v/>
      </c>
      <c r="D500" s="600" t="s">
        <v>1047</v>
      </c>
      <c r="E500" s="571"/>
      <c r="F500" s="572" t="s">
        <v>1048</v>
      </c>
      <c r="G500" s="27"/>
      <c r="H500" s="27"/>
      <c r="I500" s="27"/>
      <c r="J500" s="27"/>
      <c r="K500" s="27"/>
      <c r="L500" s="27"/>
      <c r="M500" s="27"/>
      <c r="N500" s="27"/>
      <c r="O500" s="27"/>
      <c r="P500" s="565"/>
      <c r="Q500" s="31"/>
    </row>
    <row r="501" ht="26.25" customHeight="1">
      <c r="A501" s="558" t="str">
        <f>Source!$B$6</f>
        <v/>
      </c>
      <c r="B501" s="559" t="str">
        <f>Source!$AQ$71</f>
        <v/>
      </c>
      <c r="C501" s="560"/>
      <c r="D501" s="574" t="s">
        <v>1049</v>
      </c>
      <c r="E501" s="562"/>
      <c r="F501" s="585" t="s">
        <v>1050</v>
      </c>
      <c r="G501" s="27"/>
      <c r="H501" s="27"/>
      <c r="I501" s="27"/>
      <c r="J501" s="27"/>
      <c r="K501" s="27"/>
      <c r="L501" s="27"/>
      <c r="M501" s="27"/>
      <c r="N501" s="27"/>
      <c r="O501" s="27"/>
      <c r="P501" s="565"/>
      <c r="Q501" s="31"/>
    </row>
    <row r="502" ht="26.25" customHeight="1">
      <c r="A502" s="558" t="str">
        <f>Source!$B$6</f>
        <v/>
      </c>
      <c r="B502" s="559" t="str">
        <f>Source!$D$7</f>
        <v/>
      </c>
      <c r="C502" s="569"/>
      <c r="D502" s="570" t="s">
        <v>1051</v>
      </c>
      <c r="E502" s="571"/>
      <c r="F502" s="572" t="s">
        <v>1052</v>
      </c>
      <c r="G502" s="27"/>
      <c r="H502" s="27"/>
      <c r="I502" s="27"/>
      <c r="J502" s="27"/>
      <c r="K502" s="27"/>
      <c r="L502" s="27"/>
      <c r="M502" s="27"/>
      <c r="N502" s="27"/>
      <c r="O502" s="565"/>
      <c r="P502" s="568"/>
      <c r="Q502" s="31"/>
    </row>
    <row r="503" ht="26.25" customHeight="1">
      <c r="A503" s="610" t="str">
        <f>Source!$B$6</f>
        <v/>
      </c>
      <c r="B503" s="611" t="str">
        <f>Source!$AB$47</f>
        <v/>
      </c>
      <c r="C503" s="612"/>
      <c r="D503" s="629" t="s">
        <v>580</v>
      </c>
      <c r="E503" s="614"/>
      <c r="F503" s="563" t="s">
        <v>1053</v>
      </c>
      <c r="G503" s="139"/>
      <c r="H503" s="139"/>
      <c r="I503" s="139"/>
      <c r="J503" s="139"/>
      <c r="K503" s="139"/>
      <c r="L503" s="139"/>
      <c r="M503" s="139"/>
      <c r="N503" s="139"/>
      <c r="O503" s="139"/>
      <c r="P503" s="139"/>
      <c r="Q503" s="31"/>
    </row>
    <row r="504" ht="7.5" customHeight="1">
      <c r="A504" s="615"/>
      <c r="B504" s="616"/>
      <c r="C504" s="617"/>
      <c r="D504" s="618"/>
      <c r="E504" s="618"/>
      <c r="F504" s="619"/>
      <c r="G504" s="620"/>
      <c r="H504" s="620"/>
      <c r="I504" s="620"/>
      <c r="J504" s="620"/>
      <c r="K504" s="620"/>
      <c r="L504" s="620"/>
      <c r="M504" s="620"/>
      <c r="N504" s="620"/>
      <c r="O504" s="620"/>
      <c r="P504" s="620"/>
      <c r="Q504" s="31"/>
    </row>
    <row r="505" ht="26.25" customHeight="1">
      <c r="A505" s="558" t="str">
        <f>Source!$B$6</f>
        <v/>
      </c>
      <c r="B505" s="559" t="str">
        <f>Source!$D$19</f>
        <v/>
      </c>
      <c r="C505" s="569"/>
      <c r="D505" s="600" t="s">
        <v>1054</v>
      </c>
      <c r="E505" s="571"/>
      <c r="F505" s="572" t="s">
        <v>1055</v>
      </c>
      <c r="G505" s="27"/>
      <c r="H505" s="27"/>
      <c r="I505" s="27"/>
      <c r="J505" s="27"/>
      <c r="K505" s="27"/>
      <c r="L505" s="27"/>
      <c r="M505" s="565"/>
      <c r="N505" s="568"/>
      <c r="O505" s="568"/>
      <c r="P505" s="568"/>
      <c r="Q505" s="31"/>
    </row>
    <row r="506" ht="26.25" customHeight="1">
      <c r="A506" s="558" t="str">
        <f>Source!$B$6</f>
        <v/>
      </c>
      <c r="B506" s="559" t="str">
        <f>Source!$P$29</f>
        <v/>
      </c>
      <c r="C506" s="560"/>
      <c r="D506" s="574" t="s">
        <v>1056</v>
      </c>
      <c r="E506" s="562"/>
      <c r="F506" s="585" t="s">
        <v>1057</v>
      </c>
      <c r="G506" s="27"/>
      <c r="H506" s="27"/>
      <c r="I506" s="27"/>
      <c r="J506" s="27"/>
      <c r="K506" s="27"/>
      <c r="L506" s="27"/>
      <c r="M506" s="27"/>
      <c r="N506" s="27"/>
      <c r="O506" s="565"/>
      <c r="P506" s="568"/>
      <c r="Q506" s="31"/>
    </row>
    <row r="507" ht="26.25" customHeight="1">
      <c r="A507" s="558" t="str">
        <f>Source!$B$6</f>
        <v/>
      </c>
      <c r="B507" s="559" t="str">
        <f>Source!$D$16</f>
        <v/>
      </c>
      <c r="C507" s="569" t="str">
        <f>Source!$B$7</f>
        <v/>
      </c>
      <c r="D507" s="640" t="s">
        <v>1058</v>
      </c>
      <c r="E507" s="571"/>
      <c r="F507" s="572" t="s">
        <v>1059</v>
      </c>
      <c r="G507" s="27"/>
      <c r="H507" s="27"/>
      <c r="I507" s="27"/>
      <c r="J507" s="27"/>
      <c r="K507" s="27"/>
      <c r="L507" s="27"/>
      <c r="M507" s="27"/>
      <c r="N507" s="27"/>
      <c r="O507" s="565"/>
      <c r="P507" s="568"/>
      <c r="Q507" s="31"/>
    </row>
    <row r="508" ht="26.25" customHeight="1">
      <c r="A508" s="558" t="str">
        <f>Source!$B$6</f>
        <v/>
      </c>
      <c r="B508" s="559" t="str">
        <f>Source!$AB$33</f>
        <v/>
      </c>
      <c r="C508" s="560"/>
      <c r="D508" s="561" t="s">
        <v>916</v>
      </c>
      <c r="E508" s="562"/>
      <c r="F508" s="585" t="s">
        <v>1060</v>
      </c>
      <c r="G508" s="27"/>
      <c r="H508" s="27"/>
      <c r="I508" s="27"/>
      <c r="J508" s="27"/>
      <c r="K508" s="27"/>
      <c r="L508" s="27"/>
      <c r="M508" s="27"/>
      <c r="N508" s="27"/>
      <c r="O508" s="27"/>
      <c r="P508" s="27"/>
      <c r="Q508" s="31"/>
    </row>
    <row r="509" ht="26.25" customHeight="1">
      <c r="A509" s="558" t="str">
        <f>Source!$B$6</f>
        <v/>
      </c>
      <c r="B509" s="559" t="str">
        <f>Source!$D$11</f>
        <v/>
      </c>
      <c r="C509" s="560"/>
      <c r="D509" s="574" t="s">
        <v>1061</v>
      </c>
      <c r="E509" s="562"/>
      <c r="F509" s="585" t="s">
        <v>1062</v>
      </c>
      <c r="G509" s="27"/>
      <c r="H509" s="27"/>
      <c r="I509" s="27"/>
      <c r="J509" s="27"/>
      <c r="K509" s="27"/>
      <c r="L509" s="27"/>
      <c r="M509" s="27"/>
      <c r="N509" s="27"/>
      <c r="O509" s="565"/>
      <c r="P509" s="568"/>
      <c r="Q509" s="31"/>
    </row>
    <row r="510" ht="26.25" customHeight="1">
      <c r="A510" s="558" t="str">
        <f>Source!$B$6</f>
        <v/>
      </c>
      <c r="B510" s="559" t="str">
        <f>Source!$AK$19</f>
        <v/>
      </c>
      <c r="C510" s="569" t="str">
        <f>Source!$B$7</f>
        <v/>
      </c>
      <c r="D510" s="570" t="s">
        <v>631</v>
      </c>
      <c r="E510" s="571"/>
      <c r="F510" s="572" t="s">
        <v>1063</v>
      </c>
      <c r="G510" s="27"/>
      <c r="H510" s="27"/>
      <c r="I510" s="27"/>
      <c r="J510" s="27"/>
      <c r="K510" s="27"/>
      <c r="L510" s="27"/>
      <c r="M510" s="27"/>
      <c r="N510" s="27"/>
      <c r="O510" s="27"/>
      <c r="P510" s="565"/>
      <c r="Q510" s="31"/>
    </row>
    <row r="511" ht="26.25" customHeight="1">
      <c r="A511" s="558" t="str">
        <f>Source!$B$6</f>
        <v/>
      </c>
      <c r="B511" s="559" t="str">
        <f>Source!$AK$21</f>
        <v/>
      </c>
      <c r="C511" s="560"/>
      <c r="D511" s="561" t="s">
        <v>1064</v>
      </c>
      <c r="E511" s="562"/>
      <c r="F511" s="585" t="s">
        <v>1065</v>
      </c>
      <c r="G511" s="27"/>
      <c r="H511" s="27"/>
      <c r="I511" s="27"/>
      <c r="J511" s="27"/>
      <c r="K511" s="27"/>
      <c r="L511" s="27"/>
      <c r="M511" s="27"/>
      <c r="N511" s="565"/>
      <c r="O511" s="568"/>
      <c r="P511" s="568"/>
      <c r="Q511" s="31"/>
    </row>
    <row r="512" ht="7.5" customHeight="1">
      <c r="A512" s="578"/>
      <c r="B512" s="579"/>
      <c r="C512" s="579"/>
      <c r="D512" s="579"/>
      <c r="E512" s="579"/>
      <c r="F512" s="579"/>
      <c r="G512" s="579"/>
      <c r="H512" s="579"/>
      <c r="I512" s="579"/>
      <c r="J512" s="579"/>
      <c r="K512" s="579"/>
      <c r="L512" s="579"/>
      <c r="M512" s="579"/>
      <c r="N512" s="579"/>
      <c r="O512" s="579"/>
      <c r="P512" s="555"/>
      <c r="Q512" s="580"/>
    </row>
    <row r="513" ht="3.75" customHeight="1">
      <c r="A513" s="581"/>
      <c r="B513" s="582"/>
      <c r="C513" s="583"/>
      <c r="D513" s="583"/>
      <c r="E513" s="583"/>
      <c r="F513" s="583"/>
      <c r="G513" s="583"/>
      <c r="H513" s="583"/>
      <c r="I513" s="583"/>
      <c r="J513" s="583"/>
      <c r="K513" s="583"/>
      <c r="L513" s="583"/>
      <c r="M513" s="583"/>
      <c r="N513" s="583"/>
      <c r="O513" s="583"/>
      <c r="P513" s="583"/>
      <c r="Q513" s="580"/>
    </row>
    <row r="514" ht="7.5" customHeight="1">
      <c r="A514" s="578"/>
      <c r="B514" s="579"/>
      <c r="C514" s="579"/>
      <c r="D514" s="579"/>
      <c r="E514" s="579"/>
      <c r="F514" s="579"/>
      <c r="G514" s="579"/>
      <c r="H514" s="579"/>
      <c r="I514" s="579"/>
      <c r="J514" s="579"/>
      <c r="K514" s="579"/>
      <c r="L514" s="579"/>
      <c r="M514" s="579"/>
      <c r="N514" s="579"/>
      <c r="O514" s="579"/>
      <c r="P514" s="555"/>
      <c r="Q514" s="580"/>
    </row>
    <row r="515">
      <c r="A515" s="578"/>
      <c r="B515" s="584" t="s">
        <v>1066</v>
      </c>
      <c r="C515" s="168"/>
      <c r="D515" s="169"/>
      <c r="E515" s="557"/>
      <c r="F515" s="589"/>
      <c r="G515" s="589"/>
      <c r="H515" s="589"/>
      <c r="I515" s="589"/>
      <c r="J515" s="589"/>
      <c r="K515" s="589"/>
      <c r="L515" s="589"/>
      <c r="M515" s="589"/>
      <c r="N515" s="589"/>
      <c r="O515" s="589"/>
      <c r="P515" s="589"/>
      <c r="Q515" s="557"/>
    </row>
    <row r="516" ht="26.25" customHeight="1">
      <c r="A516" s="558" t="str">
        <f>Source!$B$6</f>
        <v/>
      </c>
      <c r="B516" s="559" t="str">
        <f>Source!$P$2</f>
        <v/>
      </c>
      <c r="C516" s="560" t="str">
        <f>Source!$B$7</f>
        <v/>
      </c>
      <c r="D516" s="561" t="s">
        <v>1067</v>
      </c>
      <c r="E516" s="634"/>
      <c r="F516" s="585" t="s">
        <v>1068</v>
      </c>
      <c r="G516" s="27"/>
      <c r="H516" s="27"/>
      <c r="I516" s="27"/>
      <c r="J516" s="27"/>
      <c r="K516" s="27"/>
      <c r="L516" s="27"/>
      <c r="M516" s="27"/>
      <c r="N516" s="27"/>
      <c r="O516" s="565"/>
      <c r="P516" s="568"/>
      <c r="Q516" s="588"/>
    </row>
    <row r="517" ht="7.5" customHeight="1">
      <c r="A517" s="578"/>
      <c r="B517" s="579"/>
      <c r="C517" s="579"/>
      <c r="D517" s="579"/>
      <c r="E517" s="579"/>
      <c r="F517" s="579"/>
      <c r="G517" s="579"/>
      <c r="H517" s="579"/>
      <c r="I517" s="579"/>
      <c r="J517" s="579"/>
      <c r="K517" s="579"/>
      <c r="L517" s="579"/>
      <c r="M517" s="579"/>
      <c r="N517" s="579"/>
      <c r="O517" s="579"/>
      <c r="P517" s="555"/>
      <c r="Q517" s="580"/>
    </row>
    <row r="518" ht="3.75" customHeight="1">
      <c r="A518" s="581"/>
      <c r="B518" s="582"/>
      <c r="C518" s="583"/>
      <c r="D518" s="583"/>
      <c r="E518" s="583"/>
      <c r="F518" s="583"/>
      <c r="G518" s="583"/>
      <c r="H518" s="583"/>
      <c r="I518" s="583"/>
      <c r="J518" s="583"/>
      <c r="K518" s="583"/>
      <c r="L518" s="583"/>
      <c r="M518" s="583"/>
      <c r="N518" s="583"/>
      <c r="O518" s="583"/>
      <c r="P518" s="583"/>
      <c r="Q518" s="580"/>
    </row>
    <row r="519" ht="7.5" customHeight="1">
      <c r="A519" s="578"/>
      <c r="B519" s="579"/>
      <c r="C519" s="579"/>
      <c r="D519" s="579"/>
      <c r="E519" s="579"/>
      <c r="F519" s="579"/>
      <c r="G519" s="579"/>
      <c r="H519" s="579"/>
      <c r="I519" s="579"/>
      <c r="J519" s="579"/>
      <c r="K519" s="579"/>
      <c r="L519" s="579"/>
      <c r="M519" s="579"/>
      <c r="N519" s="579"/>
      <c r="O519" s="579"/>
      <c r="P519" s="555"/>
      <c r="Q519" s="580"/>
    </row>
    <row r="520">
      <c r="A520" s="578"/>
      <c r="B520" s="584" t="s">
        <v>1069</v>
      </c>
      <c r="C520" s="168"/>
      <c r="D520" s="169"/>
      <c r="E520" s="557"/>
      <c r="F520" s="589"/>
      <c r="G520" s="589"/>
      <c r="H520" s="589"/>
      <c r="I520" s="589"/>
      <c r="J520" s="589"/>
      <c r="K520" s="589"/>
      <c r="L520" s="589"/>
      <c r="M520" s="589"/>
      <c r="N520" s="589"/>
      <c r="O520" s="589"/>
      <c r="P520" s="589"/>
      <c r="Q520" s="557"/>
    </row>
    <row r="521" ht="26.25" customHeight="1">
      <c r="A521" s="558" t="str">
        <f>Source!$B$6</f>
        <v/>
      </c>
      <c r="B521" s="559" t="str">
        <f>Source!$P$22</f>
        <v/>
      </c>
      <c r="C521" s="560" t="str">
        <f>Source!$B$7</f>
        <v/>
      </c>
      <c r="D521" s="574" t="s">
        <v>1070</v>
      </c>
      <c r="E521" s="562"/>
      <c r="F521" s="585" t="s">
        <v>1071</v>
      </c>
      <c r="G521" s="27"/>
      <c r="H521" s="27"/>
      <c r="I521" s="27"/>
      <c r="J521" s="27"/>
      <c r="K521" s="27"/>
      <c r="L521" s="27"/>
      <c r="M521" s="27"/>
      <c r="N521" s="565"/>
      <c r="O521" s="568"/>
      <c r="P521" s="568"/>
      <c r="Q521" s="588"/>
    </row>
    <row r="522" ht="26.25" customHeight="1">
      <c r="A522" s="558" t="str">
        <f>Source!$B$6</f>
        <v/>
      </c>
      <c r="B522" s="559" t="str">
        <f>Source!$AN$21</f>
        <v/>
      </c>
      <c r="C522" s="569" t="str">
        <f>Source!$B$7</f>
        <v/>
      </c>
      <c r="D522" s="570" t="s">
        <v>1072</v>
      </c>
      <c r="E522" s="571"/>
      <c r="F522" s="572" t="s">
        <v>1071</v>
      </c>
      <c r="G522" s="27"/>
      <c r="H522" s="27"/>
      <c r="I522" s="27"/>
      <c r="J522" s="27"/>
      <c r="K522" s="27"/>
      <c r="L522" s="27"/>
      <c r="M522" s="27"/>
      <c r="N522" s="565"/>
      <c r="O522" s="568"/>
      <c r="P522" s="568"/>
      <c r="Q522" s="31"/>
    </row>
    <row r="523" ht="7.5" customHeight="1">
      <c r="A523" s="578"/>
      <c r="B523" s="579"/>
      <c r="C523" s="579"/>
      <c r="D523" s="579"/>
      <c r="E523" s="579"/>
      <c r="F523" s="579"/>
      <c r="G523" s="579"/>
      <c r="H523" s="579"/>
      <c r="I523" s="579"/>
      <c r="J523" s="579"/>
      <c r="K523" s="579"/>
      <c r="L523" s="579"/>
      <c r="M523" s="579"/>
      <c r="N523" s="579"/>
      <c r="O523" s="579"/>
      <c r="P523" s="555"/>
      <c r="Q523" s="580"/>
    </row>
    <row r="524" ht="3.75" customHeight="1">
      <c r="A524" s="581"/>
      <c r="B524" s="582"/>
      <c r="C524" s="583"/>
      <c r="D524" s="583"/>
      <c r="E524" s="583"/>
      <c r="F524" s="583"/>
      <c r="G524" s="583"/>
      <c r="H524" s="583"/>
      <c r="I524" s="583"/>
      <c r="J524" s="583"/>
      <c r="K524" s="583"/>
      <c r="L524" s="583"/>
      <c r="M524" s="583"/>
      <c r="N524" s="583"/>
      <c r="O524" s="583"/>
      <c r="P524" s="583"/>
      <c r="Q524" s="580"/>
    </row>
    <row r="525" ht="7.5" customHeight="1">
      <c r="A525" s="578"/>
      <c r="B525" s="579"/>
      <c r="C525" s="579"/>
      <c r="D525" s="579"/>
      <c r="E525" s="579"/>
      <c r="F525" s="579"/>
      <c r="G525" s="579"/>
      <c r="H525" s="579"/>
      <c r="I525" s="579"/>
      <c r="J525" s="579"/>
      <c r="K525" s="579"/>
      <c r="L525" s="579"/>
      <c r="M525" s="579"/>
      <c r="N525" s="579"/>
      <c r="O525" s="579"/>
      <c r="P525" s="555"/>
      <c r="Q525" s="580"/>
    </row>
    <row r="526">
      <c r="A526" s="578"/>
      <c r="B526" s="584" t="s">
        <v>1073</v>
      </c>
      <c r="C526" s="168"/>
      <c r="D526" s="168"/>
      <c r="E526" s="168"/>
      <c r="F526" s="168"/>
      <c r="G526" s="168"/>
      <c r="H526" s="168"/>
      <c r="I526" s="169"/>
      <c r="J526" s="589"/>
      <c r="K526" s="589"/>
      <c r="L526" s="589"/>
      <c r="M526" s="589"/>
      <c r="N526" s="589"/>
      <c r="O526" s="589"/>
      <c r="P526" s="589"/>
      <c r="Q526" s="557"/>
    </row>
    <row r="527" ht="26.25" customHeight="1">
      <c r="A527" s="558" t="str">
        <f>Source!$B$6</f>
        <v/>
      </c>
      <c r="B527" s="559" t="str">
        <f>IMAGE("https://i.ibb.co/Qb0yYP8/wellspring.png",4,28,28)</f>
        <v/>
      </c>
      <c r="C527" s="560" t="str">
        <f>Source!$B$7</f>
        <v/>
      </c>
      <c r="D527" s="561" t="s">
        <v>1074</v>
      </c>
      <c r="E527" s="562"/>
      <c r="F527" s="585" t="s">
        <v>1075</v>
      </c>
      <c r="G527" s="27"/>
      <c r="H527" s="27"/>
      <c r="I527" s="27"/>
      <c r="J527" s="27"/>
      <c r="K527" s="27"/>
      <c r="L527" s="27"/>
      <c r="M527" s="27"/>
      <c r="N527" s="27"/>
      <c r="O527" s="27"/>
      <c r="P527" s="27"/>
      <c r="Q527" s="588"/>
    </row>
    <row r="528" ht="26.25" customHeight="1">
      <c r="A528" s="558" t="str">
        <f>Source!$B$6</f>
        <v/>
      </c>
      <c r="B528" s="559" t="str">
        <f>Source!$D$13</f>
        <v/>
      </c>
      <c r="C528" s="569" t="str">
        <f>Source!$B$7</f>
        <v/>
      </c>
      <c r="D528" s="600" t="s">
        <v>1076</v>
      </c>
      <c r="E528" s="571"/>
      <c r="F528" s="572" t="s">
        <v>1077</v>
      </c>
      <c r="G528" s="27"/>
      <c r="H528" s="27"/>
      <c r="I528" s="27"/>
      <c r="J528" s="27"/>
      <c r="K528" s="27"/>
      <c r="L528" s="27"/>
      <c r="M528" s="27"/>
      <c r="N528" s="565"/>
      <c r="O528" s="568"/>
      <c r="P528" s="568"/>
      <c r="Q528" s="31"/>
    </row>
    <row r="529" ht="26.25" customHeight="1">
      <c r="A529" s="558" t="str">
        <f>Source!$B$6</f>
        <v/>
      </c>
      <c r="B529" s="559" t="str">
        <f>Source!$P$46</f>
        <v/>
      </c>
      <c r="C529" s="560" t="str">
        <f>Source!$B$7</f>
        <v/>
      </c>
      <c r="D529" s="587" t="s">
        <v>1078</v>
      </c>
      <c r="E529" s="562"/>
      <c r="F529" s="585" t="s">
        <v>1079</v>
      </c>
      <c r="G529" s="27"/>
      <c r="H529" s="27"/>
      <c r="I529" s="27"/>
      <c r="J529" s="27"/>
      <c r="K529" s="27"/>
      <c r="L529" s="565"/>
      <c r="M529" s="568"/>
      <c r="N529" s="568"/>
      <c r="O529" s="568"/>
      <c r="P529" s="568"/>
      <c r="Q529" s="588"/>
    </row>
    <row r="530" ht="26.25" customHeight="1">
      <c r="A530" s="558" t="str">
        <f>Source!$B$6</f>
        <v/>
      </c>
      <c r="B530" s="559" t="str">
        <f>Source!$P$2</f>
        <v/>
      </c>
      <c r="C530" s="569" t="str">
        <f>Source!$B$7</f>
        <v/>
      </c>
      <c r="D530" s="600" t="s">
        <v>1080</v>
      </c>
      <c r="E530" s="571"/>
      <c r="F530" s="572" t="s">
        <v>1081</v>
      </c>
      <c r="G530" s="27"/>
      <c r="H530" s="27"/>
      <c r="I530" s="27"/>
      <c r="J530" s="27"/>
      <c r="K530" s="27"/>
      <c r="L530" s="565"/>
      <c r="M530" s="568"/>
      <c r="N530" s="568"/>
      <c r="O530" s="568"/>
      <c r="P530" s="568"/>
      <c r="Q530" s="31"/>
    </row>
    <row r="531" ht="26.25" customHeight="1">
      <c r="A531" s="558" t="str">
        <f>Source!$B$6</f>
        <v/>
      </c>
      <c r="B531" s="559" t="str">
        <f>Source!$AH$7</f>
        <v/>
      </c>
      <c r="C531" s="560" t="str">
        <f>Source!$B$7</f>
        <v/>
      </c>
      <c r="D531" s="561" t="s">
        <v>534</v>
      </c>
      <c r="E531" s="562"/>
      <c r="F531" s="585" t="s">
        <v>1082</v>
      </c>
      <c r="G531" s="27"/>
      <c r="H531" s="27"/>
      <c r="I531" s="27"/>
      <c r="J531" s="27"/>
      <c r="K531" s="27"/>
      <c r="L531" s="27"/>
      <c r="M531" s="27"/>
      <c r="N531" s="27"/>
      <c r="O531" s="565"/>
      <c r="P531" s="568"/>
      <c r="Q531" s="588"/>
    </row>
    <row r="532" ht="26.25" customHeight="1">
      <c r="A532" s="558" t="str">
        <f>Source!$B$6</f>
        <v/>
      </c>
      <c r="B532" s="559" t="str">
        <f>Source!$AK$40</f>
        <v/>
      </c>
      <c r="C532" s="569" t="str">
        <f>Source!$B$7</f>
        <v/>
      </c>
      <c r="D532" s="570" t="s">
        <v>558</v>
      </c>
      <c r="E532" s="571"/>
      <c r="F532" s="572" t="s">
        <v>1083</v>
      </c>
      <c r="G532" s="27"/>
      <c r="H532" s="27"/>
      <c r="I532" s="27"/>
      <c r="J532" s="27"/>
      <c r="K532" s="27"/>
      <c r="L532" s="27"/>
      <c r="M532" s="27"/>
      <c r="N532" s="27"/>
      <c r="O532" s="27"/>
      <c r="P532" s="565"/>
      <c r="Q532" s="31"/>
    </row>
    <row r="533" ht="26.25" customHeight="1">
      <c r="A533" s="558" t="str">
        <f>Source!$B$6</f>
        <v/>
      </c>
      <c r="B533" s="559" t="str">
        <f>Source!$Y$38</f>
        <v/>
      </c>
      <c r="C533" s="560" t="str">
        <f>Source!$B$7</f>
        <v/>
      </c>
      <c r="D533" s="561" t="s">
        <v>905</v>
      </c>
      <c r="E533" s="562"/>
      <c r="F533" s="585" t="s">
        <v>1084</v>
      </c>
      <c r="G533" s="27"/>
      <c r="H533" s="27"/>
      <c r="I533" s="27"/>
      <c r="J533" s="27"/>
      <c r="K533" s="27"/>
      <c r="L533" s="27"/>
      <c r="M533" s="27"/>
      <c r="N533" s="27"/>
      <c r="O533" s="565"/>
      <c r="P533" s="568"/>
      <c r="Q533" s="588"/>
    </row>
    <row r="534" ht="26.25" customHeight="1">
      <c r="A534" s="558" t="str">
        <f>Source!$B$6</f>
        <v/>
      </c>
      <c r="B534" s="559" t="str">
        <f>Source!$D$13</f>
        <v/>
      </c>
      <c r="C534" s="569" t="str">
        <f>Source!$B$7</f>
        <v/>
      </c>
      <c r="D534" s="570" t="s">
        <v>1085</v>
      </c>
      <c r="E534" s="571"/>
      <c r="F534" s="572" t="s">
        <v>1086</v>
      </c>
      <c r="G534" s="27"/>
      <c r="H534" s="27"/>
      <c r="I534" s="27"/>
      <c r="J534" s="27"/>
      <c r="K534" s="27"/>
      <c r="L534" s="27"/>
      <c r="M534" s="27"/>
      <c r="N534" s="27"/>
      <c r="O534" s="27"/>
      <c r="P534" s="27"/>
      <c r="Q534" s="31"/>
    </row>
    <row r="535" ht="26.25" customHeight="1">
      <c r="A535" s="558" t="str">
        <f>Source!$B$6</f>
        <v/>
      </c>
      <c r="B535" s="559" t="str">
        <f>Source!$S$16</f>
        <v/>
      </c>
      <c r="C535" s="560" t="str">
        <f>Source!$B$7</f>
        <v/>
      </c>
      <c r="D535" s="561" t="s">
        <v>1087</v>
      </c>
      <c r="E535" s="562"/>
      <c r="F535" s="585" t="s">
        <v>1088</v>
      </c>
      <c r="G535" s="27"/>
      <c r="H535" s="27"/>
      <c r="I535" s="27"/>
      <c r="J535" s="27"/>
      <c r="K535" s="27"/>
      <c r="L535" s="27"/>
      <c r="M535" s="27"/>
      <c r="N535" s="27"/>
      <c r="O535" s="27"/>
      <c r="P535" s="27"/>
      <c r="Q535" s="588"/>
    </row>
    <row r="536" ht="26.25" customHeight="1">
      <c r="A536" s="558" t="str">
        <f>Source!$B$6</f>
        <v/>
      </c>
      <c r="B536" s="559" t="str">
        <f>Source!$AN$13</f>
        <v/>
      </c>
      <c r="C536" s="569" t="str">
        <f>Source!$B$7</f>
        <v/>
      </c>
      <c r="D536" s="570" t="s">
        <v>1089</v>
      </c>
      <c r="E536" s="571"/>
      <c r="F536" s="572" t="s">
        <v>1090</v>
      </c>
      <c r="G536" s="27"/>
      <c r="H536" s="27"/>
      <c r="I536" s="27"/>
      <c r="J536" s="27"/>
      <c r="K536" s="27"/>
      <c r="L536" s="27"/>
      <c r="M536" s="27"/>
      <c r="N536" s="27"/>
      <c r="O536" s="27"/>
      <c r="P536" s="27"/>
      <c r="Q536" s="31"/>
    </row>
    <row r="537" ht="7.5" customHeight="1">
      <c r="A537" s="578"/>
      <c r="B537" s="579"/>
      <c r="C537" s="579"/>
      <c r="D537" s="579"/>
      <c r="E537" s="579"/>
      <c r="F537" s="579"/>
      <c r="G537" s="579"/>
      <c r="H537" s="579"/>
      <c r="I537" s="579"/>
      <c r="J537" s="579"/>
      <c r="K537" s="579"/>
      <c r="L537" s="579"/>
      <c r="M537" s="579"/>
      <c r="N537" s="579"/>
      <c r="O537" s="579"/>
      <c r="P537" s="555"/>
      <c r="Q537" s="580"/>
    </row>
    <row r="538" ht="3.75" customHeight="1">
      <c r="A538" s="581"/>
      <c r="B538" s="582"/>
      <c r="C538" s="583"/>
      <c r="D538" s="583"/>
      <c r="E538" s="583"/>
      <c r="F538" s="583"/>
      <c r="G538" s="583"/>
      <c r="H538" s="583"/>
      <c r="I538" s="583"/>
      <c r="J538" s="583"/>
      <c r="K538" s="583"/>
      <c r="L538" s="583"/>
      <c r="M538" s="583"/>
      <c r="N538" s="583"/>
      <c r="O538" s="583"/>
      <c r="P538" s="583"/>
      <c r="Q538" s="580"/>
    </row>
    <row r="539" ht="7.5" customHeight="1">
      <c r="A539" s="578"/>
      <c r="B539" s="579"/>
      <c r="C539" s="579"/>
      <c r="D539" s="579"/>
      <c r="E539" s="579"/>
      <c r="F539" s="579"/>
      <c r="G539" s="579"/>
      <c r="H539" s="579"/>
      <c r="I539" s="579"/>
      <c r="J539" s="579"/>
      <c r="K539" s="579"/>
      <c r="L539" s="579"/>
      <c r="M539" s="579"/>
      <c r="N539" s="579"/>
      <c r="O539" s="579"/>
      <c r="P539" s="555"/>
      <c r="Q539" s="580"/>
    </row>
    <row r="540">
      <c r="A540" s="578"/>
      <c r="B540" s="584" t="s">
        <v>1091</v>
      </c>
      <c r="C540" s="168"/>
      <c r="D540" s="169"/>
      <c r="E540" s="557"/>
      <c r="F540" s="589"/>
      <c r="G540" s="589"/>
      <c r="H540" s="589"/>
      <c r="I540" s="589"/>
      <c r="J540" s="589"/>
      <c r="K540" s="589"/>
      <c r="L540" s="589"/>
      <c r="M540" s="589"/>
      <c r="N540" s="589"/>
      <c r="O540" s="589"/>
      <c r="P540" s="589"/>
      <c r="Q540" s="557"/>
    </row>
    <row r="541" ht="26.25" customHeight="1">
      <c r="A541" s="558" t="str">
        <f>Source!$B$6</f>
        <v/>
      </c>
      <c r="B541" s="559" t="str">
        <f>Source!$P$33</f>
        <v/>
      </c>
      <c r="C541" s="560" t="str">
        <f>Source!$B$7</f>
        <v/>
      </c>
      <c r="D541" s="574" t="s">
        <v>1092</v>
      </c>
      <c r="E541" s="634"/>
      <c r="F541" s="585" t="s">
        <v>1093</v>
      </c>
      <c r="G541" s="27"/>
      <c r="H541" s="27"/>
      <c r="I541" s="27"/>
      <c r="J541" s="27"/>
      <c r="K541" s="27"/>
      <c r="L541" s="27"/>
      <c r="M541" s="27"/>
      <c r="N541" s="27"/>
      <c r="O541" s="565"/>
      <c r="P541" s="568"/>
      <c r="Q541" s="588"/>
    </row>
    <row r="542" ht="26.25" customHeight="1">
      <c r="A542" s="558" t="str">
        <f>Source!$B$6</f>
        <v/>
      </c>
      <c r="B542" s="559" t="str">
        <f>Source!$D$7</f>
        <v/>
      </c>
      <c r="C542" s="569" t="str">
        <f>Source!$B$7</f>
        <v/>
      </c>
      <c r="D542" s="600" t="s">
        <v>1094</v>
      </c>
      <c r="E542" s="641"/>
      <c r="F542" s="572" t="s">
        <v>1095</v>
      </c>
      <c r="G542" s="27"/>
      <c r="H542" s="27"/>
      <c r="I542" s="27"/>
      <c r="J542" s="27"/>
      <c r="K542" s="27"/>
      <c r="L542" s="27"/>
      <c r="M542" s="27"/>
      <c r="N542" s="27"/>
      <c r="O542" s="27"/>
      <c r="P542" s="27"/>
      <c r="Q542" s="31"/>
    </row>
    <row r="543" ht="26.25" customHeight="1">
      <c r="A543" s="558" t="str">
        <f>Source!$B$6</f>
        <v/>
      </c>
      <c r="B543" s="559" t="str">
        <f>Source!$AH$23</f>
        <v/>
      </c>
      <c r="C543" s="560" t="str">
        <f>Source!$B$7</f>
        <v/>
      </c>
      <c r="D543" s="561" t="s">
        <v>700</v>
      </c>
      <c r="E543" s="634"/>
      <c r="F543" s="585" t="s">
        <v>1096</v>
      </c>
      <c r="G543" s="27"/>
      <c r="H543" s="27"/>
      <c r="I543" s="27"/>
      <c r="J543" s="27"/>
      <c r="K543" s="27"/>
      <c r="L543" s="27"/>
      <c r="M543" s="27"/>
      <c r="N543" s="27"/>
      <c r="O543" s="27"/>
      <c r="P543" s="565"/>
      <c r="Q543" s="588"/>
    </row>
    <row r="544" ht="7.5" customHeight="1">
      <c r="A544" s="578"/>
      <c r="B544" s="579"/>
      <c r="C544" s="579"/>
      <c r="D544" s="579"/>
      <c r="E544" s="579"/>
      <c r="F544" s="579"/>
      <c r="G544" s="579"/>
      <c r="H544" s="579"/>
      <c r="I544" s="579"/>
      <c r="J544" s="579"/>
      <c r="K544" s="579"/>
      <c r="L544" s="579"/>
      <c r="M544" s="579"/>
      <c r="N544" s="579"/>
      <c r="O544" s="579"/>
      <c r="P544" s="555"/>
      <c r="Q544" s="580"/>
    </row>
    <row r="545" ht="3.75" customHeight="1">
      <c r="A545" s="581"/>
      <c r="B545" s="582"/>
      <c r="C545" s="583"/>
      <c r="D545" s="583"/>
      <c r="E545" s="583"/>
      <c r="F545" s="583"/>
      <c r="G545" s="583"/>
      <c r="H545" s="583"/>
      <c r="I545" s="583"/>
      <c r="J545" s="583"/>
      <c r="K545" s="583"/>
      <c r="L545" s="583"/>
      <c r="M545" s="583"/>
      <c r="N545" s="583"/>
      <c r="O545" s="583"/>
      <c r="P545" s="583"/>
      <c r="Q545" s="580"/>
    </row>
    <row r="546" ht="7.5" customHeight="1">
      <c r="A546" s="578"/>
      <c r="B546" s="579"/>
      <c r="C546" s="579"/>
      <c r="D546" s="579"/>
      <c r="E546" s="579"/>
      <c r="F546" s="579"/>
      <c r="G546" s="579"/>
      <c r="H546" s="579"/>
      <c r="I546" s="579"/>
      <c r="J546" s="579"/>
      <c r="K546" s="579"/>
      <c r="L546" s="579"/>
      <c r="M546" s="579"/>
      <c r="N546" s="579"/>
      <c r="O546" s="579"/>
      <c r="P546" s="555"/>
      <c r="Q546" s="580"/>
    </row>
    <row r="547">
      <c r="A547" s="578"/>
      <c r="B547" s="584" t="s">
        <v>1097</v>
      </c>
      <c r="C547" s="168"/>
      <c r="D547" s="168"/>
      <c r="E547" s="168"/>
      <c r="F547" s="168"/>
      <c r="G547" s="168"/>
      <c r="H547" s="168"/>
      <c r="I547" s="169"/>
      <c r="J547" s="589"/>
      <c r="K547" s="589"/>
      <c r="L547" s="589"/>
      <c r="M547" s="589"/>
      <c r="N547" s="589"/>
      <c r="O547" s="589"/>
      <c r="P547" s="589"/>
      <c r="Q547" s="557"/>
    </row>
    <row r="548" ht="26.25" customHeight="1">
      <c r="A548" s="558" t="str">
        <f>Source!$B$6</f>
        <v/>
      </c>
      <c r="B548" s="559" t="str">
        <f>Source!$P$28</f>
        <v/>
      </c>
      <c r="C548" s="560" t="str">
        <f>Source!$B$7</f>
        <v/>
      </c>
      <c r="D548" s="574" t="s">
        <v>1098</v>
      </c>
      <c r="E548" s="562"/>
      <c r="F548" s="585" t="s">
        <v>1099</v>
      </c>
      <c r="G548" s="27"/>
      <c r="H548" s="27"/>
      <c r="I548" s="27"/>
      <c r="J548" s="27"/>
      <c r="K548" s="27"/>
      <c r="L548" s="27"/>
      <c r="M548" s="27"/>
      <c r="N548" s="27"/>
      <c r="O548" s="27"/>
      <c r="P548" s="27"/>
      <c r="Q548" s="588"/>
    </row>
    <row r="549" ht="26.25" customHeight="1">
      <c r="A549" s="558" t="str">
        <f>Source!$B$6</f>
        <v/>
      </c>
      <c r="B549" s="559" t="str">
        <f>Source!$P$27</f>
        <v/>
      </c>
      <c r="C549" s="569" t="str">
        <f>Source!$B$7</f>
        <v/>
      </c>
      <c r="D549" s="600" t="s">
        <v>1100</v>
      </c>
      <c r="E549" s="571"/>
      <c r="F549" s="572" t="s">
        <v>1101</v>
      </c>
      <c r="G549" s="27"/>
      <c r="H549" s="27"/>
      <c r="I549" s="27"/>
      <c r="J549" s="27"/>
      <c r="K549" s="27"/>
      <c r="L549" s="27"/>
      <c r="M549" s="27"/>
      <c r="N549" s="27"/>
      <c r="O549" s="27"/>
      <c r="P549" s="27"/>
      <c r="Q549" s="31"/>
    </row>
    <row r="550" ht="26.25" customHeight="1">
      <c r="A550" s="558" t="str">
        <f>Source!$B$6</f>
        <v/>
      </c>
      <c r="B550" s="559" t="str">
        <f>Source!$AN$91</f>
        <v/>
      </c>
      <c r="C550" s="560" t="str">
        <f>Source!$B$7</f>
        <v/>
      </c>
      <c r="D550" s="561" t="s">
        <v>1102</v>
      </c>
      <c r="E550" s="562"/>
      <c r="F550" s="608" t="s">
        <v>1103</v>
      </c>
      <c r="G550" s="27"/>
      <c r="H550" s="27"/>
      <c r="I550" s="27"/>
      <c r="J550" s="27"/>
      <c r="K550" s="27"/>
      <c r="L550" s="27"/>
      <c r="M550" s="27"/>
      <c r="N550" s="27"/>
      <c r="O550" s="27"/>
      <c r="P550" s="27"/>
      <c r="Q550" s="588"/>
    </row>
    <row r="551" ht="26.25" customHeight="1">
      <c r="A551" s="610" t="str">
        <f>Source!$B$6</f>
        <v/>
      </c>
      <c r="B551" s="611" t="str">
        <f>Source!$AQ$163</f>
        <v/>
      </c>
      <c r="C551" s="621" t="str">
        <f>Source!$B$7</f>
        <v/>
      </c>
      <c r="D551" s="622" t="s">
        <v>1104</v>
      </c>
      <c r="E551" s="623"/>
      <c r="F551" s="624" t="s">
        <v>1105</v>
      </c>
      <c r="G551" s="139"/>
      <c r="H551" s="139"/>
      <c r="I551" s="139"/>
      <c r="J551" s="139"/>
      <c r="K551" s="139"/>
      <c r="L551" s="139"/>
      <c r="M551" s="139"/>
      <c r="N551" s="139"/>
      <c r="O551" s="139"/>
      <c r="P551" s="139"/>
      <c r="Q551" s="31"/>
    </row>
    <row r="552" ht="7.5" customHeight="1">
      <c r="A552" s="615"/>
      <c r="B552" s="616"/>
      <c r="C552" s="625"/>
      <c r="D552" s="626"/>
      <c r="E552" s="626"/>
      <c r="F552" s="627"/>
      <c r="G552" s="620"/>
      <c r="H552" s="620"/>
      <c r="I552" s="620"/>
      <c r="J552" s="620"/>
      <c r="K552" s="620"/>
      <c r="L552" s="620"/>
      <c r="M552" s="620"/>
      <c r="N552" s="620"/>
      <c r="O552" s="620"/>
      <c r="P552" s="620"/>
      <c r="Q552" s="588"/>
    </row>
    <row r="553" ht="26.25" customHeight="1">
      <c r="A553" s="610" t="str">
        <f>Source!$B$6</f>
        <v/>
      </c>
      <c r="B553" s="611" t="str">
        <f>Source!$AQ$44</f>
        <v/>
      </c>
      <c r="C553" s="612" t="str">
        <f>Source!$B$7</f>
        <v/>
      </c>
      <c r="D553" s="629" t="s">
        <v>1106</v>
      </c>
      <c r="E553" s="614"/>
      <c r="F553" s="563" t="s">
        <v>1107</v>
      </c>
      <c r="G553" s="139"/>
      <c r="H553" s="139"/>
      <c r="I553" s="139"/>
      <c r="J553" s="139"/>
      <c r="K553" s="139"/>
      <c r="L553" s="139"/>
      <c r="M553" s="139"/>
      <c r="N553" s="139"/>
      <c r="O553" s="139"/>
      <c r="P553" s="139"/>
      <c r="Q553" s="588"/>
    </row>
    <row r="554" ht="7.5" customHeight="1">
      <c r="A554" s="615"/>
      <c r="B554" s="616"/>
      <c r="C554" s="617"/>
      <c r="D554" s="618"/>
      <c r="E554" s="618"/>
      <c r="F554" s="619"/>
      <c r="G554" s="620"/>
      <c r="H554" s="620"/>
      <c r="I554" s="620"/>
      <c r="J554" s="620"/>
      <c r="K554" s="620"/>
      <c r="L554" s="620"/>
      <c r="M554" s="620"/>
      <c r="N554" s="620"/>
      <c r="O554" s="620"/>
      <c r="P554" s="620"/>
      <c r="Q554" s="588"/>
    </row>
    <row r="555" ht="26.25" customHeight="1">
      <c r="A555" s="558" t="str">
        <f>Source!$B$6</f>
        <v/>
      </c>
      <c r="B555" s="559" t="str">
        <f>Source!$AQ$152</f>
        <v/>
      </c>
      <c r="C555" s="569" t="str">
        <f>Source!$B$7</f>
        <v/>
      </c>
      <c r="D555" s="570" t="s">
        <v>1108</v>
      </c>
      <c r="E555" s="571"/>
      <c r="F555" s="628" t="s">
        <v>1109</v>
      </c>
      <c r="G555" s="27"/>
      <c r="H555" s="27"/>
      <c r="I555" s="27"/>
      <c r="J555" s="27"/>
      <c r="K555" s="27"/>
      <c r="L555" s="27"/>
      <c r="M555" s="27"/>
      <c r="N555" s="27"/>
      <c r="O555" s="27"/>
      <c r="P555" s="27"/>
      <c r="Q555" s="31"/>
    </row>
    <row r="556" ht="26.25" customHeight="1">
      <c r="A556" s="558" t="str">
        <f>Source!$B$6</f>
        <v/>
      </c>
      <c r="B556" s="559" t="str">
        <f>Source!$P$5</f>
        <v/>
      </c>
      <c r="C556" s="560" t="str">
        <f>Source!$B$7</f>
        <v/>
      </c>
      <c r="D556" s="574" t="s">
        <v>1110</v>
      </c>
      <c r="E556" s="562"/>
      <c r="F556" s="585" t="s">
        <v>1111</v>
      </c>
      <c r="G556" s="27"/>
      <c r="H556" s="27"/>
      <c r="I556" s="27"/>
      <c r="J556" s="27"/>
      <c r="K556" s="27"/>
      <c r="L556" s="27"/>
      <c r="M556" s="565"/>
      <c r="N556" s="568"/>
      <c r="O556" s="568"/>
      <c r="P556" s="568"/>
      <c r="Q556" s="588"/>
    </row>
    <row r="557" ht="26.25" customHeight="1">
      <c r="A557" s="558" t="str">
        <f>Source!$B$6</f>
        <v/>
      </c>
      <c r="B557" s="559" t="str">
        <f>Source!$AN$20</f>
        <v/>
      </c>
      <c r="C557" s="569" t="str">
        <f>Source!$B$7</f>
        <v/>
      </c>
      <c r="D557" s="570" t="s">
        <v>1112</v>
      </c>
      <c r="E557" s="571"/>
      <c r="F557" s="572" t="s">
        <v>1111</v>
      </c>
      <c r="G557" s="27"/>
      <c r="H557" s="27"/>
      <c r="I557" s="27"/>
      <c r="J557" s="27"/>
      <c r="K557" s="27"/>
      <c r="L557" s="27"/>
      <c r="M557" s="565"/>
      <c r="N557" s="568"/>
      <c r="O557" s="568"/>
      <c r="P557" s="568"/>
      <c r="Q557" s="31"/>
    </row>
    <row r="558" ht="26.25" customHeight="1">
      <c r="A558" s="610" t="str">
        <f>Source!$B$6</f>
        <v/>
      </c>
      <c r="B558" s="611" t="str">
        <f>Source!$AN$7</f>
        <v/>
      </c>
      <c r="C558" s="612" t="str">
        <f>Source!$B$7</f>
        <v/>
      </c>
      <c r="D558" s="629" t="s">
        <v>1113</v>
      </c>
      <c r="E558" s="614"/>
      <c r="F558" s="563" t="s">
        <v>1114</v>
      </c>
      <c r="G558" s="139"/>
      <c r="H558" s="139"/>
      <c r="I558" s="139"/>
      <c r="J558" s="139"/>
      <c r="K558" s="139"/>
      <c r="L558" s="139"/>
      <c r="M558" s="139"/>
      <c r="N558" s="139"/>
      <c r="O558" s="139"/>
      <c r="P558" s="139"/>
      <c r="Q558" s="588"/>
    </row>
    <row r="559" ht="7.5" customHeight="1">
      <c r="A559" s="615"/>
      <c r="B559" s="616"/>
      <c r="C559" s="617"/>
      <c r="D559" s="618"/>
      <c r="E559" s="618"/>
      <c r="F559" s="619"/>
      <c r="G559" s="620"/>
      <c r="H559" s="620"/>
      <c r="I559" s="620"/>
      <c r="J559" s="620"/>
      <c r="K559" s="620"/>
      <c r="L559" s="620"/>
      <c r="M559" s="620"/>
      <c r="N559" s="620"/>
      <c r="O559" s="620"/>
      <c r="P559" s="620"/>
      <c r="Q559" s="588"/>
    </row>
    <row r="560" ht="26.25" customHeight="1">
      <c r="A560" s="610" t="str">
        <f>Source!$B$6</f>
        <v/>
      </c>
      <c r="B560" s="611" t="str">
        <f>Source!$P$45</f>
        <v/>
      </c>
      <c r="C560" s="621" t="str">
        <f>Source!$B$7</f>
        <v/>
      </c>
      <c r="D560" s="622" t="s">
        <v>1115</v>
      </c>
      <c r="E560" s="623"/>
      <c r="F560" s="642" t="s">
        <v>1116</v>
      </c>
      <c r="G560" s="139"/>
      <c r="H560" s="139"/>
      <c r="I560" s="139"/>
      <c r="J560" s="139"/>
      <c r="K560" s="139"/>
      <c r="L560" s="139"/>
      <c r="M560" s="139"/>
      <c r="N560" s="139"/>
      <c r="O560" s="139"/>
      <c r="P560" s="139"/>
      <c r="Q560" s="588"/>
    </row>
    <row r="561" ht="7.5" customHeight="1">
      <c r="A561" s="615"/>
      <c r="B561" s="616"/>
      <c r="C561" s="625"/>
      <c r="D561" s="626"/>
      <c r="E561" s="626"/>
      <c r="F561" s="627"/>
      <c r="G561" s="620"/>
      <c r="H561" s="620"/>
      <c r="I561" s="620"/>
      <c r="J561" s="620"/>
      <c r="K561" s="620"/>
      <c r="L561" s="620"/>
      <c r="M561" s="620"/>
      <c r="N561" s="620"/>
      <c r="O561" s="620"/>
      <c r="P561" s="620"/>
      <c r="Q561" s="588"/>
    </row>
    <row r="562" ht="26.25" customHeight="1">
      <c r="A562" s="558" t="str">
        <f>Source!$B$6</f>
        <v/>
      </c>
      <c r="B562" s="559" t="str">
        <f>Source!$P$13</f>
        <v/>
      </c>
      <c r="C562" s="560" t="str">
        <f>Source!$B$7</f>
        <v/>
      </c>
      <c r="D562" s="561" t="s">
        <v>1117</v>
      </c>
      <c r="E562" s="562"/>
      <c r="F562" s="585" t="s">
        <v>1118</v>
      </c>
      <c r="G562" s="27"/>
      <c r="H562" s="27"/>
      <c r="I562" s="27"/>
      <c r="J562" s="27"/>
      <c r="K562" s="27"/>
      <c r="L562" s="27"/>
      <c r="M562" s="27"/>
      <c r="N562" s="27"/>
      <c r="O562" s="565"/>
      <c r="P562" s="637"/>
      <c r="Q562" s="588"/>
    </row>
    <row r="563" ht="26.25" customHeight="1">
      <c r="A563" s="558" t="str">
        <f>Source!$B$6</f>
        <v/>
      </c>
      <c r="B563" s="559" t="str">
        <f>Source!$D$8</f>
        <v/>
      </c>
      <c r="C563" s="569" t="str">
        <f>Source!$B$7</f>
        <v/>
      </c>
      <c r="D563" s="600" t="s">
        <v>1119</v>
      </c>
      <c r="E563" s="571"/>
      <c r="F563" s="572" t="s">
        <v>1120</v>
      </c>
      <c r="G563" s="27"/>
      <c r="H563" s="27"/>
      <c r="I563" s="27"/>
      <c r="J563" s="27"/>
      <c r="K563" s="565"/>
      <c r="L563" s="568"/>
      <c r="M563" s="568"/>
      <c r="N563" s="568"/>
      <c r="O563" s="568"/>
      <c r="P563" s="568"/>
      <c r="Q563" s="31"/>
    </row>
    <row r="564" ht="26.25" customHeight="1">
      <c r="A564" s="610" t="str">
        <f>Source!$B$6</f>
        <v/>
      </c>
      <c r="B564" s="611" t="str">
        <f>IMAGE("https://i.ibb.co/jDXBL1t/z.png",4,28,28)</f>
        <v/>
      </c>
      <c r="C564" s="612" t="str">
        <f>Source!$B$7</f>
        <v/>
      </c>
      <c r="D564" s="629" t="s">
        <v>1121</v>
      </c>
      <c r="E564" s="614"/>
      <c r="F564" s="563" t="s">
        <v>1122</v>
      </c>
      <c r="G564" s="139"/>
      <c r="H564" s="139"/>
      <c r="I564" s="139"/>
      <c r="J564" s="139"/>
      <c r="K564" s="139"/>
      <c r="L564" s="139"/>
      <c r="M564" s="139"/>
      <c r="N564" s="139"/>
      <c r="O564" s="139"/>
      <c r="P564" s="139"/>
      <c r="Q564" s="588"/>
    </row>
    <row r="565" ht="7.5" customHeight="1">
      <c r="A565" s="615"/>
      <c r="B565" s="616"/>
      <c r="C565" s="617"/>
      <c r="D565" s="618"/>
      <c r="E565" s="618"/>
      <c r="F565" s="619"/>
      <c r="G565" s="620"/>
      <c r="H565" s="620"/>
      <c r="I565" s="620"/>
      <c r="J565" s="620"/>
      <c r="K565" s="620"/>
      <c r="L565" s="620"/>
      <c r="M565" s="620"/>
      <c r="N565" s="620"/>
      <c r="O565" s="620"/>
      <c r="P565" s="620"/>
      <c r="Q565" s="588"/>
    </row>
    <row r="566" ht="26.25" customHeight="1">
      <c r="A566" s="610" t="str">
        <f>Source!$B$6</f>
        <v/>
      </c>
      <c r="B566" s="611" t="str">
        <f>Source!$AN$22</f>
        <v/>
      </c>
      <c r="C566" s="621" t="str">
        <f>Source!$B$7</f>
        <v/>
      </c>
      <c r="D566" s="622" t="s">
        <v>1123</v>
      </c>
      <c r="E566" s="623"/>
      <c r="F566" s="624" t="s">
        <v>1124</v>
      </c>
      <c r="G566" s="139"/>
      <c r="H566" s="139"/>
      <c r="I566" s="139"/>
      <c r="J566" s="139"/>
      <c r="K566" s="139"/>
      <c r="L566" s="139"/>
      <c r="M566" s="139"/>
      <c r="N566" s="139"/>
      <c r="O566" s="139"/>
      <c r="P566" s="139"/>
      <c r="Q566" s="588"/>
    </row>
    <row r="567" ht="7.5" customHeight="1">
      <c r="A567" s="615"/>
      <c r="B567" s="616"/>
      <c r="C567" s="625"/>
      <c r="D567" s="626"/>
      <c r="E567" s="626"/>
      <c r="F567" s="627"/>
      <c r="G567" s="620"/>
      <c r="H567" s="620"/>
      <c r="I567" s="620"/>
      <c r="J567" s="620"/>
      <c r="K567" s="620"/>
      <c r="L567" s="620"/>
      <c r="M567" s="620"/>
      <c r="N567" s="620"/>
      <c r="O567" s="620"/>
      <c r="P567" s="620"/>
      <c r="Q567" s="588"/>
    </row>
    <row r="568" ht="7.5" customHeight="1">
      <c r="A568" s="578"/>
      <c r="B568" s="579"/>
      <c r="C568" s="579"/>
      <c r="D568" s="579"/>
      <c r="E568" s="579"/>
      <c r="F568" s="579"/>
      <c r="G568" s="579"/>
      <c r="H568" s="579"/>
      <c r="I568" s="579"/>
      <c r="J568" s="579"/>
      <c r="K568" s="579"/>
      <c r="L568" s="579"/>
      <c r="M568" s="579"/>
      <c r="N568" s="579"/>
      <c r="O568" s="579"/>
      <c r="P568" s="555"/>
      <c r="Q568" s="580"/>
    </row>
    <row r="569" ht="3.75" customHeight="1">
      <c r="A569" s="581"/>
      <c r="B569" s="582"/>
      <c r="C569" s="583"/>
      <c r="D569" s="583"/>
      <c r="E569" s="583"/>
      <c r="F569" s="583"/>
      <c r="G569" s="583"/>
      <c r="H569" s="583"/>
      <c r="I569" s="583"/>
      <c r="J569" s="583"/>
      <c r="K569" s="583"/>
      <c r="L569" s="583"/>
      <c r="M569" s="583"/>
      <c r="N569" s="583"/>
      <c r="O569" s="583"/>
      <c r="P569" s="583"/>
      <c r="Q569" s="580"/>
    </row>
    <row r="570" ht="7.5" customHeight="1">
      <c r="A570" s="578"/>
      <c r="B570" s="579"/>
      <c r="C570" s="579"/>
      <c r="D570" s="579"/>
      <c r="E570" s="579"/>
      <c r="F570" s="579"/>
      <c r="G570" s="579"/>
      <c r="H570" s="579"/>
      <c r="I570" s="579"/>
      <c r="J570" s="579"/>
      <c r="K570" s="579"/>
      <c r="L570" s="579"/>
      <c r="M570" s="579"/>
      <c r="N570" s="579"/>
      <c r="O570" s="579"/>
      <c r="P570" s="555"/>
      <c r="Q570" s="580"/>
    </row>
    <row r="571">
      <c r="A571" s="578"/>
      <c r="B571" s="584" t="s">
        <v>1125</v>
      </c>
      <c r="C571" s="168"/>
      <c r="D571" s="168"/>
      <c r="E571" s="168"/>
      <c r="F571" s="168"/>
      <c r="G571" s="168"/>
      <c r="H571" s="168"/>
      <c r="I571" s="169"/>
      <c r="J571" s="589"/>
      <c r="K571" s="589"/>
      <c r="L571" s="589"/>
      <c r="M571" s="589"/>
      <c r="N571" s="589"/>
      <c r="O571" s="589"/>
      <c r="P571" s="589"/>
      <c r="Q571" s="557"/>
    </row>
    <row r="572" ht="26.25" customHeight="1">
      <c r="A572" s="558" t="str">
        <f>Source!$B$6</f>
        <v/>
      </c>
      <c r="B572" s="559" t="str">
        <f>Source!$AE$9</f>
        <v/>
      </c>
      <c r="C572" s="560" t="str">
        <f>Source!$B$7</f>
        <v/>
      </c>
      <c r="D572" s="561" t="s">
        <v>568</v>
      </c>
      <c r="E572" s="562"/>
      <c r="F572" s="585" t="s">
        <v>1126</v>
      </c>
      <c r="G572" s="27"/>
      <c r="H572" s="27"/>
      <c r="I572" s="27"/>
      <c r="J572" s="27"/>
      <c r="K572" s="636"/>
      <c r="L572" s="637"/>
      <c r="M572" s="637"/>
      <c r="N572" s="637"/>
      <c r="O572" s="637"/>
      <c r="P572" s="637"/>
      <c r="Q572" s="588"/>
    </row>
    <row r="573" ht="26.25" customHeight="1">
      <c r="A573" s="558" t="str">
        <f>Source!$B$6</f>
        <v/>
      </c>
      <c r="B573" s="559" t="str">
        <f>Source!$AK$23</f>
        <v/>
      </c>
      <c r="C573" s="569" t="str">
        <f>Source!$B$7</f>
        <v/>
      </c>
      <c r="D573" s="570" t="s">
        <v>572</v>
      </c>
      <c r="E573" s="571"/>
      <c r="F573" s="572" t="s">
        <v>1127</v>
      </c>
      <c r="G573" s="27"/>
      <c r="H573" s="27"/>
      <c r="I573" s="27"/>
      <c r="J573" s="27"/>
      <c r="K573" s="27"/>
      <c r="L573" s="27"/>
      <c r="M573" s="27"/>
      <c r="N573" s="27"/>
      <c r="O573" s="27"/>
      <c r="P573" s="27"/>
      <c r="Q573" s="31"/>
    </row>
    <row r="574" ht="26.25" customHeight="1">
      <c r="A574" s="558" t="str">
        <f>Source!$B$6</f>
        <v/>
      </c>
      <c r="B574" s="559" t="str">
        <f>Source!$D$15</f>
        <v/>
      </c>
      <c r="C574" s="560" t="str">
        <f>Source!$B$7</f>
        <v/>
      </c>
      <c r="D574" s="561" t="s">
        <v>1128</v>
      </c>
      <c r="E574" s="562"/>
      <c r="F574" s="585" t="s">
        <v>1129</v>
      </c>
      <c r="G574" s="27"/>
      <c r="H574" s="27"/>
      <c r="I574" s="27"/>
      <c r="J574" s="27"/>
      <c r="K574" s="27"/>
      <c r="L574" s="27"/>
      <c r="M574" s="27"/>
      <c r="N574" s="27"/>
      <c r="O574" s="27"/>
      <c r="P574" s="636"/>
      <c r="Q574" s="588"/>
    </row>
    <row r="575" ht="26.25" customHeight="1">
      <c r="A575" s="558" t="str">
        <f>Source!$B$6</f>
        <v/>
      </c>
      <c r="B575" s="559" t="str">
        <f>Source!$AB$54</f>
        <v/>
      </c>
      <c r="C575" s="569" t="str">
        <f>Source!$B$7</f>
        <v/>
      </c>
      <c r="D575" s="570" t="s">
        <v>931</v>
      </c>
      <c r="E575" s="571"/>
      <c r="F575" s="572" t="s">
        <v>1130</v>
      </c>
      <c r="G575" s="27"/>
      <c r="H575" s="27"/>
      <c r="I575" s="27"/>
      <c r="J575" s="27"/>
      <c r="K575" s="27"/>
      <c r="L575" s="27"/>
      <c r="M575" s="27"/>
      <c r="N575" s="636"/>
      <c r="O575" s="568"/>
      <c r="P575" s="568"/>
      <c r="Q575" s="31"/>
    </row>
    <row r="576" ht="26.25" customHeight="1">
      <c r="A576" s="558" t="str">
        <f>Source!$B$6</f>
        <v/>
      </c>
      <c r="B576" s="559" t="str">
        <f>Source!$AB$8</f>
        <v/>
      </c>
      <c r="C576" s="560" t="str">
        <f>Source!$B$7</f>
        <v/>
      </c>
      <c r="D576" s="561" t="s">
        <v>836</v>
      </c>
      <c r="E576" s="562"/>
      <c r="F576" s="585" t="s">
        <v>1131</v>
      </c>
      <c r="G576" s="27"/>
      <c r="H576" s="27"/>
      <c r="I576" s="27"/>
      <c r="J576" s="27"/>
      <c r="K576" s="565"/>
      <c r="L576" s="568"/>
      <c r="M576" s="568"/>
      <c r="N576" s="568"/>
      <c r="O576" s="568"/>
      <c r="P576" s="568"/>
      <c r="Q576" s="588"/>
    </row>
    <row r="577" ht="26.25" customHeight="1">
      <c r="A577" s="558" t="str">
        <f>Source!$B$6</f>
        <v/>
      </c>
      <c r="B577" s="559" t="str">
        <f>Source!$D$8</f>
        <v/>
      </c>
      <c r="C577" s="569" t="str">
        <f>Source!$B$7</f>
        <v/>
      </c>
      <c r="D577" s="570" t="s">
        <v>1132</v>
      </c>
      <c r="E577" s="571"/>
      <c r="F577" s="572" t="s">
        <v>1133</v>
      </c>
      <c r="G577" s="27"/>
      <c r="H577" s="27"/>
      <c r="I577" s="27"/>
      <c r="J577" s="27"/>
      <c r="K577" s="27"/>
      <c r="L577" s="27"/>
      <c r="M577" s="27"/>
      <c r="N577" s="565"/>
      <c r="O577" s="568"/>
      <c r="P577" s="568"/>
      <c r="Q577" s="31"/>
    </row>
    <row r="578" ht="26.25" customHeight="1">
      <c r="A578" s="610" t="str">
        <f>Source!$B$6</f>
        <v/>
      </c>
      <c r="B578" s="611" t="str">
        <f>Source!$AB$25</f>
        <v/>
      </c>
      <c r="C578" s="612" t="str">
        <f>Source!$B$7</f>
        <v/>
      </c>
      <c r="D578" s="629" t="s">
        <v>910</v>
      </c>
      <c r="E578" s="614"/>
      <c r="F578" s="563" t="s">
        <v>1134</v>
      </c>
      <c r="G578" s="139"/>
      <c r="H578" s="139"/>
      <c r="I578" s="139"/>
      <c r="J578" s="139"/>
      <c r="K578" s="139"/>
      <c r="L578" s="139"/>
      <c r="M578" s="139"/>
      <c r="N578" s="139"/>
      <c r="O578" s="139"/>
      <c r="P578" s="139"/>
      <c r="Q578" s="588"/>
    </row>
    <row r="579" ht="7.5" customHeight="1">
      <c r="A579" s="615"/>
      <c r="B579" s="616"/>
      <c r="C579" s="617"/>
      <c r="D579" s="618"/>
      <c r="E579" s="618"/>
      <c r="F579" s="619"/>
      <c r="G579" s="620"/>
      <c r="H579" s="620"/>
      <c r="I579" s="620"/>
      <c r="J579" s="620"/>
      <c r="K579" s="620"/>
      <c r="L579" s="620"/>
      <c r="M579" s="620"/>
      <c r="N579" s="620"/>
      <c r="O579" s="620"/>
      <c r="P579" s="620"/>
      <c r="Q579" s="588"/>
    </row>
    <row r="580" ht="26.25" customHeight="1">
      <c r="A580" s="610" t="str">
        <f>Source!$B$6</f>
        <v/>
      </c>
      <c r="B580" s="611" t="str">
        <f>Source!$AB$44</f>
        <v/>
      </c>
      <c r="C580" s="621" t="str">
        <f>Source!$B$7</f>
        <v/>
      </c>
      <c r="D580" s="622" t="s">
        <v>566</v>
      </c>
      <c r="E580" s="623"/>
      <c r="F580" s="624" t="s">
        <v>1135</v>
      </c>
      <c r="G580" s="139"/>
      <c r="H580" s="139"/>
      <c r="I580" s="139"/>
      <c r="J580" s="139"/>
      <c r="K580" s="139"/>
      <c r="L580" s="139"/>
      <c r="M580" s="139"/>
      <c r="N580" s="139"/>
      <c r="O580" s="139"/>
      <c r="P580" s="139"/>
      <c r="Q580" s="588"/>
    </row>
    <row r="581" ht="7.5" customHeight="1">
      <c r="A581" s="615"/>
      <c r="B581" s="616"/>
      <c r="C581" s="625"/>
      <c r="D581" s="626"/>
      <c r="E581" s="626"/>
      <c r="F581" s="627"/>
      <c r="G581" s="620"/>
      <c r="H581" s="620"/>
      <c r="I581" s="620"/>
      <c r="J581" s="620"/>
      <c r="K581" s="620"/>
      <c r="L581" s="620"/>
      <c r="M581" s="620"/>
      <c r="N581" s="620"/>
      <c r="O581" s="620"/>
      <c r="P581" s="620"/>
      <c r="Q581" s="588"/>
    </row>
    <row r="582" ht="26.25" customHeight="1">
      <c r="A582" s="558" t="str">
        <f>Source!$B$6</f>
        <v/>
      </c>
      <c r="B582" s="559" t="str">
        <f>Source!$AB$22</f>
        <v/>
      </c>
      <c r="C582" s="560" t="str">
        <f>Source!$B$7</f>
        <v/>
      </c>
      <c r="D582" s="561" t="s">
        <v>927</v>
      </c>
      <c r="E582" s="562"/>
      <c r="F582" s="585" t="s">
        <v>1136</v>
      </c>
      <c r="G582" s="27"/>
      <c r="H582" s="27"/>
      <c r="I582" s="27"/>
      <c r="J582" s="27"/>
      <c r="K582" s="27"/>
      <c r="L582" s="27"/>
      <c r="M582" s="27"/>
      <c r="N582" s="27"/>
      <c r="O582" s="565"/>
      <c r="P582" s="568"/>
      <c r="Q582" s="588"/>
    </row>
    <row r="583" ht="26.25" customHeight="1">
      <c r="A583" s="610" t="str">
        <f>Source!$B$6</f>
        <v/>
      </c>
      <c r="B583" s="611" t="str">
        <f>IMAGE("https://i.ibb.co/t8VNsjm/dd.png",4,28,28)</f>
        <v/>
      </c>
      <c r="C583" s="621"/>
      <c r="D583" s="622" t="s">
        <v>1137</v>
      </c>
      <c r="E583" s="623"/>
      <c r="F583" s="624" t="s">
        <v>1138</v>
      </c>
      <c r="G583" s="139"/>
      <c r="H583" s="139"/>
      <c r="I583" s="139"/>
      <c r="J583" s="139"/>
      <c r="K583" s="139"/>
      <c r="L583" s="139"/>
      <c r="M583" s="139"/>
      <c r="N583" s="139"/>
      <c r="O583" s="139"/>
      <c r="P583" s="139"/>
      <c r="Q583" s="31"/>
    </row>
    <row r="584" ht="7.5" customHeight="1">
      <c r="A584" s="615"/>
      <c r="B584" s="616"/>
      <c r="C584" s="625"/>
      <c r="D584" s="626"/>
      <c r="E584" s="626"/>
      <c r="F584" s="627"/>
      <c r="G584" s="620"/>
      <c r="H584" s="620"/>
      <c r="I584" s="620"/>
      <c r="J584" s="620"/>
      <c r="K584" s="620"/>
      <c r="L584" s="620"/>
      <c r="M584" s="620"/>
      <c r="N584" s="620"/>
      <c r="O584" s="620"/>
      <c r="P584" s="620"/>
      <c r="Q584" s="31"/>
    </row>
    <row r="585" ht="26.25" customHeight="1">
      <c r="A585" s="558" t="str">
        <f>Source!$B$6</f>
        <v/>
      </c>
      <c r="B585" s="559" t="str">
        <f>Source!$P$10</f>
        <v/>
      </c>
      <c r="C585" s="560" t="str">
        <f>Source!$B$7</f>
        <v/>
      </c>
      <c r="D585" s="561" t="s">
        <v>1139</v>
      </c>
      <c r="E585" s="562"/>
      <c r="F585" s="585" t="s">
        <v>1140</v>
      </c>
      <c r="G585" s="27"/>
      <c r="H585" s="27"/>
      <c r="I585" s="27"/>
      <c r="J585" s="27"/>
      <c r="K585" s="27"/>
      <c r="L585" s="565"/>
      <c r="M585" s="568"/>
      <c r="N585" s="568"/>
      <c r="O585" s="568"/>
      <c r="P585" s="568"/>
      <c r="Q585" s="588"/>
    </row>
    <row r="586" ht="26.25" customHeight="1">
      <c r="A586" s="558" t="str">
        <f>Source!$B$6</f>
        <v/>
      </c>
      <c r="B586" s="559" t="str">
        <f>Source!$AB$12</f>
        <v/>
      </c>
      <c r="C586" s="569" t="str">
        <f>Source!$B$7</f>
        <v/>
      </c>
      <c r="D586" s="570" t="s">
        <v>644</v>
      </c>
      <c r="E586" s="571"/>
      <c r="F586" s="572" t="s">
        <v>1141</v>
      </c>
      <c r="G586" s="27"/>
      <c r="H586" s="27"/>
      <c r="I586" s="27"/>
      <c r="J586" s="27"/>
      <c r="K586" s="27"/>
      <c r="L586" s="27"/>
      <c r="M586" s="27"/>
      <c r="N586" s="27"/>
      <c r="O586" s="27"/>
      <c r="P586" s="565"/>
      <c r="Q586" s="31"/>
    </row>
    <row r="587" ht="26.25" customHeight="1">
      <c r="A587" s="558" t="str">
        <f>Source!$B$6</f>
        <v/>
      </c>
      <c r="B587" s="559" t="str">
        <f>Source!$D$13</f>
        <v/>
      </c>
      <c r="C587" s="560" t="str">
        <f>Source!$B$7</f>
        <v/>
      </c>
      <c r="D587" s="574" t="s">
        <v>1142</v>
      </c>
      <c r="E587" s="562"/>
      <c r="F587" s="585" t="s">
        <v>1143</v>
      </c>
      <c r="G587" s="27"/>
      <c r="H587" s="27"/>
      <c r="I587" s="27"/>
      <c r="J587" s="27"/>
      <c r="K587" s="27"/>
      <c r="L587" s="27"/>
      <c r="M587" s="27"/>
      <c r="N587" s="27"/>
      <c r="O587" s="27"/>
      <c r="P587" s="565"/>
      <c r="Q587" s="588"/>
    </row>
    <row r="588" ht="26.25" customHeight="1">
      <c r="A588" s="558" t="str">
        <f>Source!$B$6</f>
        <v/>
      </c>
      <c r="B588" s="559" t="str">
        <f>Source!$AQ$181</f>
        <v/>
      </c>
      <c r="C588" s="569" t="str">
        <f>Source!$B$7</f>
        <v/>
      </c>
      <c r="D588" s="600" t="s">
        <v>1144</v>
      </c>
      <c r="E588" s="571"/>
      <c r="F588" s="572" t="s">
        <v>1145</v>
      </c>
      <c r="G588" s="27"/>
      <c r="H588" s="27"/>
      <c r="I588" s="27"/>
      <c r="J588" s="27"/>
      <c r="K588" s="27"/>
      <c r="L588" s="27"/>
      <c r="M588" s="27"/>
      <c r="N588" s="27"/>
      <c r="O588" s="27"/>
      <c r="P588" s="565"/>
      <c r="Q588" s="31"/>
    </row>
    <row r="589" ht="26.25" customHeight="1">
      <c r="A589" s="558" t="str">
        <f>Source!$B$6</f>
        <v/>
      </c>
      <c r="B589" s="559" t="str">
        <f>Source!$D$14</f>
        <v/>
      </c>
      <c r="C589" s="560" t="str">
        <f>Source!$B$7</f>
        <v/>
      </c>
      <c r="D589" s="561" t="s">
        <v>1146</v>
      </c>
      <c r="E589" s="562"/>
      <c r="F589" s="585" t="s">
        <v>1147</v>
      </c>
      <c r="G589" s="27"/>
      <c r="H589" s="27"/>
      <c r="I589" s="27"/>
      <c r="J589" s="27"/>
      <c r="K589" s="27"/>
      <c r="L589" s="27"/>
      <c r="M589" s="27"/>
      <c r="N589" s="27"/>
      <c r="O589" s="565"/>
      <c r="P589" s="568"/>
      <c r="Q589" s="588"/>
    </row>
    <row r="590" ht="26.25" customHeight="1">
      <c r="A590" s="558" t="str">
        <f>Source!$B$6</f>
        <v/>
      </c>
      <c r="B590" s="559" t="str">
        <f>IMAGE("https://i.ibb.co/dJYFB5S/hearthflame.png",4,28,28)</f>
        <v/>
      </c>
      <c r="C590" s="569" t="str">
        <f>Source!$B$7</f>
        <v/>
      </c>
      <c r="D590" s="570" t="s">
        <v>1148</v>
      </c>
      <c r="E590" s="571"/>
      <c r="F590" s="572" t="s">
        <v>1149</v>
      </c>
      <c r="G590" s="27"/>
      <c r="H590" s="27"/>
      <c r="I590" s="27"/>
      <c r="J590" s="27"/>
      <c r="K590" s="565"/>
      <c r="L590" s="568"/>
      <c r="M590" s="568"/>
      <c r="N590" s="568"/>
      <c r="O590" s="568"/>
      <c r="P590" s="568"/>
      <c r="Q590" s="31"/>
    </row>
    <row r="591" ht="26.25" customHeight="1">
      <c r="A591" s="558" t="str">
        <f>Source!$B$6</f>
        <v/>
      </c>
      <c r="B591" s="559" t="str">
        <f>Source!$AQ$31</f>
        <v/>
      </c>
      <c r="C591" s="560" t="str">
        <f>Source!$B$7</f>
        <v/>
      </c>
      <c r="D591" s="561" t="s">
        <v>1150</v>
      </c>
      <c r="E591" s="562"/>
      <c r="F591" s="585" t="s">
        <v>1149</v>
      </c>
      <c r="G591" s="27"/>
      <c r="H591" s="27"/>
      <c r="I591" s="27"/>
      <c r="J591" s="27"/>
      <c r="K591" s="565"/>
      <c r="L591" s="568"/>
      <c r="M591" s="568"/>
      <c r="N591" s="568"/>
      <c r="O591" s="568"/>
      <c r="P591" s="568"/>
      <c r="Q591" s="588"/>
    </row>
    <row r="592" ht="7.5" customHeight="1">
      <c r="A592" s="578"/>
      <c r="B592" s="579"/>
      <c r="C592" s="579"/>
      <c r="D592" s="579"/>
      <c r="E592" s="579"/>
      <c r="F592" s="579"/>
      <c r="G592" s="579"/>
      <c r="H592" s="579"/>
      <c r="I592" s="579"/>
      <c r="J592" s="579"/>
      <c r="K592" s="579"/>
      <c r="L592" s="579"/>
      <c r="M592" s="579"/>
      <c r="N592" s="579"/>
      <c r="O592" s="579"/>
      <c r="P592" s="555"/>
      <c r="Q592" s="580"/>
    </row>
    <row r="593" ht="3.75" customHeight="1">
      <c r="A593" s="581"/>
      <c r="B593" s="582"/>
      <c r="C593" s="583"/>
      <c r="D593" s="583"/>
      <c r="E593" s="583"/>
      <c r="F593" s="583"/>
      <c r="G593" s="583"/>
      <c r="H593" s="583"/>
      <c r="I593" s="583"/>
      <c r="J593" s="583"/>
      <c r="K593" s="583"/>
      <c r="L593" s="583"/>
      <c r="M593" s="583"/>
      <c r="N593" s="583"/>
      <c r="O593" s="583"/>
      <c r="P593" s="583"/>
      <c r="Q593" s="580"/>
    </row>
    <row r="594" ht="7.5" customHeight="1">
      <c r="A594" s="578"/>
      <c r="B594" s="579"/>
      <c r="C594" s="579"/>
      <c r="D594" s="579"/>
      <c r="E594" s="579"/>
      <c r="F594" s="579"/>
      <c r="G594" s="579"/>
      <c r="H594" s="579"/>
      <c r="I594" s="579"/>
      <c r="J594" s="579"/>
      <c r="K594" s="579"/>
      <c r="L594" s="579"/>
      <c r="M594" s="579"/>
      <c r="N594" s="579"/>
      <c r="O594" s="579"/>
      <c r="P594" s="555"/>
      <c r="Q594" s="580"/>
    </row>
    <row r="595">
      <c r="A595" s="578"/>
      <c r="B595" s="584" t="s">
        <v>1151</v>
      </c>
      <c r="C595" s="168"/>
      <c r="D595" s="169"/>
      <c r="E595" s="557"/>
      <c r="F595" s="589"/>
      <c r="G595" s="589"/>
      <c r="H595" s="589"/>
      <c r="I595" s="589"/>
      <c r="J595" s="589"/>
      <c r="K595" s="589"/>
      <c r="L595" s="589"/>
      <c r="M595" s="589"/>
      <c r="N595" s="589"/>
      <c r="O595" s="589"/>
      <c r="P595" s="589"/>
      <c r="Q595" s="557"/>
    </row>
    <row r="596" ht="26.25" customHeight="1">
      <c r="A596" s="558" t="str">
        <f>Source!$B$6</f>
        <v/>
      </c>
      <c r="B596" s="559" t="str">
        <f>Source!$P$12</f>
        <v/>
      </c>
      <c r="C596" s="560" t="str">
        <f>Source!$B$7</f>
        <v/>
      </c>
      <c r="D596" s="587" t="s">
        <v>1152</v>
      </c>
      <c r="E596" s="634"/>
      <c r="F596" s="585" t="s">
        <v>1153</v>
      </c>
      <c r="G596" s="27"/>
      <c r="H596" s="27"/>
      <c r="I596" s="27"/>
      <c r="J596" s="27"/>
      <c r="K596" s="27"/>
      <c r="L596" s="27"/>
      <c r="M596" s="27"/>
      <c r="N596" s="27"/>
      <c r="O596" s="565"/>
      <c r="P596" s="568"/>
      <c r="Q596" s="588"/>
    </row>
    <row r="597" ht="26.25" customHeight="1">
      <c r="A597" s="558" t="str">
        <f>Source!$B$6</f>
        <v/>
      </c>
      <c r="B597" s="559" t="str">
        <f>Source!$AH$8</f>
        <v/>
      </c>
      <c r="C597" s="569" t="str">
        <f>Source!$B$7</f>
        <v/>
      </c>
      <c r="D597" s="570" t="s">
        <v>1154</v>
      </c>
      <c r="E597" s="641"/>
      <c r="F597" s="572" t="s">
        <v>1155</v>
      </c>
      <c r="G597" s="27"/>
      <c r="H597" s="27"/>
      <c r="I597" s="27"/>
      <c r="J597" s="27"/>
      <c r="K597" s="27"/>
      <c r="L597" s="27"/>
      <c r="M597" s="27"/>
      <c r="N597" s="27"/>
      <c r="O597" s="27"/>
      <c r="P597" s="565"/>
      <c r="Q597" s="31"/>
    </row>
    <row r="598" ht="7.5" customHeight="1">
      <c r="A598" s="578"/>
      <c r="B598" s="579"/>
      <c r="C598" s="579"/>
      <c r="D598" s="579"/>
      <c r="E598" s="579"/>
      <c r="F598" s="579"/>
      <c r="G598" s="579"/>
      <c r="H598" s="579"/>
      <c r="I598" s="579"/>
      <c r="J598" s="579"/>
      <c r="K598" s="579"/>
      <c r="L598" s="579"/>
      <c r="M598" s="579"/>
      <c r="N598" s="579"/>
      <c r="O598" s="579"/>
      <c r="P598" s="555"/>
      <c r="Q598" s="580"/>
    </row>
    <row r="599" ht="3.75" customHeight="1">
      <c r="A599" s="581"/>
      <c r="B599" s="582"/>
      <c r="C599" s="583"/>
      <c r="D599" s="583"/>
      <c r="E599" s="583"/>
      <c r="F599" s="583"/>
      <c r="G599" s="583"/>
      <c r="H599" s="583"/>
      <c r="I599" s="583"/>
      <c r="J599" s="583"/>
      <c r="K599" s="583"/>
      <c r="L599" s="583"/>
      <c r="M599" s="583"/>
      <c r="N599" s="583"/>
      <c r="O599" s="583"/>
      <c r="P599" s="583"/>
      <c r="Q599" s="580"/>
    </row>
    <row r="600" ht="7.5" customHeight="1">
      <c r="A600" s="578"/>
      <c r="B600" s="579"/>
      <c r="C600" s="579"/>
      <c r="D600" s="579"/>
      <c r="E600" s="579"/>
      <c r="F600" s="579"/>
      <c r="G600" s="579"/>
      <c r="H600" s="579"/>
      <c r="I600" s="579"/>
      <c r="J600" s="579"/>
      <c r="K600" s="579"/>
      <c r="L600" s="579"/>
      <c r="M600" s="579"/>
      <c r="N600" s="579"/>
      <c r="O600" s="579"/>
      <c r="P600" s="555"/>
      <c r="Q600" s="580"/>
    </row>
    <row r="601">
      <c r="A601" s="578"/>
      <c r="B601" s="584" t="s">
        <v>1156</v>
      </c>
      <c r="C601" s="168"/>
      <c r="D601" s="169"/>
      <c r="E601" s="557"/>
      <c r="F601" s="589"/>
      <c r="G601" s="589"/>
      <c r="H601" s="589"/>
      <c r="I601" s="589"/>
      <c r="J601" s="589"/>
      <c r="K601" s="589"/>
      <c r="L601" s="589"/>
      <c r="M601" s="589"/>
      <c r="N601" s="589"/>
      <c r="O601" s="589"/>
      <c r="P601" s="589"/>
      <c r="Q601" s="557"/>
    </row>
    <row r="602" ht="26.25" customHeight="1">
      <c r="A602" s="558" t="str">
        <f>Source!$B$6</f>
        <v/>
      </c>
      <c r="B602" s="559" t="str">
        <f>Source!$P$17</f>
        <v/>
      </c>
      <c r="C602" s="560" t="str">
        <f>Source!$B$7</f>
        <v/>
      </c>
      <c r="D602" s="561" t="s">
        <v>1157</v>
      </c>
      <c r="E602" s="634"/>
      <c r="F602" s="585" t="s">
        <v>1158</v>
      </c>
      <c r="G602" s="27"/>
      <c r="H602" s="27"/>
      <c r="I602" s="27"/>
      <c r="J602" s="27"/>
      <c r="K602" s="27"/>
      <c r="L602" s="27"/>
      <c r="M602" s="27"/>
      <c r="N602" s="27"/>
      <c r="O602" s="565"/>
      <c r="P602" s="568"/>
      <c r="Q602" s="588"/>
    </row>
    <row r="603" ht="26.25" customHeight="1">
      <c r="A603" s="558" t="str">
        <f>Source!$B$6</f>
        <v/>
      </c>
      <c r="B603" s="559" t="str">
        <f>Source!$AH$7</f>
        <v/>
      </c>
      <c r="C603" s="569" t="str">
        <f>Source!$B$7</f>
        <v/>
      </c>
      <c r="D603" s="570" t="s">
        <v>534</v>
      </c>
      <c r="E603" s="641"/>
      <c r="F603" s="572" t="s">
        <v>1159</v>
      </c>
      <c r="G603" s="27"/>
      <c r="H603" s="27"/>
      <c r="I603" s="27"/>
      <c r="J603" s="27"/>
      <c r="K603" s="27"/>
      <c r="L603" s="27"/>
      <c r="M603" s="27"/>
      <c r="N603" s="565"/>
      <c r="O603" s="568"/>
      <c r="P603" s="568"/>
      <c r="Q603" s="31"/>
    </row>
    <row r="604" ht="26.25" customHeight="1">
      <c r="A604" s="610" t="str">
        <f>Source!$B$6</f>
        <v/>
      </c>
      <c r="B604" s="611" t="str">
        <f>Source!$AB$41</f>
        <v/>
      </c>
      <c r="C604" s="612" t="str">
        <f>Source!$B$7</f>
        <v/>
      </c>
      <c r="D604" s="629" t="s">
        <v>797</v>
      </c>
      <c r="E604" s="643"/>
      <c r="F604" s="563" t="s">
        <v>1160</v>
      </c>
      <c r="G604" s="139"/>
      <c r="H604" s="139"/>
      <c r="I604" s="139"/>
      <c r="J604" s="139"/>
      <c r="K604" s="139"/>
      <c r="L604" s="139"/>
      <c r="M604" s="139"/>
      <c r="N604" s="139"/>
      <c r="O604" s="139"/>
      <c r="P604" s="139"/>
      <c r="Q604" s="588"/>
    </row>
    <row r="605" ht="7.5" customHeight="1">
      <c r="A605" s="615"/>
      <c r="B605" s="616"/>
      <c r="C605" s="617"/>
      <c r="D605" s="618"/>
      <c r="E605" s="618"/>
      <c r="F605" s="619"/>
      <c r="G605" s="620"/>
      <c r="H605" s="620"/>
      <c r="I605" s="620"/>
      <c r="J605" s="620"/>
      <c r="K605" s="620"/>
      <c r="L605" s="620"/>
      <c r="M605" s="620"/>
      <c r="N605" s="620"/>
      <c r="O605" s="620"/>
      <c r="P605" s="620"/>
      <c r="Q605" s="588"/>
    </row>
    <row r="606" ht="26.25" customHeight="1">
      <c r="A606" s="558" t="str">
        <f>Source!$B$6</f>
        <v/>
      </c>
      <c r="B606" s="559" t="str">
        <f>Source!$AB$18</f>
        <v/>
      </c>
      <c r="C606" s="569" t="str">
        <f>Source!$B$7</f>
        <v/>
      </c>
      <c r="D606" s="570" t="s">
        <v>977</v>
      </c>
      <c r="E606" s="641"/>
      <c r="F606" s="572" t="s">
        <v>1161</v>
      </c>
      <c r="G606" s="27"/>
      <c r="H606" s="27"/>
      <c r="I606" s="27"/>
      <c r="J606" s="27"/>
      <c r="K606" s="27"/>
      <c r="L606" s="27"/>
      <c r="M606" s="565"/>
      <c r="N606" s="568"/>
      <c r="O606" s="568"/>
      <c r="P606" s="568"/>
      <c r="Q606" s="31"/>
    </row>
    <row r="607" ht="26.25" customHeight="1">
      <c r="A607" s="558" t="str">
        <f>Source!$B$6</f>
        <v/>
      </c>
      <c r="B607" s="559" t="str">
        <f>Source!$AB$29</f>
        <v/>
      </c>
      <c r="C607" s="560" t="str">
        <f>Source!$B$7</f>
        <v/>
      </c>
      <c r="D607" s="561" t="s">
        <v>980</v>
      </c>
      <c r="E607" s="634"/>
      <c r="F607" s="585" t="s">
        <v>1162</v>
      </c>
      <c r="G607" s="27"/>
      <c r="H607" s="27"/>
      <c r="I607" s="27"/>
      <c r="J607" s="27"/>
      <c r="K607" s="27"/>
      <c r="L607" s="27"/>
      <c r="M607" s="27"/>
      <c r="N607" s="565"/>
      <c r="O607" s="568"/>
      <c r="P607" s="568"/>
      <c r="Q607" s="588"/>
    </row>
    <row r="608" ht="26.25" customHeight="1">
      <c r="A608" s="558" t="str">
        <f>Source!$B$6</f>
        <v/>
      </c>
      <c r="B608" s="559" t="str">
        <f>Source!$D$7</f>
        <v/>
      </c>
      <c r="C608" s="569" t="str">
        <f>Source!$B$7</f>
        <v/>
      </c>
      <c r="D608" s="570" t="s">
        <v>1163</v>
      </c>
      <c r="E608" s="641"/>
      <c r="F608" s="572" t="s">
        <v>1164</v>
      </c>
      <c r="G608" s="27"/>
      <c r="H608" s="27"/>
      <c r="I608" s="27"/>
      <c r="J608" s="27"/>
      <c r="K608" s="565"/>
      <c r="L608" s="568"/>
      <c r="M608" s="568"/>
      <c r="N608" s="568"/>
      <c r="O608" s="568"/>
      <c r="P608" s="568"/>
      <c r="Q608" s="31"/>
    </row>
    <row r="609" ht="26.25" customHeight="1">
      <c r="A609" s="558" t="str">
        <f>Source!$B$6</f>
        <v/>
      </c>
      <c r="B609" s="559" t="str">
        <f>Source!$P$32</f>
        <v/>
      </c>
      <c r="C609" s="560" t="str">
        <f>Source!$B$7</f>
        <v/>
      </c>
      <c r="D609" s="574" t="s">
        <v>1165</v>
      </c>
      <c r="E609" s="634"/>
      <c r="F609" s="585" t="s">
        <v>1166</v>
      </c>
      <c r="G609" s="27"/>
      <c r="H609" s="27"/>
      <c r="I609" s="27"/>
      <c r="J609" s="27"/>
      <c r="K609" s="27"/>
      <c r="L609" s="565"/>
      <c r="M609" s="568"/>
      <c r="N609" s="568"/>
      <c r="O609" s="568"/>
      <c r="P609" s="568"/>
      <c r="Q609" s="588"/>
    </row>
    <row r="610" ht="26.25" customHeight="1">
      <c r="A610" s="558" t="str">
        <f>Source!$B$6</f>
        <v/>
      </c>
      <c r="B610" s="559" t="str">
        <f>Source!$P$25</f>
        <v/>
      </c>
      <c r="C610" s="569" t="str">
        <f>Source!$B$7</f>
        <v/>
      </c>
      <c r="D610" s="570" t="s">
        <v>1167</v>
      </c>
      <c r="E610" s="641"/>
      <c r="F610" s="572" t="s">
        <v>1168</v>
      </c>
      <c r="G610" s="27"/>
      <c r="H610" s="27"/>
      <c r="I610" s="27"/>
      <c r="J610" s="27"/>
      <c r="K610" s="27"/>
      <c r="L610" s="565"/>
      <c r="M610" s="568"/>
      <c r="N610" s="568"/>
      <c r="O610" s="568"/>
      <c r="P610" s="568"/>
      <c r="Q610" s="31"/>
    </row>
    <row r="611" ht="26.25" customHeight="1">
      <c r="A611" s="558" t="str">
        <f>Source!$B$6</f>
        <v/>
      </c>
      <c r="B611" s="559" t="str">
        <f>Source!$P$19</f>
        <v/>
      </c>
      <c r="C611" s="560" t="str">
        <f>Source!$B$7</f>
        <v/>
      </c>
      <c r="D611" s="574" t="s">
        <v>1169</v>
      </c>
      <c r="E611" s="634"/>
      <c r="F611" s="585" t="s">
        <v>1170</v>
      </c>
      <c r="G611" s="27"/>
      <c r="H611" s="27"/>
      <c r="I611" s="27"/>
      <c r="J611" s="27"/>
      <c r="K611" s="27"/>
      <c r="L611" s="565"/>
      <c r="M611" s="568"/>
      <c r="N611" s="568"/>
      <c r="O611" s="568"/>
      <c r="P611" s="568"/>
      <c r="Q611" s="588"/>
    </row>
    <row r="612" ht="26.25" customHeight="1">
      <c r="A612" s="558" t="str">
        <f>Source!$B$6</f>
        <v/>
      </c>
      <c r="B612" s="559" t="str">
        <f>IMAGE("https://i.ibb.co/SK50ng3/booster.png",4,28,28)</f>
        <v/>
      </c>
      <c r="C612" s="569" t="str">
        <f>Source!$B$7</f>
        <v/>
      </c>
      <c r="D612" s="570" t="s">
        <v>1171</v>
      </c>
      <c r="E612" s="641"/>
      <c r="F612" s="572" t="s">
        <v>1172</v>
      </c>
      <c r="G612" s="27"/>
      <c r="H612" s="27"/>
      <c r="I612" s="27"/>
      <c r="J612" s="27"/>
      <c r="K612" s="27"/>
      <c r="L612" s="27"/>
      <c r="M612" s="27"/>
      <c r="N612" s="27"/>
      <c r="O612" s="27"/>
      <c r="P612" s="565"/>
      <c r="Q612" s="31"/>
    </row>
    <row r="613" ht="26.25" customHeight="1">
      <c r="A613" s="558" t="str">
        <f>Source!$B$6</f>
        <v/>
      </c>
      <c r="B613" s="559" t="str">
        <f>Source!$AH$4</f>
        <v/>
      </c>
      <c r="C613" s="560" t="str">
        <f>Source!$B$7</f>
        <v/>
      </c>
      <c r="D613" s="561" t="s">
        <v>1173</v>
      </c>
      <c r="E613" s="634"/>
      <c r="F613" s="585" t="s">
        <v>1174</v>
      </c>
      <c r="G613" s="27"/>
      <c r="H613" s="27"/>
      <c r="I613" s="27"/>
      <c r="J613" s="27"/>
      <c r="K613" s="27"/>
      <c r="L613" s="27"/>
      <c r="M613" s="27"/>
      <c r="N613" s="27"/>
      <c r="O613" s="27"/>
      <c r="P613" s="565"/>
      <c r="Q613" s="588"/>
    </row>
    <row r="614" ht="7.5" customHeight="1">
      <c r="A614" s="578"/>
      <c r="B614" s="579"/>
      <c r="C614" s="579"/>
      <c r="D614" s="579"/>
      <c r="E614" s="579"/>
      <c r="F614" s="579"/>
      <c r="G614" s="579"/>
      <c r="H614" s="579"/>
      <c r="I614" s="579"/>
      <c r="J614" s="579"/>
      <c r="K614" s="579"/>
      <c r="L614" s="579"/>
      <c r="M614" s="579"/>
      <c r="N614" s="579"/>
      <c r="O614" s="579"/>
      <c r="P614" s="555"/>
      <c r="Q614" s="580"/>
    </row>
    <row r="615" ht="3.75" customHeight="1">
      <c r="A615" s="581"/>
      <c r="B615" s="582"/>
      <c r="C615" s="583"/>
      <c r="D615" s="583"/>
      <c r="E615" s="583"/>
      <c r="F615" s="583"/>
      <c r="G615" s="583"/>
      <c r="H615" s="583"/>
      <c r="I615" s="583"/>
      <c r="J615" s="583"/>
      <c r="K615" s="583"/>
      <c r="L615" s="583"/>
      <c r="M615" s="583"/>
      <c r="N615" s="583"/>
      <c r="O615" s="583"/>
      <c r="P615" s="583"/>
      <c r="Q615" s="580"/>
    </row>
    <row r="616" ht="7.5" customHeight="1">
      <c r="A616" s="578"/>
      <c r="B616" s="579"/>
      <c r="C616" s="579"/>
      <c r="D616" s="579"/>
      <c r="E616" s="579"/>
      <c r="F616" s="579"/>
      <c r="G616" s="579"/>
      <c r="H616" s="579"/>
      <c r="I616" s="579"/>
      <c r="J616" s="579"/>
      <c r="K616" s="579"/>
      <c r="L616" s="579"/>
      <c r="M616" s="579"/>
      <c r="N616" s="579"/>
      <c r="O616" s="579"/>
      <c r="P616" s="555"/>
      <c r="Q616" s="580"/>
    </row>
    <row r="617">
      <c r="A617" s="578"/>
      <c r="B617" s="584" t="s">
        <v>1175</v>
      </c>
      <c r="C617" s="168"/>
      <c r="D617" s="169"/>
      <c r="E617" s="557"/>
      <c r="F617" s="589"/>
      <c r="G617" s="589"/>
      <c r="H617" s="589"/>
      <c r="I617" s="589"/>
      <c r="J617" s="589"/>
      <c r="K617" s="589"/>
      <c r="L617" s="589"/>
      <c r="M617" s="589"/>
      <c r="N617" s="589"/>
      <c r="O617" s="589"/>
      <c r="P617" s="589"/>
      <c r="Q617" s="557"/>
    </row>
    <row r="618" ht="26.25" customHeight="1">
      <c r="A618" s="558" t="str">
        <f>Source!$B$6</f>
        <v/>
      </c>
      <c r="B618" s="559" t="str">
        <f>Source!$AK$12</f>
        <v/>
      </c>
      <c r="C618" s="560" t="str">
        <f>Source!$B$7</f>
        <v/>
      </c>
      <c r="D618" s="561" t="s">
        <v>1176</v>
      </c>
      <c r="E618" s="634"/>
      <c r="F618" s="585" t="s">
        <v>1177</v>
      </c>
      <c r="G618" s="27"/>
      <c r="H618" s="27"/>
      <c r="I618" s="27"/>
      <c r="J618" s="565"/>
      <c r="K618" s="568"/>
      <c r="L618" s="568"/>
      <c r="M618" s="568"/>
      <c r="N618" s="568"/>
      <c r="O618" s="568"/>
      <c r="P618" s="568"/>
      <c r="Q618" s="588"/>
    </row>
    <row r="619" ht="26.25" customHeight="1">
      <c r="A619" s="558" t="str">
        <f>Source!$B$6</f>
        <v/>
      </c>
      <c r="B619" s="559" t="str">
        <f>Source!$P$5</f>
        <v/>
      </c>
      <c r="C619" s="569" t="str">
        <f>Source!$B$7</f>
        <v/>
      </c>
      <c r="D619" s="601" t="s">
        <v>1178</v>
      </c>
      <c r="E619" s="641"/>
      <c r="F619" s="572" t="s">
        <v>1179</v>
      </c>
      <c r="G619" s="27"/>
      <c r="H619" s="27"/>
      <c r="I619" s="27"/>
      <c r="J619" s="27"/>
      <c r="K619" s="27"/>
      <c r="L619" s="27"/>
      <c r="M619" s="27"/>
      <c r="N619" s="27"/>
      <c r="O619" s="565"/>
      <c r="P619" s="568"/>
      <c r="Q619" s="31"/>
    </row>
    <row r="620" ht="26.25" customHeight="1">
      <c r="A620" s="558" t="str">
        <f>Source!$B$6</f>
        <v/>
      </c>
      <c r="B620" s="559" t="str">
        <f>IMAGE("https://i.ibb.co/6ZBsLZp/corner.png",4,28,28)</f>
        <v/>
      </c>
      <c r="C620" s="560" t="str">
        <f>Source!$B$7</f>
        <v/>
      </c>
      <c r="D620" s="561" t="s">
        <v>1180</v>
      </c>
      <c r="E620" s="634"/>
      <c r="F620" s="585" t="s">
        <v>1179</v>
      </c>
      <c r="G620" s="27"/>
      <c r="H620" s="27"/>
      <c r="I620" s="27"/>
      <c r="J620" s="27"/>
      <c r="K620" s="27"/>
      <c r="L620" s="27"/>
      <c r="M620" s="27"/>
      <c r="N620" s="27"/>
      <c r="O620" s="565"/>
      <c r="P620" s="568"/>
      <c r="Q620" s="588"/>
    </row>
    <row r="621" ht="26.25" customHeight="1">
      <c r="A621" s="558" t="str">
        <f>Source!$B$6</f>
        <v/>
      </c>
      <c r="B621" s="559" t="str">
        <f>Source!$D$7</f>
        <v/>
      </c>
      <c r="C621" s="569" t="str">
        <f>Source!$B$7</f>
        <v/>
      </c>
      <c r="D621" s="601" t="s">
        <v>1181</v>
      </c>
      <c r="E621" s="641"/>
      <c r="F621" s="572" t="s">
        <v>1182</v>
      </c>
      <c r="G621" s="27"/>
      <c r="H621" s="27"/>
      <c r="I621" s="27"/>
      <c r="J621" s="27"/>
      <c r="K621" s="27"/>
      <c r="L621" s="27"/>
      <c r="M621" s="27"/>
      <c r="N621" s="565"/>
      <c r="O621" s="568"/>
      <c r="P621" s="568"/>
      <c r="Q621" s="31"/>
    </row>
    <row r="622" ht="26.25" customHeight="1">
      <c r="A622" s="558" t="str">
        <f>Source!$B$6</f>
        <v/>
      </c>
      <c r="B622" s="559" t="str">
        <f>Source!$AB$12</f>
        <v/>
      </c>
      <c r="C622" s="560" t="str">
        <f>Source!$B$7</f>
        <v/>
      </c>
      <c r="D622" s="561" t="s">
        <v>644</v>
      </c>
      <c r="E622" s="634"/>
      <c r="F622" s="585" t="s">
        <v>1183</v>
      </c>
      <c r="G622" s="27"/>
      <c r="H622" s="27"/>
      <c r="I622" s="27"/>
      <c r="J622" s="27"/>
      <c r="K622" s="565"/>
      <c r="L622" s="568"/>
      <c r="M622" s="568"/>
      <c r="N622" s="568"/>
      <c r="O622" s="568"/>
      <c r="P622" s="568"/>
      <c r="Q622" s="588"/>
    </row>
    <row r="623" ht="26.25" customHeight="1">
      <c r="A623" s="558" t="str">
        <f>Source!$B$6</f>
        <v/>
      </c>
      <c r="B623" s="559" t="str">
        <f>Source!$D$5</f>
        <v/>
      </c>
      <c r="C623" s="569" t="str">
        <f>Source!$B$7</f>
        <v/>
      </c>
      <c r="D623" s="600" t="s">
        <v>1184</v>
      </c>
      <c r="E623" s="641"/>
      <c r="F623" s="572" t="s">
        <v>1185</v>
      </c>
      <c r="G623" s="27"/>
      <c r="H623" s="27"/>
      <c r="I623" s="27"/>
      <c r="J623" s="565"/>
      <c r="K623" s="568"/>
      <c r="L623" s="568"/>
      <c r="M623" s="568"/>
      <c r="N623" s="568"/>
      <c r="O623" s="568"/>
      <c r="P623" s="568"/>
      <c r="Q623" s="31"/>
    </row>
    <row r="624" ht="26.25" customHeight="1">
      <c r="A624" s="558" t="str">
        <f>Source!$B$6</f>
        <v/>
      </c>
      <c r="B624" s="559" t="str">
        <f>Source!$P$8</f>
        <v/>
      </c>
      <c r="C624" s="560" t="str">
        <f>Source!$B$7</f>
        <v/>
      </c>
      <c r="D624" s="574" t="s">
        <v>1186</v>
      </c>
      <c r="E624" s="634"/>
      <c r="F624" s="585" t="s">
        <v>1187</v>
      </c>
      <c r="G624" s="27"/>
      <c r="H624" s="27"/>
      <c r="I624" s="27"/>
      <c r="J624" s="565"/>
      <c r="K624" s="568"/>
      <c r="L624" s="568"/>
      <c r="M624" s="568"/>
      <c r="N624" s="568"/>
      <c r="O624" s="568"/>
      <c r="P624" s="568"/>
      <c r="Q624" s="588"/>
    </row>
    <row r="625" ht="26.25" customHeight="1">
      <c r="A625" s="558" t="str">
        <f>Source!$B$6</f>
        <v/>
      </c>
      <c r="B625" s="559" t="str">
        <f>Source!$AB$29</f>
        <v/>
      </c>
      <c r="C625" s="569" t="str">
        <f>Source!$B$7</f>
        <v/>
      </c>
      <c r="D625" s="570" t="s">
        <v>980</v>
      </c>
      <c r="E625" s="641"/>
      <c r="F625" s="572" t="s">
        <v>1188</v>
      </c>
      <c r="G625" s="27"/>
      <c r="H625" s="27"/>
      <c r="I625" s="27"/>
      <c r="J625" s="27"/>
      <c r="K625" s="27"/>
      <c r="L625" s="27"/>
      <c r="M625" s="27"/>
      <c r="N625" s="27"/>
      <c r="O625" s="565"/>
      <c r="P625" s="568"/>
      <c r="Q625" s="31"/>
    </row>
    <row r="626" ht="26.25" customHeight="1">
      <c r="A626" s="558" t="str">
        <f>Source!$B$6</f>
        <v/>
      </c>
      <c r="B626" s="559" t="str">
        <f>Source!$AK$38</f>
        <v/>
      </c>
      <c r="C626" s="560" t="str">
        <f>Source!$B$7</f>
        <v/>
      </c>
      <c r="D626" s="561" t="s">
        <v>553</v>
      </c>
      <c r="E626" s="634"/>
      <c r="F626" s="585" t="s">
        <v>1189</v>
      </c>
      <c r="G626" s="27"/>
      <c r="H626" s="27"/>
      <c r="I626" s="27"/>
      <c r="J626" s="27"/>
      <c r="K626" s="27"/>
      <c r="L626" s="27"/>
      <c r="M626" s="27"/>
      <c r="N626" s="27"/>
      <c r="O626" s="27"/>
      <c r="P626" s="27"/>
      <c r="Q626" s="588"/>
    </row>
    <row r="627" ht="26.25" customHeight="1">
      <c r="A627" s="558" t="str">
        <f>Source!$B$6</f>
        <v/>
      </c>
      <c r="B627" s="559" t="str">
        <f>Source!$AN$28</f>
        <v/>
      </c>
      <c r="C627" s="569" t="str">
        <f>Source!$B$7</f>
        <v/>
      </c>
      <c r="D627" s="570" t="s">
        <v>1190</v>
      </c>
      <c r="E627" s="641"/>
      <c r="F627" s="572" t="s">
        <v>1191</v>
      </c>
      <c r="G627" s="27"/>
      <c r="H627" s="27"/>
      <c r="I627" s="27"/>
      <c r="J627" s="27"/>
      <c r="K627" s="27"/>
      <c r="L627" s="27"/>
      <c r="M627" s="27"/>
      <c r="N627" s="27"/>
      <c r="O627" s="27"/>
      <c r="P627" s="565"/>
      <c r="Q627" s="31"/>
    </row>
    <row r="628" ht="7.5" customHeight="1">
      <c r="A628" s="578"/>
      <c r="B628" s="579"/>
      <c r="C628" s="579"/>
      <c r="D628" s="579"/>
      <c r="E628" s="579"/>
      <c r="F628" s="579"/>
      <c r="G628" s="579"/>
      <c r="H628" s="579"/>
      <c r="I628" s="579"/>
      <c r="J628" s="579"/>
      <c r="K628" s="579"/>
      <c r="L628" s="579"/>
      <c r="M628" s="579"/>
      <c r="N628" s="579"/>
      <c r="O628" s="579"/>
      <c r="P628" s="555"/>
      <c r="Q628" s="580"/>
    </row>
    <row r="629" ht="3.75" customHeight="1">
      <c r="A629" s="581"/>
      <c r="B629" s="582"/>
      <c r="C629" s="583"/>
      <c r="D629" s="583"/>
      <c r="E629" s="583"/>
      <c r="F629" s="583"/>
      <c r="G629" s="583"/>
      <c r="H629" s="583"/>
      <c r="I629" s="583"/>
      <c r="J629" s="583"/>
      <c r="K629" s="583"/>
      <c r="L629" s="583"/>
      <c r="M629" s="583"/>
      <c r="N629" s="583"/>
      <c r="O629" s="583"/>
      <c r="P629" s="583"/>
      <c r="Q629" s="580"/>
    </row>
    <row r="630" ht="7.5" customHeight="1">
      <c r="A630" s="578"/>
      <c r="B630" s="579"/>
      <c r="C630" s="579"/>
      <c r="D630" s="579"/>
      <c r="E630" s="579"/>
      <c r="F630" s="579"/>
      <c r="G630" s="579"/>
      <c r="H630" s="579"/>
      <c r="I630" s="579"/>
      <c r="J630" s="579"/>
      <c r="K630" s="579"/>
      <c r="L630" s="579"/>
      <c r="M630" s="579"/>
      <c r="N630" s="579"/>
      <c r="O630" s="579"/>
      <c r="P630" s="555"/>
      <c r="Q630" s="580"/>
    </row>
    <row r="631">
      <c r="A631" s="578"/>
      <c r="B631" s="584" t="s">
        <v>1192</v>
      </c>
      <c r="C631" s="168"/>
      <c r="D631" s="169"/>
      <c r="E631" s="557"/>
      <c r="F631" s="589"/>
      <c r="G631" s="589"/>
      <c r="H631" s="589"/>
      <c r="I631" s="589"/>
      <c r="J631" s="589"/>
      <c r="K631" s="589"/>
      <c r="L631" s="589"/>
      <c r="M631" s="589"/>
      <c r="N631" s="589"/>
      <c r="O631" s="589"/>
      <c r="P631" s="589"/>
      <c r="Q631" s="557"/>
    </row>
    <row r="632" ht="26.25" customHeight="1">
      <c r="A632" s="558" t="str">
        <f>Source!$B$6</f>
        <v/>
      </c>
      <c r="B632" s="559" t="str">
        <f>Source!$AT$34</f>
        <v/>
      </c>
      <c r="C632" s="560" t="str">
        <f>Source!$B$7</f>
        <v/>
      </c>
      <c r="D632" s="561" t="s">
        <v>773</v>
      </c>
      <c r="E632" s="634"/>
      <c r="F632" s="585" t="s">
        <v>1193</v>
      </c>
      <c r="G632" s="27"/>
      <c r="H632" s="27"/>
      <c r="I632" s="27"/>
      <c r="J632" s="27"/>
      <c r="K632" s="27"/>
      <c r="L632" s="27"/>
      <c r="M632" s="27"/>
      <c r="N632" s="27"/>
      <c r="O632" s="27"/>
      <c r="P632" s="27"/>
      <c r="Q632" s="588"/>
    </row>
    <row r="633" ht="26.25" customHeight="1">
      <c r="A633" s="558" t="str">
        <f>Source!$B$6</f>
        <v/>
      </c>
      <c r="B633" s="559" t="str">
        <f>Source!$AB$30</f>
        <v/>
      </c>
      <c r="C633" s="569" t="str">
        <f>Source!$B$7</f>
        <v/>
      </c>
      <c r="D633" s="570" t="s">
        <v>661</v>
      </c>
      <c r="E633" s="641"/>
      <c r="F633" s="572" t="s">
        <v>1194</v>
      </c>
      <c r="G633" s="27"/>
      <c r="H633" s="27"/>
      <c r="I633" s="27"/>
      <c r="J633" s="27"/>
      <c r="K633" s="27"/>
      <c r="L633" s="27"/>
      <c r="M633" s="27"/>
      <c r="N633" s="27"/>
      <c r="O633" s="565"/>
      <c r="P633" s="568"/>
      <c r="Q633" s="31"/>
    </row>
    <row r="634" ht="26.25" customHeight="1">
      <c r="A634" s="558" t="str">
        <f>Source!$B$6</f>
        <v/>
      </c>
      <c r="B634" s="559" t="str">
        <f>Source!$Y$38</f>
        <v/>
      </c>
      <c r="C634" s="560" t="str">
        <f>Source!$B$7</f>
        <v/>
      </c>
      <c r="D634" s="561" t="s">
        <v>905</v>
      </c>
      <c r="E634" s="634"/>
      <c r="F634" s="585" t="s">
        <v>1195</v>
      </c>
      <c r="G634" s="27"/>
      <c r="H634" s="27"/>
      <c r="I634" s="27"/>
      <c r="J634" s="27"/>
      <c r="K634" s="27"/>
      <c r="L634" s="27"/>
      <c r="M634" s="27"/>
      <c r="N634" s="27"/>
      <c r="O634" s="27"/>
      <c r="P634" s="27"/>
      <c r="Q634" s="588"/>
    </row>
    <row r="635" ht="26.25" customHeight="1">
      <c r="A635" s="558" t="str">
        <f>Source!$B$6</f>
        <v/>
      </c>
      <c r="B635" s="559" t="str">
        <f>Source!$AT$4</f>
        <v/>
      </c>
      <c r="C635" s="569" t="str">
        <f>Source!$B$7</f>
        <v/>
      </c>
      <c r="D635" s="570" t="s">
        <v>1196</v>
      </c>
      <c r="E635" s="641"/>
      <c r="F635" s="572" t="s">
        <v>1197</v>
      </c>
      <c r="G635" s="27"/>
      <c r="H635" s="27"/>
      <c r="I635" s="27"/>
      <c r="J635" s="27"/>
      <c r="K635" s="27"/>
      <c r="L635" s="27"/>
      <c r="M635" s="27"/>
      <c r="N635" s="27"/>
      <c r="O635" s="27"/>
      <c r="P635" s="27"/>
      <c r="Q635" s="31"/>
    </row>
    <row r="636" ht="26.25" customHeight="1">
      <c r="A636" s="558" t="str">
        <f>Source!$B$6</f>
        <v/>
      </c>
      <c r="B636" s="559" t="str">
        <f>Source!$P$18</f>
        <v/>
      </c>
      <c r="C636" s="560" t="str">
        <f>Source!$B$7</f>
        <v/>
      </c>
      <c r="D636" s="574" t="s">
        <v>1198</v>
      </c>
      <c r="E636" s="634"/>
      <c r="F636" s="585" t="s">
        <v>1199</v>
      </c>
      <c r="G636" s="27"/>
      <c r="H636" s="27"/>
      <c r="I636" s="27"/>
      <c r="J636" s="27"/>
      <c r="K636" s="27"/>
      <c r="L636" s="27"/>
      <c r="M636" s="27"/>
      <c r="N636" s="565"/>
      <c r="O636" s="568"/>
      <c r="P636" s="568"/>
      <c r="Q636" s="588"/>
    </row>
    <row r="637" ht="26.25" customHeight="1">
      <c r="A637" s="558" t="str">
        <f>Source!$B$6</f>
        <v/>
      </c>
      <c r="B637" s="559" t="str">
        <f>Source!$AB$18</f>
        <v/>
      </c>
      <c r="C637" s="569" t="str">
        <f>Source!$B$7</f>
        <v/>
      </c>
      <c r="D637" s="570" t="s">
        <v>977</v>
      </c>
      <c r="E637" s="641"/>
      <c r="F637" s="572" t="s">
        <v>1200</v>
      </c>
      <c r="G637" s="27"/>
      <c r="H637" s="27"/>
      <c r="I637" s="27"/>
      <c r="J637" s="27"/>
      <c r="K637" s="27"/>
      <c r="L637" s="27"/>
      <c r="M637" s="565"/>
      <c r="N637" s="568"/>
      <c r="O637" s="568"/>
      <c r="P637" s="568"/>
      <c r="Q637" s="31"/>
    </row>
    <row r="638" ht="26.25" customHeight="1">
      <c r="A638" s="558" t="str">
        <f>Source!$B$6</f>
        <v/>
      </c>
      <c r="B638" s="559" t="str">
        <f>Source!$AT$65</f>
        <v/>
      </c>
      <c r="C638" s="560" t="str">
        <f>Source!$B$7</f>
        <v/>
      </c>
      <c r="D638" s="561" t="s">
        <v>652</v>
      </c>
      <c r="E638" s="634"/>
      <c r="F638" s="608" t="s">
        <v>1201</v>
      </c>
      <c r="G638" s="27"/>
      <c r="H638" s="27"/>
      <c r="I638" s="27"/>
      <c r="J638" s="27"/>
      <c r="K638" s="27"/>
      <c r="L638" s="27"/>
      <c r="M638" s="27"/>
      <c r="N638" s="27"/>
      <c r="O638" s="27"/>
      <c r="P638" s="27"/>
      <c r="Q638" s="588"/>
    </row>
    <row r="639" ht="26.25" customHeight="1">
      <c r="A639" s="558" t="str">
        <f>Source!$B$6</f>
        <v/>
      </c>
      <c r="B639" s="559" t="str">
        <f>Source!$P$41</f>
        <v/>
      </c>
      <c r="C639" s="569" t="str">
        <f>Source!$B$7</f>
        <v/>
      </c>
      <c r="D639" s="570" t="s">
        <v>1202</v>
      </c>
      <c r="E639" s="641"/>
      <c r="F639" s="572" t="s">
        <v>1203</v>
      </c>
      <c r="G639" s="27"/>
      <c r="H639" s="27"/>
      <c r="I639" s="27"/>
      <c r="J639" s="27"/>
      <c r="K639" s="27"/>
      <c r="L639" s="27"/>
      <c r="M639" s="27"/>
      <c r="N639" s="27"/>
      <c r="O639" s="27"/>
      <c r="P639" s="565"/>
      <c r="Q639" s="31"/>
    </row>
    <row r="640" ht="26.25" customHeight="1">
      <c r="A640" s="558" t="str">
        <f>Source!$B$6</f>
        <v/>
      </c>
      <c r="B640" s="559" t="str">
        <f>Source!$AT$36</f>
        <v/>
      </c>
      <c r="C640" s="560" t="str">
        <f>Source!$B$7</f>
        <v/>
      </c>
      <c r="D640" s="561" t="s">
        <v>771</v>
      </c>
      <c r="E640" s="634"/>
      <c r="F640" s="585" t="s">
        <v>1204</v>
      </c>
      <c r="G640" s="27"/>
      <c r="H640" s="27"/>
      <c r="I640" s="27"/>
      <c r="J640" s="27"/>
      <c r="K640" s="27"/>
      <c r="L640" s="27"/>
      <c r="M640" s="27"/>
      <c r="N640" s="27"/>
      <c r="O640" s="27"/>
      <c r="P640" s="565"/>
      <c r="Q640" s="588"/>
    </row>
    <row r="641" ht="26.25" customHeight="1">
      <c r="A641" s="558" t="str">
        <f>Source!$B$6</f>
        <v/>
      </c>
      <c r="B641" s="559" t="str">
        <f>Source!$AB$29</f>
        <v/>
      </c>
      <c r="C641" s="569" t="str">
        <f>Source!$B$7</f>
        <v/>
      </c>
      <c r="D641" s="570" t="s">
        <v>980</v>
      </c>
      <c r="E641" s="641"/>
      <c r="F641" s="572" t="s">
        <v>1205</v>
      </c>
      <c r="G641" s="27"/>
      <c r="H641" s="27"/>
      <c r="I641" s="27"/>
      <c r="J641" s="27"/>
      <c r="K641" s="27"/>
      <c r="L641" s="27"/>
      <c r="M641" s="27"/>
      <c r="N641" s="27"/>
      <c r="O641" s="27"/>
      <c r="P641" s="27"/>
      <c r="Q641" s="31"/>
    </row>
    <row r="642" ht="7.5" customHeight="1">
      <c r="A642" s="578"/>
      <c r="B642" s="579"/>
      <c r="C642" s="579"/>
      <c r="D642" s="579"/>
      <c r="E642" s="579"/>
      <c r="F642" s="579"/>
      <c r="G642" s="579"/>
      <c r="H642" s="579"/>
      <c r="I642" s="579"/>
      <c r="J642" s="579"/>
      <c r="K642" s="579"/>
      <c r="L642" s="579"/>
      <c r="M642" s="579"/>
      <c r="N642" s="579"/>
      <c r="O642" s="579"/>
      <c r="P642" s="555"/>
      <c r="Q642" s="580"/>
    </row>
    <row r="643" ht="3.75" customHeight="1">
      <c r="A643" s="581"/>
      <c r="B643" s="582"/>
      <c r="C643" s="583"/>
      <c r="D643" s="583"/>
      <c r="E643" s="583"/>
      <c r="F643" s="583"/>
      <c r="G643" s="583"/>
      <c r="H643" s="583"/>
      <c r="I643" s="583"/>
      <c r="J643" s="583"/>
      <c r="K643" s="583"/>
      <c r="L643" s="583"/>
      <c r="M643" s="583"/>
      <c r="N643" s="583"/>
      <c r="O643" s="583"/>
      <c r="P643" s="583"/>
      <c r="Q643" s="580"/>
    </row>
    <row r="644" ht="7.5" customHeight="1">
      <c r="A644" s="578"/>
      <c r="B644" s="579"/>
      <c r="C644" s="579"/>
      <c r="D644" s="579"/>
      <c r="E644" s="579"/>
      <c r="F644" s="579"/>
      <c r="G644" s="579"/>
      <c r="H644" s="579"/>
      <c r="I644" s="579"/>
      <c r="J644" s="579"/>
      <c r="K644" s="579"/>
      <c r="L644" s="579"/>
      <c r="M644" s="579"/>
      <c r="N644" s="579"/>
      <c r="O644" s="579"/>
      <c r="P644" s="555"/>
      <c r="Q644" s="580"/>
    </row>
    <row r="645">
      <c r="A645" s="578"/>
      <c r="B645" s="584" t="s">
        <v>1206</v>
      </c>
      <c r="C645" s="168"/>
      <c r="D645" s="169"/>
      <c r="E645" s="557"/>
      <c r="F645" s="589"/>
      <c r="G645" s="589"/>
      <c r="H645" s="589"/>
      <c r="I645" s="589"/>
      <c r="J645" s="589"/>
      <c r="K645" s="589"/>
      <c r="L645" s="589"/>
      <c r="M645" s="589"/>
      <c r="N645" s="589"/>
      <c r="O645" s="589"/>
      <c r="P645" s="589"/>
      <c r="Q645" s="557"/>
    </row>
    <row r="646" ht="26.25" customHeight="1">
      <c r="A646" s="558" t="str">
        <f>Source!$B$6</f>
        <v/>
      </c>
      <c r="B646" s="559" t="str">
        <f>Source!$AB$44</f>
        <v/>
      </c>
      <c r="C646" s="560" t="str">
        <f>Source!$B$7</f>
        <v/>
      </c>
      <c r="D646" s="561" t="s">
        <v>566</v>
      </c>
      <c r="E646" s="634"/>
      <c r="F646" s="585" t="s">
        <v>1207</v>
      </c>
      <c r="G646" s="27"/>
      <c r="H646" s="27"/>
      <c r="I646" s="27"/>
      <c r="J646" s="27"/>
      <c r="K646" s="27"/>
      <c r="L646" s="27"/>
      <c r="M646" s="27"/>
      <c r="N646" s="27"/>
      <c r="O646" s="27"/>
      <c r="P646" s="27"/>
      <c r="Q646" s="588"/>
    </row>
    <row r="647" ht="26.25" customHeight="1">
      <c r="A647" s="558" t="str">
        <f>Source!$B$6</f>
        <v/>
      </c>
      <c r="B647" s="559" t="str">
        <f>Source!$D$10</f>
        <v/>
      </c>
      <c r="C647" s="569" t="str">
        <f>Source!$B$7</f>
        <v/>
      </c>
      <c r="D647" s="570" t="s">
        <v>1208</v>
      </c>
      <c r="E647" s="641"/>
      <c r="F647" s="572" t="s">
        <v>1209</v>
      </c>
      <c r="G647" s="27"/>
      <c r="H647" s="27"/>
      <c r="I647" s="27"/>
      <c r="J647" s="27"/>
      <c r="K647" s="27"/>
      <c r="L647" s="27"/>
      <c r="M647" s="27"/>
      <c r="N647" s="27"/>
      <c r="O647" s="27"/>
      <c r="P647" s="27"/>
      <c r="Q647" s="31"/>
    </row>
    <row r="648" ht="26.25" customHeight="1">
      <c r="A648" s="558" t="str">
        <f>Source!$B$6</f>
        <v/>
      </c>
      <c r="B648" s="559" t="str">
        <f>Source!$AB$18</f>
        <v/>
      </c>
      <c r="C648" s="560" t="str">
        <f>Source!$B$7</f>
        <v/>
      </c>
      <c r="D648" s="561" t="s">
        <v>977</v>
      </c>
      <c r="E648" s="634"/>
      <c r="F648" s="585" t="s">
        <v>1210</v>
      </c>
      <c r="G648" s="27"/>
      <c r="H648" s="27"/>
      <c r="I648" s="27"/>
      <c r="J648" s="27"/>
      <c r="K648" s="27"/>
      <c r="L648" s="27"/>
      <c r="M648" s="27"/>
      <c r="N648" s="565"/>
      <c r="O648" s="568"/>
      <c r="P648" s="568"/>
      <c r="Q648" s="588"/>
    </row>
    <row r="649" ht="26.25" customHeight="1">
      <c r="A649" s="558" t="str">
        <f>Source!$B$6</f>
        <v/>
      </c>
      <c r="B649" s="559" t="str">
        <f>Source!$Y$38</f>
        <v/>
      </c>
      <c r="C649" s="569" t="str">
        <f>Source!$B$7</f>
        <v/>
      </c>
      <c r="D649" s="570" t="s">
        <v>905</v>
      </c>
      <c r="E649" s="641"/>
      <c r="F649" s="628" t="s">
        <v>1211</v>
      </c>
      <c r="G649" s="27"/>
      <c r="H649" s="27"/>
      <c r="I649" s="27"/>
      <c r="J649" s="27"/>
      <c r="K649" s="27"/>
      <c r="L649" s="27"/>
      <c r="M649" s="27"/>
      <c r="N649" s="27"/>
      <c r="O649" s="27"/>
      <c r="P649" s="27"/>
      <c r="Q649" s="31"/>
    </row>
    <row r="650" ht="26.25" customHeight="1">
      <c r="A650" s="558" t="str">
        <f>Source!$B$6</f>
        <v/>
      </c>
      <c r="B650" s="559" t="str">
        <f>Source!$AN$43</f>
        <v/>
      </c>
      <c r="C650" s="560" t="str">
        <f>Source!$B$7</f>
        <v/>
      </c>
      <c r="D650" s="561" t="s">
        <v>1212</v>
      </c>
      <c r="E650" s="634"/>
      <c r="F650" s="585" t="s">
        <v>1213</v>
      </c>
      <c r="G650" s="27"/>
      <c r="H650" s="27"/>
      <c r="I650" s="27"/>
      <c r="J650" s="27"/>
      <c r="K650" s="27"/>
      <c r="L650" s="565"/>
      <c r="M650" s="568"/>
      <c r="N650" s="568"/>
      <c r="O650" s="568"/>
      <c r="P650" s="568"/>
      <c r="Q650" s="588"/>
    </row>
    <row r="651" ht="26.25" customHeight="1">
      <c r="A651" s="558" t="str">
        <f>Source!$B$6</f>
        <v/>
      </c>
      <c r="B651" s="559" t="str">
        <f>Source!$D$12</f>
        <v/>
      </c>
      <c r="C651" s="569" t="str">
        <f>Source!$B$7</f>
        <v/>
      </c>
      <c r="D651" s="644" t="s">
        <v>1214</v>
      </c>
      <c r="E651" s="641"/>
      <c r="F651" s="572" t="s">
        <v>1215</v>
      </c>
      <c r="G651" s="27"/>
      <c r="H651" s="27"/>
      <c r="I651" s="27"/>
      <c r="J651" s="27"/>
      <c r="K651" s="27"/>
      <c r="L651" s="27"/>
      <c r="M651" s="27"/>
      <c r="N651" s="27"/>
      <c r="O651" s="27"/>
      <c r="P651" s="27"/>
      <c r="Q651" s="31"/>
    </row>
    <row r="652" ht="26.25" customHeight="1">
      <c r="A652" s="558" t="str">
        <f>Source!$B$6</f>
        <v/>
      </c>
      <c r="B652" s="559" t="str">
        <f>Source!$AB$17</f>
        <v/>
      </c>
      <c r="C652" s="560" t="str">
        <f>Source!$B$7</f>
        <v/>
      </c>
      <c r="D652" s="561" t="s">
        <v>914</v>
      </c>
      <c r="E652" s="634"/>
      <c r="F652" s="585" t="s">
        <v>1216</v>
      </c>
      <c r="G652" s="27"/>
      <c r="H652" s="27"/>
      <c r="I652" s="27"/>
      <c r="J652" s="27"/>
      <c r="K652" s="27"/>
      <c r="L652" s="27"/>
      <c r="M652" s="27"/>
      <c r="N652" s="27"/>
      <c r="O652" s="565"/>
      <c r="P652" s="568"/>
      <c r="Q652" s="588"/>
    </row>
    <row r="653" ht="26.25" customHeight="1">
      <c r="A653" s="558" t="str">
        <f>Source!$B$6</f>
        <v/>
      </c>
      <c r="B653" s="559" t="str">
        <f>Source!$P$34</f>
        <v/>
      </c>
      <c r="C653" s="569" t="str">
        <f>Source!$B$7</f>
        <v/>
      </c>
      <c r="D653" s="600" t="s">
        <v>1217</v>
      </c>
      <c r="E653" s="641"/>
      <c r="F653" s="572" t="s">
        <v>1218</v>
      </c>
      <c r="G653" s="27"/>
      <c r="H653" s="27"/>
      <c r="I653" s="27"/>
      <c r="J653" s="27"/>
      <c r="K653" s="27"/>
      <c r="L653" s="27"/>
      <c r="M653" s="565"/>
      <c r="N653" s="568"/>
      <c r="O653" s="568"/>
      <c r="P653" s="568"/>
      <c r="Q653" s="31"/>
    </row>
    <row r="654" ht="26.25" customHeight="1">
      <c r="A654" s="558" t="str">
        <f>Source!$B$6</f>
        <v/>
      </c>
      <c r="B654" s="559" t="str">
        <f>Source!$AB$33</f>
        <v/>
      </c>
      <c r="C654" s="560" t="str">
        <f>Source!$B$7</f>
        <v/>
      </c>
      <c r="D654" s="561" t="s">
        <v>916</v>
      </c>
      <c r="E654" s="634"/>
      <c r="F654" s="585" t="s">
        <v>1219</v>
      </c>
      <c r="G654" s="27"/>
      <c r="H654" s="27"/>
      <c r="I654" s="27"/>
      <c r="J654" s="27"/>
      <c r="K654" s="27"/>
      <c r="L654" s="27"/>
      <c r="M654" s="27"/>
      <c r="N654" s="565"/>
      <c r="O654" s="568"/>
      <c r="P654" s="568"/>
      <c r="Q654" s="588"/>
    </row>
    <row r="655" ht="26.25" customHeight="1">
      <c r="A655" s="558" t="str">
        <f>Source!$B$6</f>
        <v/>
      </c>
      <c r="B655" s="559" t="str">
        <f>Source!$D$8</f>
        <v/>
      </c>
      <c r="C655" s="569" t="str">
        <f>Source!$B$7</f>
        <v/>
      </c>
      <c r="D655" s="600" t="s">
        <v>1220</v>
      </c>
      <c r="E655" s="641"/>
      <c r="F655" s="572" t="s">
        <v>1221</v>
      </c>
      <c r="G655" s="27"/>
      <c r="H655" s="27"/>
      <c r="I655" s="27"/>
      <c r="J655" s="27"/>
      <c r="K655" s="27"/>
      <c r="L655" s="27"/>
      <c r="M655" s="27"/>
      <c r="N655" s="27"/>
      <c r="O655" s="27"/>
      <c r="P655" s="565"/>
      <c r="Q655" s="31"/>
    </row>
    <row r="656" ht="7.5" customHeight="1">
      <c r="A656" s="578"/>
      <c r="B656" s="579"/>
      <c r="C656" s="579"/>
      <c r="D656" s="579"/>
      <c r="E656" s="579"/>
      <c r="F656" s="579"/>
      <c r="G656" s="579"/>
      <c r="H656" s="579"/>
      <c r="I656" s="579"/>
      <c r="J656" s="579"/>
      <c r="K656" s="579"/>
      <c r="L656" s="579"/>
      <c r="M656" s="579"/>
      <c r="N656" s="579"/>
      <c r="O656" s="579"/>
      <c r="P656" s="555"/>
      <c r="Q656" s="580"/>
    </row>
    <row r="657" ht="3.75" customHeight="1">
      <c r="A657" s="581"/>
      <c r="B657" s="582"/>
      <c r="C657" s="583"/>
      <c r="D657" s="583"/>
      <c r="E657" s="583"/>
      <c r="F657" s="583"/>
      <c r="G657" s="583"/>
      <c r="H657" s="583"/>
      <c r="I657" s="583"/>
      <c r="J657" s="583"/>
      <c r="K657" s="583"/>
      <c r="L657" s="583"/>
      <c r="M657" s="583"/>
      <c r="N657" s="583"/>
      <c r="O657" s="583"/>
      <c r="P657" s="583"/>
      <c r="Q657" s="580"/>
    </row>
    <row r="658" ht="7.5" customHeight="1">
      <c r="A658" s="578"/>
      <c r="B658" s="579"/>
      <c r="C658" s="579"/>
      <c r="D658" s="579"/>
      <c r="E658" s="579"/>
      <c r="F658" s="579"/>
      <c r="G658" s="579"/>
      <c r="H658" s="579"/>
      <c r="I658" s="579"/>
      <c r="J658" s="579"/>
      <c r="K658" s="579"/>
      <c r="L658" s="579"/>
      <c r="M658" s="579"/>
      <c r="N658" s="579"/>
      <c r="O658" s="579"/>
      <c r="P658" s="555"/>
      <c r="Q658" s="580"/>
    </row>
    <row r="659">
      <c r="A659" s="578"/>
      <c r="B659" s="604" t="s">
        <v>1222</v>
      </c>
      <c r="C659" s="168"/>
      <c r="D659" s="169"/>
      <c r="E659" s="557"/>
      <c r="F659" s="589"/>
      <c r="G659" s="589"/>
      <c r="H659" s="589"/>
      <c r="I659" s="589"/>
      <c r="J659" s="589"/>
      <c r="K659" s="589"/>
      <c r="L659" s="589"/>
      <c r="M659" s="589"/>
      <c r="N659" s="589"/>
      <c r="O659" s="589"/>
      <c r="P659" s="589"/>
      <c r="Q659" s="557"/>
    </row>
    <row r="660" ht="26.25" customHeight="1">
      <c r="A660" s="558" t="str">
        <f>Source!$B$6</f>
        <v/>
      </c>
      <c r="B660" s="559" t="str">
        <f>Source!$D$5</f>
        <v/>
      </c>
      <c r="C660" s="560" t="str">
        <f>Source!$B$7</f>
        <v/>
      </c>
      <c r="D660" s="561" t="s">
        <v>1223</v>
      </c>
      <c r="E660" s="562"/>
      <c r="F660" s="585" t="s">
        <v>1224</v>
      </c>
      <c r="G660" s="27"/>
      <c r="H660" s="27"/>
      <c r="I660" s="27"/>
      <c r="J660" s="27"/>
      <c r="K660" s="27"/>
      <c r="L660" s="27"/>
      <c r="M660" s="27"/>
      <c r="N660" s="27"/>
      <c r="O660" s="27"/>
      <c r="P660" s="565"/>
      <c r="Q660" s="588"/>
    </row>
    <row r="661" ht="7.5" customHeight="1">
      <c r="A661" s="578"/>
      <c r="B661" s="579"/>
      <c r="C661" s="579"/>
      <c r="D661" s="579"/>
      <c r="E661" s="579"/>
      <c r="F661" s="579"/>
      <c r="G661" s="579"/>
      <c r="H661" s="579"/>
      <c r="I661" s="579"/>
      <c r="J661" s="579"/>
      <c r="K661" s="579"/>
      <c r="L661" s="579"/>
      <c r="M661" s="579"/>
      <c r="N661" s="579"/>
      <c r="O661" s="579"/>
      <c r="P661" s="555"/>
      <c r="Q661" s="580"/>
    </row>
    <row r="662" ht="3.75" customHeight="1">
      <c r="A662" s="581"/>
      <c r="B662" s="582"/>
      <c r="C662" s="583"/>
      <c r="D662" s="583"/>
      <c r="E662" s="583"/>
      <c r="F662" s="583"/>
      <c r="G662" s="583"/>
      <c r="H662" s="583"/>
      <c r="I662" s="583"/>
      <c r="J662" s="583"/>
      <c r="K662" s="583"/>
      <c r="L662" s="583"/>
      <c r="M662" s="583"/>
      <c r="N662" s="583"/>
      <c r="O662" s="583"/>
      <c r="P662" s="583"/>
      <c r="Q662" s="580"/>
    </row>
    <row r="663" ht="7.5" customHeight="1">
      <c r="A663" s="578"/>
      <c r="B663" s="579"/>
      <c r="C663" s="579"/>
      <c r="D663" s="579"/>
      <c r="E663" s="579"/>
      <c r="F663" s="579"/>
      <c r="G663" s="579"/>
      <c r="H663" s="579"/>
      <c r="I663" s="579"/>
      <c r="J663" s="579"/>
      <c r="K663" s="579"/>
      <c r="L663" s="579"/>
      <c r="M663" s="579"/>
      <c r="N663" s="579"/>
      <c r="O663" s="579"/>
      <c r="P663" s="555"/>
      <c r="Q663" s="580"/>
    </row>
    <row r="664">
      <c r="A664" s="578"/>
      <c r="B664" s="584" t="s">
        <v>1225</v>
      </c>
      <c r="C664" s="168"/>
      <c r="D664" s="168"/>
      <c r="E664" s="168"/>
      <c r="F664" s="169"/>
      <c r="G664" s="589"/>
      <c r="H664" s="589"/>
      <c r="I664" s="589"/>
      <c r="J664" s="589"/>
      <c r="K664" s="589"/>
      <c r="L664" s="589"/>
      <c r="M664" s="589"/>
      <c r="N664" s="589"/>
      <c r="O664" s="589"/>
      <c r="P664" s="589"/>
      <c r="Q664" s="557"/>
    </row>
    <row r="665" ht="26.25" customHeight="1">
      <c r="A665" s="558" t="str">
        <f>Source!$B$6</f>
        <v/>
      </c>
      <c r="B665" s="559" t="str">
        <f>Source!$M$17</f>
        <v/>
      </c>
      <c r="C665" s="560" t="str">
        <f>Source!$B$7</f>
        <v/>
      </c>
      <c r="D665" s="561" t="s">
        <v>1226</v>
      </c>
      <c r="E665" s="634"/>
      <c r="F665" s="585" t="s">
        <v>1227</v>
      </c>
      <c r="G665" s="27"/>
      <c r="H665" s="27"/>
      <c r="I665" s="27"/>
      <c r="J665" s="565"/>
      <c r="K665" s="568"/>
      <c r="L665" s="568"/>
      <c r="M665" s="568"/>
      <c r="N665" s="568"/>
      <c r="O665" s="568"/>
      <c r="P665" s="568"/>
      <c r="Q665" s="588"/>
    </row>
    <row r="666" ht="26.25" customHeight="1">
      <c r="A666" s="558" t="str">
        <f>Source!$B$6</f>
        <v/>
      </c>
      <c r="B666" s="559" t="str">
        <f>Source!$P$35</f>
        <v/>
      </c>
      <c r="C666" s="569" t="str">
        <f>Source!$B$7</f>
        <v/>
      </c>
      <c r="D666" s="570" t="s">
        <v>1228</v>
      </c>
      <c r="E666" s="641"/>
      <c r="F666" s="572" t="s">
        <v>1229</v>
      </c>
      <c r="G666" s="27"/>
      <c r="H666" s="27"/>
      <c r="I666" s="27"/>
      <c r="J666" s="27"/>
      <c r="K666" s="27"/>
      <c r="L666" s="27"/>
      <c r="M666" s="27"/>
      <c r="N666" s="27"/>
      <c r="O666" s="27"/>
      <c r="P666" s="27"/>
      <c r="Q666" s="31"/>
    </row>
    <row r="667" ht="7.5" customHeight="1">
      <c r="A667" s="578"/>
      <c r="B667" s="579"/>
      <c r="C667" s="579"/>
      <c r="D667" s="579"/>
      <c r="E667" s="579"/>
      <c r="F667" s="579"/>
      <c r="G667" s="579"/>
      <c r="H667" s="579"/>
      <c r="I667" s="579"/>
      <c r="J667" s="579"/>
      <c r="K667" s="579"/>
      <c r="L667" s="579"/>
      <c r="M667" s="579"/>
      <c r="N667" s="579"/>
      <c r="O667" s="579"/>
      <c r="P667" s="555"/>
      <c r="Q667" s="580"/>
    </row>
    <row r="668" ht="3.75" customHeight="1">
      <c r="A668" s="581"/>
      <c r="B668" s="582"/>
      <c r="C668" s="583"/>
      <c r="D668" s="583"/>
      <c r="E668" s="583"/>
      <c r="F668" s="583"/>
      <c r="G668" s="583"/>
      <c r="H668" s="583"/>
      <c r="I668" s="583"/>
      <c r="J668" s="583"/>
      <c r="K668" s="583"/>
      <c r="L668" s="583"/>
      <c r="M668" s="583"/>
      <c r="N668" s="583"/>
      <c r="O668" s="583"/>
      <c r="P668" s="583"/>
      <c r="Q668" s="580"/>
    </row>
    <row r="669" ht="7.5" customHeight="1">
      <c r="A669" s="578"/>
      <c r="B669" s="579"/>
      <c r="C669" s="579"/>
      <c r="D669" s="579"/>
      <c r="E669" s="579"/>
      <c r="F669" s="579"/>
      <c r="G669" s="579"/>
      <c r="H669" s="579"/>
      <c r="I669" s="579"/>
      <c r="J669" s="579"/>
      <c r="K669" s="579"/>
      <c r="L669" s="579"/>
      <c r="M669" s="579"/>
      <c r="N669" s="579"/>
      <c r="O669" s="579"/>
      <c r="P669" s="555"/>
      <c r="Q669" s="580"/>
    </row>
    <row r="670">
      <c r="A670" s="578"/>
      <c r="B670" s="584" t="s">
        <v>1230</v>
      </c>
      <c r="C670" s="168"/>
      <c r="D670" s="168"/>
      <c r="E670" s="168"/>
      <c r="F670" s="169"/>
      <c r="G670" s="589"/>
      <c r="H670" s="589"/>
      <c r="I670" s="589"/>
      <c r="J670" s="589"/>
      <c r="K670" s="589"/>
      <c r="L670" s="589"/>
      <c r="M670" s="589"/>
      <c r="N670" s="589"/>
      <c r="O670" s="589"/>
      <c r="P670" s="589"/>
      <c r="Q670" s="557"/>
    </row>
    <row r="671" ht="26.25" customHeight="1">
      <c r="A671" s="558" t="str">
        <f>Source!$B$6</f>
        <v/>
      </c>
      <c r="B671" s="559" t="str">
        <f>Source!$S$3</f>
        <v/>
      </c>
      <c r="C671" s="560" t="str">
        <f>Source!$B$7</f>
        <v/>
      </c>
      <c r="D671" s="561" t="s">
        <v>1231</v>
      </c>
      <c r="E671" s="634"/>
      <c r="F671" s="585" t="s">
        <v>1232</v>
      </c>
      <c r="G671" s="27"/>
      <c r="H671" s="27"/>
      <c r="I671" s="27"/>
      <c r="J671" s="27"/>
      <c r="K671" s="27"/>
      <c r="L671" s="27"/>
      <c r="M671" s="27"/>
      <c r="N671" s="27"/>
      <c r="O671" s="27"/>
      <c r="P671" s="27"/>
      <c r="Q671" s="588"/>
    </row>
    <row r="672" ht="26.25" customHeight="1">
      <c r="A672" s="558" t="str">
        <f>Source!$B$6</f>
        <v/>
      </c>
      <c r="B672" s="559" t="str">
        <f>Source!$M$2</f>
        <v/>
      </c>
      <c r="C672" s="569" t="str">
        <f>Source!$B$7</f>
        <v/>
      </c>
      <c r="D672" s="570" t="s">
        <v>1233</v>
      </c>
      <c r="E672" s="641"/>
      <c r="F672" s="572" t="s">
        <v>1234</v>
      </c>
      <c r="G672" s="27"/>
      <c r="H672" s="27"/>
      <c r="I672" s="27"/>
      <c r="J672" s="27"/>
      <c r="K672" s="27"/>
      <c r="L672" s="565"/>
      <c r="M672" s="568"/>
      <c r="N672" s="568"/>
      <c r="O672" s="568"/>
      <c r="P672" s="568"/>
      <c r="Q672" s="31"/>
    </row>
    <row r="673" ht="26.25" customHeight="1">
      <c r="A673" s="558" t="str">
        <f>Source!$B$6</f>
        <v/>
      </c>
      <c r="B673" s="559" t="str">
        <f>Source!$AH$4</f>
        <v/>
      </c>
      <c r="C673" s="560" t="str">
        <f>Source!$B$7</f>
        <v/>
      </c>
      <c r="D673" s="561" t="s">
        <v>620</v>
      </c>
      <c r="E673" s="634"/>
      <c r="F673" s="585" t="s">
        <v>1235</v>
      </c>
      <c r="G673" s="27"/>
      <c r="H673" s="27"/>
      <c r="I673" s="27"/>
      <c r="J673" s="27"/>
      <c r="K673" s="27"/>
      <c r="L673" s="27"/>
      <c r="M673" s="565"/>
      <c r="N673" s="568"/>
      <c r="O673" s="568"/>
      <c r="P673" s="568"/>
      <c r="Q673" s="588"/>
    </row>
    <row r="674" ht="26.25" customHeight="1">
      <c r="A674" s="558" t="str">
        <f>Source!$B$6</f>
        <v/>
      </c>
      <c r="B674" s="559" t="str">
        <f>Source!$AB$30</f>
        <v/>
      </c>
      <c r="C674" s="569" t="str">
        <f>Source!$B$7</f>
        <v/>
      </c>
      <c r="D674" s="570" t="s">
        <v>661</v>
      </c>
      <c r="E674" s="641"/>
      <c r="F674" s="572" t="s">
        <v>1236</v>
      </c>
      <c r="G674" s="27"/>
      <c r="H674" s="27"/>
      <c r="I674" s="27"/>
      <c r="J674" s="27"/>
      <c r="K674" s="27"/>
      <c r="L674" s="27"/>
      <c r="M674" s="27"/>
      <c r="N674" s="565"/>
      <c r="O674" s="568"/>
      <c r="P674" s="568"/>
      <c r="Q674" s="31"/>
    </row>
    <row r="675" ht="7.5" customHeight="1">
      <c r="A675" s="578"/>
      <c r="B675" s="579"/>
      <c r="C675" s="579"/>
      <c r="D675" s="579"/>
      <c r="E675" s="579"/>
      <c r="F675" s="579"/>
      <c r="G675" s="579"/>
      <c r="H675" s="579"/>
      <c r="I675" s="579"/>
      <c r="J675" s="579"/>
      <c r="K675" s="579"/>
      <c r="L675" s="579"/>
      <c r="M675" s="579"/>
      <c r="N675" s="579"/>
      <c r="O675" s="579"/>
      <c r="P675" s="555"/>
      <c r="Q675" s="580"/>
    </row>
    <row r="676" ht="3.75" customHeight="1">
      <c r="A676" s="581"/>
      <c r="B676" s="582"/>
      <c r="C676" s="583"/>
      <c r="D676" s="583"/>
      <c r="E676" s="583"/>
      <c r="F676" s="583"/>
      <c r="G676" s="583"/>
      <c r="H676" s="583"/>
      <c r="I676" s="583"/>
      <c r="J676" s="583"/>
      <c r="K676" s="583"/>
      <c r="L676" s="583"/>
      <c r="M676" s="583"/>
      <c r="N676" s="583"/>
      <c r="O676" s="583"/>
      <c r="P676" s="583"/>
      <c r="Q676" s="580"/>
    </row>
    <row r="677" ht="7.5" customHeight="1">
      <c r="A677" s="578"/>
      <c r="B677" s="579"/>
      <c r="C677" s="579"/>
      <c r="D677" s="579"/>
      <c r="E677" s="579"/>
      <c r="F677" s="579"/>
      <c r="G677" s="579"/>
      <c r="H677" s="579"/>
      <c r="I677" s="579"/>
      <c r="J677" s="579"/>
      <c r="K677" s="579"/>
      <c r="L677" s="579"/>
      <c r="M677" s="579"/>
      <c r="N677" s="579"/>
      <c r="O677" s="579"/>
      <c r="P677" s="555"/>
      <c r="Q677" s="580"/>
    </row>
    <row r="678">
      <c r="A678" s="578"/>
      <c r="B678" s="584" t="s">
        <v>1237</v>
      </c>
      <c r="C678" s="168"/>
      <c r="D678" s="168"/>
      <c r="E678" s="168"/>
      <c r="F678" s="169"/>
      <c r="G678" s="589"/>
      <c r="H678" s="589"/>
      <c r="I678" s="589"/>
      <c r="J678" s="589"/>
      <c r="K678" s="589"/>
      <c r="L678" s="589"/>
      <c r="M678" s="589"/>
      <c r="N678" s="589"/>
      <c r="O678" s="589"/>
      <c r="P678" s="589"/>
      <c r="Q678" s="557"/>
    </row>
    <row r="679" ht="26.25" customHeight="1">
      <c r="A679" s="558" t="str">
        <f>Source!$B$6</f>
        <v/>
      </c>
      <c r="B679" s="559" t="str">
        <f>Source!$D$19</f>
        <v/>
      </c>
      <c r="C679" s="560" t="str">
        <f>Source!$B$7</f>
        <v/>
      </c>
      <c r="D679" s="561" t="s">
        <v>1238</v>
      </c>
      <c r="E679" s="634"/>
      <c r="F679" s="585" t="s">
        <v>1239</v>
      </c>
      <c r="G679" s="27"/>
      <c r="H679" s="27"/>
      <c r="I679" s="27"/>
      <c r="J679" s="27"/>
      <c r="K679" s="635"/>
      <c r="L679" s="565"/>
      <c r="M679" s="568"/>
      <c r="N679" s="568"/>
      <c r="O679" s="568"/>
      <c r="P679" s="568"/>
      <c r="Q679" s="588"/>
    </row>
    <row r="680" ht="7.5" customHeight="1">
      <c r="A680" s="578"/>
      <c r="B680" s="579"/>
      <c r="C680" s="579"/>
      <c r="D680" s="579"/>
      <c r="E680" s="579"/>
      <c r="F680" s="579"/>
      <c r="G680" s="579"/>
      <c r="H680" s="579"/>
      <c r="I680" s="579"/>
      <c r="J680" s="579"/>
      <c r="K680" s="579"/>
      <c r="L680" s="579"/>
      <c r="M680" s="579"/>
      <c r="N680" s="579"/>
      <c r="O680" s="579"/>
      <c r="P680" s="555"/>
      <c r="Q680" s="580"/>
    </row>
    <row r="681" ht="3.75" customHeight="1">
      <c r="A681" s="581"/>
      <c r="B681" s="582"/>
      <c r="C681" s="583"/>
      <c r="D681" s="583"/>
      <c r="E681" s="583"/>
      <c r="F681" s="583"/>
      <c r="G681" s="583"/>
      <c r="H681" s="583"/>
      <c r="I681" s="583"/>
      <c r="J681" s="583"/>
      <c r="K681" s="583"/>
      <c r="L681" s="583"/>
      <c r="M681" s="583"/>
      <c r="N681" s="583"/>
      <c r="O681" s="583"/>
      <c r="P681" s="583"/>
      <c r="Q681" s="580"/>
    </row>
    <row r="682" ht="7.5" customHeight="1">
      <c r="A682" s="578"/>
      <c r="B682" s="579"/>
      <c r="C682" s="579"/>
      <c r="D682" s="579"/>
      <c r="E682" s="579"/>
      <c r="F682" s="579"/>
      <c r="G682" s="579"/>
      <c r="H682" s="579"/>
      <c r="I682" s="579"/>
      <c r="J682" s="579"/>
      <c r="K682" s="579"/>
      <c r="L682" s="579"/>
      <c r="M682" s="579"/>
      <c r="N682" s="579"/>
      <c r="O682" s="579"/>
      <c r="P682" s="555"/>
      <c r="Q682" s="580"/>
    </row>
    <row r="683">
      <c r="A683" s="578"/>
      <c r="B683" s="584" t="s">
        <v>1240</v>
      </c>
      <c r="C683" s="168"/>
      <c r="D683" s="168"/>
      <c r="E683" s="168"/>
      <c r="F683" s="169"/>
      <c r="G683" s="589"/>
      <c r="H683" s="589"/>
      <c r="I683" s="589"/>
      <c r="J683" s="589"/>
      <c r="K683" s="589"/>
      <c r="L683" s="589"/>
      <c r="M683" s="589"/>
      <c r="N683" s="589"/>
      <c r="O683" s="589"/>
      <c r="P683" s="589"/>
      <c r="Q683" s="557"/>
    </row>
    <row r="684" ht="26.25" customHeight="1">
      <c r="A684" s="558" t="str">
        <f>Source!$B$6</f>
        <v/>
      </c>
      <c r="B684" s="559" t="str">
        <f>Source!$D$6</f>
        <v/>
      </c>
      <c r="C684" s="560" t="str">
        <f>Source!$B$7</f>
        <v/>
      </c>
      <c r="D684" s="561" t="s">
        <v>1241</v>
      </c>
      <c r="E684" s="634"/>
      <c r="F684" s="585" t="s">
        <v>1242</v>
      </c>
      <c r="G684" s="27"/>
      <c r="H684" s="27"/>
      <c r="I684" s="27"/>
      <c r="J684" s="565"/>
      <c r="K684" s="568"/>
      <c r="L684" s="568"/>
      <c r="M684" s="568"/>
      <c r="N684" s="568"/>
      <c r="O684" s="568"/>
      <c r="P684" s="568"/>
      <c r="Q684" s="588"/>
    </row>
    <row r="685" ht="26.25" customHeight="1">
      <c r="A685" s="558" t="str">
        <f>Source!$B$6</f>
        <v/>
      </c>
      <c r="B685" s="559" t="str">
        <f>Source!$S$9</f>
        <v/>
      </c>
      <c r="C685" s="569" t="str">
        <f>Source!$B$7</f>
        <v/>
      </c>
      <c r="D685" s="570" t="s">
        <v>1243</v>
      </c>
      <c r="E685" s="641"/>
      <c r="F685" s="572" t="s">
        <v>1244</v>
      </c>
      <c r="G685" s="27"/>
      <c r="H685" s="27"/>
      <c r="I685" s="27"/>
      <c r="J685" s="27"/>
      <c r="K685" s="27"/>
      <c r="L685" s="565"/>
      <c r="M685" s="568"/>
      <c r="N685" s="568"/>
      <c r="O685" s="568"/>
      <c r="P685" s="568"/>
      <c r="Q685" s="31"/>
    </row>
    <row r="686" ht="26.25" customHeight="1">
      <c r="A686" s="558" t="str">
        <f>Source!$B$6</f>
        <v/>
      </c>
      <c r="B686" s="559" t="str">
        <f>Source!$AK$13</f>
        <v/>
      </c>
      <c r="C686" s="560" t="str">
        <f>Source!$B$7</f>
        <v/>
      </c>
      <c r="D686" s="561" t="s">
        <v>675</v>
      </c>
      <c r="E686" s="634"/>
      <c r="F686" s="585" t="s">
        <v>1245</v>
      </c>
      <c r="G686" s="27"/>
      <c r="H686" s="27"/>
      <c r="I686" s="27"/>
      <c r="J686" s="27"/>
      <c r="K686" s="27"/>
      <c r="L686" s="27"/>
      <c r="M686" s="565"/>
      <c r="N686" s="568"/>
      <c r="O686" s="568"/>
      <c r="P686" s="568"/>
      <c r="Q686" s="588"/>
    </row>
    <row r="687" ht="26.25" customHeight="1">
      <c r="A687" s="558" t="str">
        <f>Source!$B$6</f>
        <v/>
      </c>
      <c r="B687" s="559" t="str">
        <f>Source!$Y$6</f>
        <v/>
      </c>
      <c r="C687" s="569" t="str">
        <f>Source!$B$7</f>
        <v/>
      </c>
      <c r="D687" s="570" t="s">
        <v>1246</v>
      </c>
      <c r="E687" s="641"/>
      <c r="F687" s="572" t="s">
        <v>1247</v>
      </c>
      <c r="G687" s="27"/>
      <c r="H687" s="27"/>
      <c r="I687" s="27"/>
      <c r="J687" s="565"/>
      <c r="K687" s="568"/>
      <c r="L687" s="568"/>
      <c r="M687" s="568"/>
      <c r="N687" s="568"/>
      <c r="O687" s="568"/>
      <c r="P687" s="568"/>
      <c r="Q687" s="31"/>
    </row>
    <row r="688" ht="26.25" customHeight="1">
      <c r="A688" s="558" t="str">
        <f>Source!$B$6</f>
        <v/>
      </c>
      <c r="B688" s="559" t="str">
        <f>Source!$D$4</f>
        <v/>
      </c>
      <c r="C688" s="560" t="str">
        <f>Source!$B$7</f>
        <v/>
      </c>
      <c r="D688" s="561" t="s">
        <v>1248</v>
      </c>
      <c r="E688" s="634"/>
      <c r="F688" s="585" t="s">
        <v>1249</v>
      </c>
      <c r="G688" s="27"/>
      <c r="H688" s="27"/>
      <c r="I688" s="27"/>
      <c r="J688" s="27"/>
      <c r="K688" s="27"/>
      <c r="L688" s="27"/>
      <c r="M688" s="27"/>
      <c r="N688" s="565"/>
      <c r="O688" s="568"/>
      <c r="P688" s="568"/>
      <c r="Q688" s="588"/>
    </row>
    <row r="689" ht="7.5" customHeight="1">
      <c r="A689" s="578"/>
      <c r="B689" s="579"/>
      <c r="C689" s="579"/>
      <c r="D689" s="579"/>
      <c r="E689" s="579"/>
      <c r="F689" s="579"/>
      <c r="G689" s="579"/>
      <c r="H689" s="579"/>
      <c r="I689" s="579"/>
      <c r="J689" s="579"/>
      <c r="K689" s="579"/>
      <c r="L689" s="579"/>
      <c r="M689" s="579"/>
      <c r="N689" s="579"/>
      <c r="O689" s="579"/>
      <c r="P689" s="555"/>
      <c r="Q689" s="580"/>
    </row>
    <row r="690" ht="3.75" customHeight="1">
      <c r="A690" s="581"/>
      <c r="B690" s="582"/>
      <c r="C690" s="583"/>
      <c r="D690" s="583"/>
      <c r="E690" s="583"/>
      <c r="F690" s="583"/>
      <c r="G690" s="583"/>
      <c r="H690" s="583"/>
      <c r="I690" s="583"/>
      <c r="J690" s="583"/>
      <c r="K690" s="583"/>
      <c r="L690" s="583"/>
      <c r="M690" s="583"/>
      <c r="N690" s="583"/>
      <c r="O690" s="583"/>
      <c r="P690" s="583"/>
      <c r="Q690" s="580"/>
    </row>
    <row r="691" ht="7.5" customHeight="1">
      <c r="A691" s="578"/>
      <c r="B691" s="579"/>
      <c r="C691" s="579"/>
      <c r="D691" s="579"/>
      <c r="E691" s="579"/>
      <c r="F691" s="579"/>
      <c r="G691" s="579"/>
      <c r="H691" s="579"/>
      <c r="I691" s="579"/>
      <c r="J691" s="579"/>
      <c r="K691" s="579"/>
      <c r="L691" s="579"/>
      <c r="M691" s="579"/>
      <c r="N691" s="579"/>
      <c r="O691" s="579"/>
      <c r="P691" s="555"/>
      <c r="Q691" s="580"/>
    </row>
    <row r="692">
      <c r="A692" s="578"/>
      <c r="B692" s="584" t="s">
        <v>1250</v>
      </c>
      <c r="C692" s="168"/>
      <c r="D692" s="168"/>
      <c r="E692" s="168"/>
      <c r="F692" s="169"/>
      <c r="G692" s="589"/>
      <c r="H692" s="589"/>
      <c r="I692" s="589"/>
      <c r="J692" s="589"/>
      <c r="K692" s="589"/>
      <c r="L692" s="589"/>
      <c r="M692" s="589"/>
      <c r="N692" s="589"/>
      <c r="O692" s="589"/>
      <c r="P692" s="589"/>
      <c r="Q692" s="557"/>
    </row>
    <row r="693" ht="26.25" customHeight="1">
      <c r="A693" s="558" t="str">
        <f>Source!$B$6</f>
        <v/>
      </c>
      <c r="B693" s="559" t="str">
        <f>Source!$D$18</f>
        <v/>
      </c>
      <c r="C693" s="560" t="str">
        <f>Source!$B$7</f>
        <v/>
      </c>
      <c r="D693" s="561" t="s">
        <v>1251</v>
      </c>
      <c r="E693" s="634"/>
      <c r="F693" s="585" t="s">
        <v>1252</v>
      </c>
      <c r="G693" s="27"/>
      <c r="H693" s="27"/>
      <c r="I693" s="27"/>
      <c r="J693" s="27"/>
      <c r="K693" s="27"/>
      <c r="L693" s="27"/>
      <c r="M693" s="27"/>
      <c r="N693" s="565"/>
      <c r="O693" s="568"/>
      <c r="P693" s="568"/>
      <c r="Q693" s="588"/>
    </row>
    <row r="694" ht="26.25" customHeight="1">
      <c r="A694" s="558" t="str">
        <f>Source!$B$6</f>
        <v/>
      </c>
      <c r="B694" s="559" t="str">
        <f>Source!$S$24</f>
        <v/>
      </c>
      <c r="C694" s="569" t="str">
        <f>Source!$B$7</f>
        <v/>
      </c>
      <c r="D694" s="570" t="s">
        <v>1253</v>
      </c>
      <c r="E694" s="641"/>
      <c r="F694" s="572" t="s">
        <v>1254</v>
      </c>
      <c r="G694" s="27"/>
      <c r="H694" s="27"/>
      <c r="I694" s="27"/>
      <c r="J694" s="27"/>
      <c r="K694" s="27"/>
      <c r="L694" s="27"/>
      <c r="M694" s="27"/>
      <c r="N694" s="27"/>
      <c r="O694" s="565"/>
      <c r="P694" s="568"/>
      <c r="Q694" s="31"/>
    </row>
    <row r="695" ht="7.5" customHeight="1">
      <c r="A695" s="578"/>
      <c r="B695" s="579"/>
      <c r="C695" s="579"/>
      <c r="D695" s="579"/>
      <c r="E695" s="579"/>
      <c r="F695" s="579"/>
      <c r="G695" s="579"/>
      <c r="H695" s="579"/>
      <c r="I695" s="579"/>
      <c r="J695" s="579"/>
      <c r="K695" s="579"/>
      <c r="L695" s="579"/>
      <c r="M695" s="579"/>
      <c r="N695" s="579"/>
      <c r="O695" s="579"/>
      <c r="P695" s="555"/>
      <c r="Q695" s="580"/>
    </row>
    <row r="696" ht="3.75" customHeight="1">
      <c r="A696" s="581"/>
      <c r="B696" s="582"/>
      <c r="C696" s="583"/>
      <c r="D696" s="583"/>
      <c r="E696" s="583"/>
      <c r="F696" s="583"/>
      <c r="G696" s="583"/>
      <c r="H696" s="583"/>
      <c r="I696" s="583"/>
      <c r="J696" s="583"/>
      <c r="K696" s="583"/>
      <c r="L696" s="583"/>
      <c r="M696" s="583"/>
      <c r="N696" s="583"/>
      <c r="O696" s="583"/>
      <c r="P696" s="583"/>
      <c r="Q696" s="580"/>
    </row>
    <row r="697" ht="7.5" customHeight="1">
      <c r="A697" s="578"/>
      <c r="B697" s="579"/>
      <c r="C697" s="579"/>
      <c r="D697" s="579"/>
      <c r="E697" s="579"/>
      <c r="F697" s="579"/>
      <c r="G697" s="579"/>
      <c r="H697" s="579"/>
      <c r="I697" s="579"/>
      <c r="J697" s="579"/>
      <c r="K697" s="579"/>
      <c r="L697" s="579"/>
      <c r="M697" s="579"/>
      <c r="N697" s="579"/>
      <c r="O697" s="579"/>
      <c r="P697" s="555"/>
      <c r="Q697" s="580"/>
    </row>
    <row r="698">
      <c r="A698" s="578"/>
      <c r="B698" s="584" t="s">
        <v>1255</v>
      </c>
      <c r="C698" s="168"/>
      <c r="D698" s="168"/>
      <c r="E698" s="168"/>
      <c r="F698" s="169"/>
      <c r="G698" s="589"/>
      <c r="H698" s="589"/>
      <c r="I698" s="589"/>
      <c r="J698" s="589"/>
      <c r="K698" s="589"/>
      <c r="L698" s="589"/>
      <c r="M698" s="589"/>
      <c r="N698" s="589"/>
      <c r="O698" s="589"/>
      <c r="P698" s="589"/>
      <c r="Q698" s="557"/>
    </row>
    <row r="699" ht="26.25" customHeight="1">
      <c r="A699" s="558" t="str">
        <f>Source!$B$6</f>
        <v/>
      </c>
      <c r="B699" s="559" t="str">
        <f>Source!$AB$44</f>
        <v/>
      </c>
      <c r="C699" s="560" t="str">
        <f>Source!$B$7</f>
        <v/>
      </c>
      <c r="D699" s="561" t="s">
        <v>566</v>
      </c>
      <c r="E699" s="634"/>
      <c r="F699" s="585" t="s">
        <v>1256</v>
      </c>
      <c r="G699" s="27"/>
      <c r="H699" s="27"/>
      <c r="I699" s="27"/>
      <c r="J699" s="27"/>
      <c r="K699" s="565"/>
      <c r="L699" s="568"/>
      <c r="M699" s="568"/>
      <c r="N699" s="568"/>
      <c r="O699" s="568"/>
      <c r="P699" s="568"/>
      <c r="Q699" s="588"/>
    </row>
    <row r="700" ht="7.5" customHeight="1">
      <c r="A700" s="578"/>
      <c r="B700" s="579"/>
      <c r="C700" s="579"/>
      <c r="D700" s="579"/>
      <c r="E700" s="579"/>
      <c r="F700" s="579"/>
      <c r="G700" s="579"/>
      <c r="H700" s="579"/>
      <c r="I700" s="579"/>
      <c r="J700" s="579"/>
      <c r="K700" s="579"/>
      <c r="L700" s="579"/>
      <c r="M700" s="579"/>
      <c r="N700" s="579"/>
      <c r="O700" s="579"/>
      <c r="P700" s="555"/>
      <c r="Q700" s="580"/>
    </row>
    <row r="701" ht="3.75" customHeight="1">
      <c r="A701" s="581"/>
      <c r="B701" s="582"/>
      <c r="C701" s="583"/>
      <c r="D701" s="583"/>
      <c r="E701" s="583"/>
      <c r="F701" s="583"/>
      <c r="G701" s="583"/>
      <c r="H701" s="583"/>
      <c r="I701" s="583"/>
      <c r="J701" s="583"/>
      <c r="K701" s="583"/>
      <c r="L701" s="583"/>
      <c r="M701" s="583"/>
      <c r="N701" s="583"/>
      <c r="O701" s="583"/>
      <c r="P701" s="583"/>
      <c r="Q701" s="580"/>
    </row>
    <row r="702" ht="7.5" customHeight="1">
      <c r="A702" s="578"/>
      <c r="B702" s="579"/>
      <c r="C702" s="579"/>
      <c r="D702" s="579"/>
      <c r="E702" s="579"/>
      <c r="F702" s="579"/>
      <c r="G702" s="579"/>
      <c r="H702" s="579"/>
      <c r="I702" s="579"/>
      <c r="J702" s="579"/>
      <c r="K702" s="579"/>
      <c r="L702" s="579"/>
      <c r="M702" s="579"/>
      <c r="N702" s="579"/>
      <c r="O702" s="579"/>
      <c r="P702" s="555"/>
      <c r="Q702" s="580"/>
    </row>
    <row r="703">
      <c r="A703" s="578"/>
      <c r="B703" s="584" t="s">
        <v>1257</v>
      </c>
      <c r="C703" s="168"/>
      <c r="D703" s="168"/>
      <c r="E703" s="168"/>
      <c r="F703" s="169"/>
      <c r="G703" s="589"/>
      <c r="H703" s="589"/>
      <c r="I703" s="589"/>
      <c r="J703" s="589"/>
      <c r="K703" s="589"/>
      <c r="L703" s="589"/>
      <c r="M703" s="589"/>
      <c r="N703" s="589"/>
      <c r="O703" s="589"/>
      <c r="P703" s="589"/>
      <c r="Q703" s="557"/>
    </row>
    <row r="704" ht="26.25" customHeight="1">
      <c r="A704" s="558" t="str">
        <f>Source!$B$6</f>
        <v/>
      </c>
      <c r="B704" s="559" t="str">
        <f>Source!$AH$7</f>
        <v/>
      </c>
      <c r="C704" s="560" t="str">
        <f>Source!$B$7</f>
        <v/>
      </c>
      <c r="D704" s="561" t="s">
        <v>534</v>
      </c>
      <c r="E704" s="634"/>
      <c r="F704" s="585" t="s">
        <v>1258</v>
      </c>
      <c r="G704" s="27"/>
      <c r="H704" s="27"/>
      <c r="I704" s="27"/>
      <c r="J704" s="27"/>
      <c r="K704" s="27"/>
      <c r="L704" s="27"/>
      <c r="M704" s="565"/>
      <c r="N704" s="568"/>
      <c r="O704" s="568"/>
      <c r="P704" s="568"/>
      <c r="Q704" s="588"/>
    </row>
    <row r="705" ht="26.25" customHeight="1">
      <c r="A705" s="558" t="str">
        <f>Source!$B$6</f>
        <v/>
      </c>
      <c r="B705" s="559" t="str">
        <f>Source!$S$15</f>
        <v/>
      </c>
      <c r="C705" s="569" t="str">
        <f>Source!$B$7</f>
        <v/>
      </c>
      <c r="D705" s="570" t="s">
        <v>1259</v>
      </c>
      <c r="E705" s="641"/>
      <c r="F705" s="572" t="s">
        <v>1260</v>
      </c>
      <c r="G705" s="27"/>
      <c r="H705" s="27"/>
      <c r="I705" s="565"/>
      <c r="J705" s="568"/>
      <c r="K705" s="568"/>
      <c r="L705" s="568"/>
      <c r="M705" s="568"/>
      <c r="N705" s="568"/>
      <c r="O705" s="568"/>
      <c r="P705" s="568"/>
      <c r="Q705" s="31"/>
    </row>
    <row r="706" ht="7.5" customHeight="1">
      <c r="A706" s="578"/>
      <c r="B706" s="579"/>
      <c r="C706" s="579"/>
      <c r="D706" s="579"/>
      <c r="E706" s="579"/>
      <c r="F706" s="579"/>
      <c r="G706" s="579"/>
      <c r="H706" s="579"/>
      <c r="I706" s="579"/>
      <c r="J706" s="579"/>
      <c r="K706" s="579"/>
      <c r="L706" s="579"/>
      <c r="M706" s="579"/>
      <c r="N706" s="579"/>
      <c r="O706" s="579"/>
      <c r="P706" s="555"/>
      <c r="Q706" s="580"/>
    </row>
    <row r="707" ht="3.75" customHeight="1">
      <c r="A707" s="581"/>
      <c r="B707" s="582"/>
      <c r="C707" s="583"/>
      <c r="D707" s="583"/>
      <c r="E707" s="583"/>
      <c r="F707" s="583"/>
      <c r="G707" s="583"/>
      <c r="H707" s="583"/>
      <c r="I707" s="583"/>
      <c r="J707" s="583"/>
      <c r="K707" s="583"/>
      <c r="L707" s="583"/>
      <c r="M707" s="583"/>
      <c r="N707" s="583"/>
      <c r="O707" s="583"/>
      <c r="P707" s="583"/>
      <c r="Q707" s="580"/>
    </row>
    <row r="708" ht="7.5" customHeight="1">
      <c r="A708" s="578"/>
      <c r="B708" s="579"/>
      <c r="C708" s="579"/>
      <c r="D708" s="579"/>
      <c r="E708" s="579"/>
      <c r="F708" s="579"/>
      <c r="G708" s="579"/>
      <c r="H708" s="579"/>
      <c r="I708" s="579"/>
      <c r="J708" s="579"/>
      <c r="K708" s="579"/>
      <c r="L708" s="579"/>
      <c r="M708" s="579"/>
      <c r="N708" s="579"/>
      <c r="O708" s="579"/>
      <c r="P708" s="555"/>
      <c r="Q708" s="580"/>
    </row>
    <row r="709">
      <c r="A709" s="578"/>
      <c r="B709" s="584" t="s">
        <v>1261</v>
      </c>
      <c r="C709" s="168"/>
      <c r="D709" s="168"/>
      <c r="E709" s="168"/>
      <c r="F709" s="169"/>
      <c r="G709" s="589"/>
      <c r="H709" s="589"/>
      <c r="I709" s="589"/>
      <c r="J709" s="589"/>
      <c r="K709" s="589"/>
      <c r="L709" s="589"/>
      <c r="M709" s="589"/>
      <c r="N709" s="589"/>
      <c r="O709" s="589"/>
      <c r="P709" s="589"/>
      <c r="Q709" s="557"/>
    </row>
    <row r="710" ht="26.25" customHeight="1">
      <c r="A710" s="558" t="str">
        <f>Source!$B$6</f>
        <v/>
      </c>
      <c r="B710" s="559" t="str">
        <f>Source!$S$33</f>
        <v/>
      </c>
      <c r="C710" s="560" t="str">
        <f>Source!$B$7</f>
        <v/>
      </c>
      <c r="D710" s="561" t="s">
        <v>1262</v>
      </c>
      <c r="E710" s="634"/>
      <c r="F710" s="585" t="s">
        <v>1263</v>
      </c>
      <c r="G710" s="27"/>
      <c r="H710" s="27"/>
      <c r="I710" s="27"/>
      <c r="J710" s="27"/>
      <c r="K710" s="27"/>
      <c r="L710" s="27"/>
      <c r="M710" s="27"/>
      <c r="N710" s="27"/>
      <c r="O710" s="27"/>
      <c r="P710" s="565"/>
      <c r="Q710" s="588"/>
    </row>
    <row r="711" ht="26.25" customHeight="1">
      <c r="A711" s="558" t="str">
        <f>Source!$B$6</f>
        <v/>
      </c>
      <c r="B711" s="559" t="str">
        <f>Source!$M$11</f>
        <v/>
      </c>
      <c r="C711" s="569" t="str">
        <f>Source!$B$7</f>
        <v/>
      </c>
      <c r="D711" s="570" t="s">
        <v>1264</v>
      </c>
      <c r="E711" s="641"/>
      <c r="F711" s="572" t="s">
        <v>1265</v>
      </c>
      <c r="G711" s="27"/>
      <c r="H711" s="27"/>
      <c r="I711" s="27"/>
      <c r="J711" s="27"/>
      <c r="K711" s="27"/>
      <c r="L711" s="27"/>
      <c r="M711" s="27"/>
      <c r="N711" s="27"/>
      <c r="O711" s="565"/>
      <c r="P711" s="568"/>
      <c r="Q711" s="31"/>
    </row>
    <row r="712" ht="26.25" customHeight="1">
      <c r="A712" s="558" t="str">
        <f>Source!$B$6</f>
        <v/>
      </c>
      <c r="B712" s="559" t="str">
        <f>Source!$AB$41</f>
        <v/>
      </c>
      <c r="C712" s="560" t="str">
        <f>Source!$B$7</f>
        <v/>
      </c>
      <c r="D712" s="561" t="s">
        <v>797</v>
      </c>
      <c r="E712" s="634"/>
      <c r="F712" s="585" t="s">
        <v>1266</v>
      </c>
      <c r="G712" s="27"/>
      <c r="H712" s="27"/>
      <c r="I712" s="27"/>
      <c r="J712" s="27"/>
      <c r="K712" s="27"/>
      <c r="L712" s="27"/>
      <c r="M712" s="27"/>
      <c r="N712" s="27"/>
      <c r="O712" s="27"/>
      <c r="P712" s="565"/>
      <c r="Q712" s="588"/>
    </row>
    <row r="713" ht="7.5" customHeight="1">
      <c r="A713" s="578"/>
      <c r="B713" s="579"/>
      <c r="C713" s="579"/>
      <c r="D713" s="579"/>
      <c r="E713" s="579"/>
      <c r="F713" s="579"/>
      <c r="G713" s="579"/>
      <c r="H713" s="579"/>
      <c r="I713" s="579"/>
      <c r="J713" s="579"/>
      <c r="K713" s="579"/>
      <c r="L713" s="579"/>
      <c r="M713" s="579"/>
      <c r="N713" s="579"/>
      <c r="O713" s="579"/>
      <c r="P713" s="555"/>
      <c r="Q713" s="580"/>
    </row>
    <row r="714" ht="3.75" customHeight="1">
      <c r="A714" s="581"/>
      <c r="B714" s="582"/>
      <c r="C714" s="583"/>
      <c r="D714" s="583"/>
      <c r="E714" s="583"/>
      <c r="F714" s="583"/>
      <c r="G714" s="583"/>
      <c r="H714" s="583"/>
      <c r="I714" s="583"/>
      <c r="J714" s="583"/>
      <c r="K714" s="583"/>
      <c r="L714" s="583"/>
      <c r="M714" s="583"/>
      <c r="N714" s="583"/>
      <c r="O714" s="583"/>
      <c r="P714" s="583"/>
      <c r="Q714" s="580"/>
    </row>
    <row r="715" ht="7.5" customHeight="1">
      <c r="A715" s="578"/>
      <c r="B715" s="579"/>
      <c r="C715" s="579"/>
      <c r="D715" s="579"/>
      <c r="E715" s="579"/>
      <c r="F715" s="579"/>
      <c r="G715" s="579"/>
      <c r="H715" s="579"/>
      <c r="I715" s="579"/>
      <c r="J715" s="579"/>
      <c r="K715" s="579"/>
      <c r="L715" s="579"/>
      <c r="M715" s="579"/>
      <c r="N715" s="579"/>
      <c r="O715" s="579"/>
      <c r="P715" s="555"/>
      <c r="Q715" s="580"/>
    </row>
    <row r="716">
      <c r="A716" s="578"/>
      <c r="B716" s="584" t="s">
        <v>1267</v>
      </c>
      <c r="C716" s="168"/>
      <c r="D716" s="168"/>
      <c r="E716" s="168"/>
      <c r="F716" s="169"/>
      <c r="G716" s="589"/>
      <c r="H716" s="589"/>
      <c r="I716" s="589"/>
      <c r="J716" s="589"/>
      <c r="K716" s="589"/>
      <c r="L716" s="589"/>
      <c r="M716" s="589"/>
      <c r="N716" s="589"/>
      <c r="O716" s="589"/>
      <c r="P716" s="589"/>
      <c r="Q716" s="557"/>
    </row>
    <row r="717" ht="26.25" customHeight="1">
      <c r="A717" s="558" t="str">
        <f>Source!$B$6</f>
        <v/>
      </c>
      <c r="B717" s="559" t="str">
        <f>Source!$AE$17</f>
        <v/>
      </c>
      <c r="C717" s="560" t="str">
        <f>Source!$B$7</f>
        <v/>
      </c>
      <c r="D717" s="561" t="s">
        <v>1268</v>
      </c>
      <c r="E717" s="634"/>
      <c r="F717" s="585" t="s">
        <v>1269</v>
      </c>
      <c r="G717" s="27"/>
      <c r="H717" s="27"/>
      <c r="I717" s="565"/>
      <c r="J717" s="568"/>
      <c r="K717" s="568"/>
      <c r="L717" s="568"/>
      <c r="M717" s="568"/>
      <c r="N717" s="568"/>
      <c r="O717" s="568"/>
      <c r="P717" s="568"/>
      <c r="Q717" s="588"/>
    </row>
    <row r="718" ht="7.5" customHeight="1">
      <c r="A718" s="578"/>
      <c r="B718" s="579"/>
      <c r="C718" s="579"/>
      <c r="D718" s="579"/>
      <c r="E718" s="579"/>
      <c r="F718" s="579"/>
      <c r="G718" s="579"/>
      <c r="H718" s="579"/>
      <c r="I718" s="579"/>
      <c r="J718" s="579"/>
      <c r="K718" s="579"/>
      <c r="L718" s="579"/>
      <c r="M718" s="579"/>
      <c r="N718" s="579"/>
      <c r="O718" s="579"/>
      <c r="P718" s="555"/>
      <c r="Q718" s="580"/>
    </row>
    <row r="719" ht="3.75" customHeight="1">
      <c r="A719" s="581"/>
      <c r="B719" s="582"/>
      <c r="C719" s="583"/>
      <c r="D719" s="583"/>
      <c r="E719" s="583"/>
      <c r="F719" s="583"/>
      <c r="G719" s="583"/>
      <c r="H719" s="583"/>
      <c r="I719" s="583"/>
      <c r="J719" s="583"/>
      <c r="K719" s="583"/>
      <c r="L719" s="583"/>
      <c r="M719" s="583"/>
      <c r="N719" s="583"/>
      <c r="O719" s="583"/>
      <c r="P719" s="583"/>
      <c r="Q719" s="580"/>
    </row>
    <row r="720" ht="7.5" customHeight="1">
      <c r="A720" s="578"/>
      <c r="B720" s="579"/>
      <c r="C720" s="579"/>
      <c r="D720" s="579"/>
      <c r="E720" s="579"/>
      <c r="F720" s="579"/>
      <c r="G720" s="579"/>
      <c r="H720" s="579"/>
      <c r="I720" s="579"/>
      <c r="J720" s="579"/>
      <c r="K720" s="579"/>
      <c r="L720" s="579"/>
      <c r="M720" s="579"/>
      <c r="N720" s="579"/>
      <c r="O720" s="579"/>
      <c r="P720" s="555"/>
      <c r="Q720" s="580"/>
    </row>
    <row r="721">
      <c r="A721" s="578"/>
      <c r="B721" s="584" t="s">
        <v>1270</v>
      </c>
      <c r="C721" s="168"/>
      <c r="D721" s="168"/>
      <c r="E721" s="168"/>
      <c r="F721" s="169"/>
      <c r="G721" s="589"/>
      <c r="H721" s="589"/>
      <c r="I721" s="589"/>
      <c r="J721" s="589"/>
      <c r="K721" s="589"/>
      <c r="L721" s="589"/>
      <c r="M721" s="589"/>
      <c r="N721" s="589"/>
      <c r="O721" s="589"/>
      <c r="P721" s="589"/>
      <c r="Q721" s="557"/>
    </row>
    <row r="722" ht="26.25" customHeight="1">
      <c r="A722" s="558" t="str">
        <f>Source!$B$6</f>
        <v/>
      </c>
      <c r="B722" s="559" t="str">
        <f>Source!$M$12</f>
        <v/>
      </c>
      <c r="C722" s="560" t="str">
        <f>Source!$B$7</f>
        <v/>
      </c>
      <c r="D722" s="561" t="s">
        <v>1271</v>
      </c>
      <c r="E722" s="634"/>
      <c r="F722" s="585" t="s">
        <v>1272</v>
      </c>
      <c r="G722" s="27"/>
      <c r="H722" s="27"/>
      <c r="I722" s="27"/>
      <c r="J722" s="27"/>
      <c r="K722" s="565"/>
      <c r="L722" s="568"/>
      <c r="M722" s="568"/>
      <c r="N722" s="568"/>
      <c r="O722" s="568"/>
      <c r="P722" s="568"/>
      <c r="Q722" s="588"/>
    </row>
    <row r="723" ht="26.25" customHeight="1">
      <c r="A723" s="558" t="str">
        <f>Source!$B$6</f>
        <v/>
      </c>
      <c r="B723" s="559" t="str">
        <f>Source!$D$16</f>
        <v/>
      </c>
      <c r="C723" s="569" t="str">
        <f>Source!$B$7</f>
        <v/>
      </c>
      <c r="D723" s="570" t="s">
        <v>1273</v>
      </c>
      <c r="E723" s="641"/>
      <c r="F723" s="572" t="s">
        <v>1274</v>
      </c>
      <c r="G723" s="27"/>
      <c r="H723" s="27"/>
      <c r="I723" s="27"/>
      <c r="J723" s="27"/>
      <c r="K723" s="27"/>
      <c r="L723" s="27"/>
      <c r="M723" s="27"/>
      <c r="N723" s="565"/>
      <c r="O723" s="568"/>
      <c r="P723" s="568"/>
      <c r="Q723" s="31"/>
    </row>
    <row r="724" ht="26.25" customHeight="1">
      <c r="A724" s="558" t="str">
        <f>Source!$B$6</f>
        <v/>
      </c>
      <c r="B724" s="559" t="str">
        <f>Source!$AB$30</f>
        <v/>
      </c>
      <c r="C724" s="560" t="str">
        <f>Source!$B$7</f>
        <v/>
      </c>
      <c r="D724" s="561" t="s">
        <v>661</v>
      </c>
      <c r="E724" s="634"/>
      <c r="F724" s="585" t="s">
        <v>1275</v>
      </c>
      <c r="G724" s="27"/>
      <c r="H724" s="27"/>
      <c r="I724" s="27"/>
      <c r="J724" s="27"/>
      <c r="K724" s="27"/>
      <c r="L724" s="565"/>
      <c r="M724" s="568"/>
      <c r="N724" s="568"/>
      <c r="O724" s="568"/>
      <c r="P724" s="568"/>
      <c r="Q724" s="588"/>
    </row>
    <row r="725" ht="26.25" customHeight="1">
      <c r="A725" s="558" t="str">
        <f>Source!$B$6</f>
        <v/>
      </c>
      <c r="B725" s="559" t="str">
        <f>Source!$S$29</f>
        <v/>
      </c>
      <c r="C725" s="569" t="str">
        <f>Source!$B$7</f>
        <v/>
      </c>
      <c r="D725" s="570" t="s">
        <v>1276</v>
      </c>
      <c r="E725" s="641"/>
      <c r="F725" s="572" t="s">
        <v>1277</v>
      </c>
      <c r="G725" s="27"/>
      <c r="H725" s="27"/>
      <c r="I725" s="27"/>
      <c r="J725" s="27"/>
      <c r="K725" s="27"/>
      <c r="L725" s="565"/>
      <c r="M725" s="568"/>
      <c r="N725" s="568"/>
      <c r="O725" s="568"/>
      <c r="P725" s="568"/>
      <c r="Q725" s="31"/>
    </row>
    <row r="726" ht="26.25" customHeight="1">
      <c r="A726" s="558" t="str">
        <f>Source!$B$6</f>
        <v/>
      </c>
      <c r="B726" s="559" t="str">
        <f>Source!$S$22</f>
        <v/>
      </c>
      <c r="C726" s="560" t="str">
        <f>Source!$B$7</f>
        <v/>
      </c>
      <c r="D726" s="561" t="s">
        <v>1278</v>
      </c>
      <c r="E726" s="634"/>
      <c r="F726" s="585" t="s">
        <v>1279</v>
      </c>
      <c r="G726" s="27"/>
      <c r="H726" s="27"/>
      <c r="I726" s="27"/>
      <c r="J726" s="27"/>
      <c r="K726" s="27"/>
      <c r="L726" s="565"/>
      <c r="M726" s="568"/>
      <c r="N726" s="568"/>
      <c r="O726" s="568"/>
      <c r="P726" s="568"/>
      <c r="Q726" s="588"/>
    </row>
    <row r="727" ht="3.75" customHeight="1">
      <c r="A727" s="645"/>
      <c r="B727" s="646"/>
      <c r="C727" s="646"/>
      <c r="D727" s="580"/>
      <c r="E727" s="580"/>
      <c r="F727" s="647"/>
      <c r="G727" s="647"/>
      <c r="H727" s="647"/>
      <c r="I727" s="647"/>
      <c r="J727" s="647"/>
      <c r="K727" s="647"/>
      <c r="L727" s="647"/>
      <c r="M727" s="647"/>
      <c r="N727" s="647"/>
      <c r="O727" s="580"/>
      <c r="P727" s="580"/>
      <c r="Q727" s="580"/>
    </row>
  </sheetData>
  <mergeCells count="651">
    <mergeCell ref="F340:O340"/>
    <mergeCell ref="F341:O341"/>
    <mergeCell ref="B345:D345"/>
    <mergeCell ref="F346:N346"/>
    <mergeCell ref="F347:K347"/>
    <mergeCell ref="F348:K348"/>
    <mergeCell ref="F349:O349"/>
    <mergeCell ref="F350:L350"/>
    <mergeCell ref="F351:L351"/>
    <mergeCell ref="B352:B353"/>
    <mergeCell ref="C352:C353"/>
    <mergeCell ref="D352:D353"/>
    <mergeCell ref="E352:E353"/>
    <mergeCell ref="F352:P353"/>
    <mergeCell ref="F292:N292"/>
    <mergeCell ref="F293:N293"/>
    <mergeCell ref="F294:K294"/>
    <mergeCell ref="F295:O295"/>
    <mergeCell ref="F296:J296"/>
    <mergeCell ref="F297:P297"/>
    <mergeCell ref="F298:O298"/>
    <mergeCell ref="F299:O299"/>
    <mergeCell ref="F300:P300"/>
    <mergeCell ref="B304:D304"/>
    <mergeCell ref="F305:P305"/>
    <mergeCell ref="F306:N306"/>
    <mergeCell ref="F307:N307"/>
    <mergeCell ref="F308:L308"/>
    <mergeCell ref="F309:K309"/>
    <mergeCell ref="F310:M310"/>
    <mergeCell ref="F311:M311"/>
    <mergeCell ref="F312:P312"/>
    <mergeCell ref="F313:N313"/>
    <mergeCell ref="F314:N314"/>
    <mergeCell ref="F315:L315"/>
    <mergeCell ref="F316:M316"/>
    <mergeCell ref="F317:L317"/>
    <mergeCell ref="F318:P318"/>
    <mergeCell ref="F319:J319"/>
    <mergeCell ref="F320:N320"/>
    <mergeCell ref="F321:N321"/>
    <mergeCell ref="F322:M322"/>
    <mergeCell ref="B326:D326"/>
    <mergeCell ref="F327:H327"/>
    <mergeCell ref="F328:L328"/>
    <mergeCell ref="F329:M329"/>
    <mergeCell ref="F330:J330"/>
    <mergeCell ref="F331:M331"/>
    <mergeCell ref="F332:J332"/>
    <mergeCell ref="F333:J333"/>
    <mergeCell ref="F334:J334"/>
    <mergeCell ref="F335:J335"/>
    <mergeCell ref="F336:O336"/>
    <mergeCell ref="F337:P337"/>
    <mergeCell ref="F338:P338"/>
    <mergeCell ref="F339:O339"/>
    <mergeCell ref="A352:A353"/>
    <mergeCell ref="A354:A355"/>
    <mergeCell ref="B354:B355"/>
    <mergeCell ref="C354:C355"/>
    <mergeCell ref="D354:D355"/>
    <mergeCell ref="E354:E355"/>
    <mergeCell ref="F354:P355"/>
    <mergeCell ref="B1:D1"/>
    <mergeCell ref="F1:P1"/>
    <mergeCell ref="B2:D2"/>
    <mergeCell ref="F3:I3"/>
    <mergeCell ref="F4:L4"/>
    <mergeCell ref="F5:P5"/>
    <mergeCell ref="F6:P6"/>
    <mergeCell ref="F7:P7"/>
    <mergeCell ref="F8:P8"/>
    <mergeCell ref="B12:D12"/>
    <mergeCell ref="F13:L13"/>
    <mergeCell ref="B17:D17"/>
    <mergeCell ref="F18:N18"/>
    <mergeCell ref="O18:P18"/>
    <mergeCell ref="F19:K19"/>
    <mergeCell ref="L19:P19"/>
    <mergeCell ref="F20:J20"/>
    <mergeCell ref="K20:P20"/>
    <mergeCell ref="F21:N21"/>
    <mergeCell ref="O21:P21"/>
    <mergeCell ref="F22:O22"/>
    <mergeCell ref="F23:N23"/>
    <mergeCell ref="O23:P23"/>
    <mergeCell ref="F24:M24"/>
    <mergeCell ref="N24:P24"/>
    <mergeCell ref="F25:L25"/>
    <mergeCell ref="M25:P25"/>
    <mergeCell ref="N26:P26"/>
    <mergeCell ref="F26:M26"/>
    <mergeCell ref="B30:D30"/>
    <mergeCell ref="F31:P31"/>
    <mergeCell ref="B35:D35"/>
    <mergeCell ref="F36:L36"/>
    <mergeCell ref="F37:N37"/>
    <mergeCell ref="F38:L38"/>
    <mergeCell ref="F39:N39"/>
    <mergeCell ref="O39:P39"/>
    <mergeCell ref="F40:K40"/>
    <mergeCell ref="F41:L41"/>
    <mergeCell ref="B45:D45"/>
    <mergeCell ref="F46:K46"/>
    <mergeCell ref="F47:K47"/>
    <mergeCell ref="F48:M48"/>
    <mergeCell ref="F49:O49"/>
    <mergeCell ref="F50:O50"/>
    <mergeCell ref="F51:N51"/>
    <mergeCell ref="F52:N52"/>
    <mergeCell ref="F53:N53"/>
    <mergeCell ref="F54:L54"/>
    <mergeCell ref="F115:H115"/>
    <mergeCell ref="F116:M116"/>
    <mergeCell ref="F117:N117"/>
    <mergeCell ref="F118:L118"/>
    <mergeCell ref="F119:M119"/>
    <mergeCell ref="B123:D123"/>
    <mergeCell ref="F124:M124"/>
    <mergeCell ref="F125:K125"/>
    <mergeCell ref="F126:M126"/>
    <mergeCell ref="F127:M127"/>
    <mergeCell ref="F128:J128"/>
    <mergeCell ref="F129:M129"/>
    <mergeCell ref="F130:N130"/>
    <mergeCell ref="B134:D134"/>
    <mergeCell ref="F55:O55"/>
    <mergeCell ref="F56:O56"/>
    <mergeCell ref="B60:D60"/>
    <mergeCell ref="F61:H61"/>
    <mergeCell ref="B65:D65"/>
    <mergeCell ref="F66:P66"/>
    <mergeCell ref="F67:P67"/>
    <mergeCell ref="F68:M68"/>
    <mergeCell ref="F69:L69"/>
    <mergeCell ref="F70:J70"/>
    <mergeCell ref="F71:O71"/>
    <mergeCell ref="F72:O72"/>
    <mergeCell ref="F73:P73"/>
    <mergeCell ref="F74:N74"/>
    <mergeCell ref="F75:N75"/>
    <mergeCell ref="B79:D79"/>
    <mergeCell ref="F80:N80"/>
    <mergeCell ref="F81:M81"/>
    <mergeCell ref="F82:H82"/>
    <mergeCell ref="F87:M87"/>
    <mergeCell ref="F88:M88"/>
    <mergeCell ref="B86:D86"/>
    <mergeCell ref="B92:D92"/>
    <mergeCell ref="F93:K93"/>
    <mergeCell ref="F94:K94"/>
    <mergeCell ref="F95:K95"/>
    <mergeCell ref="F96:I96"/>
    <mergeCell ref="F97:K97"/>
    <mergeCell ref="F98:L98"/>
    <mergeCell ref="F99:J99"/>
    <mergeCell ref="F100:L100"/>
    <mergeCell ref="F101:P101"/>
    <mergeCell ref="F102:P102"/>
    <mergeCell ref="F103:N103"/>
    <mergeCell ref="F104:M104"/>
    <mergeCell ref="F105:O105"/>
    <mergeCell ref="F106:P106"/>
    <mergeCell ref="F107:M107"/>
    <mergeCell ref="B111:D111"/>
    <mergeCell ref="F112:N112"/>
    <mergeCell ref="F113:I113"/>
    <mergeCell ref="F114:O114"/>
    <mergeCell ref="F135:N135"/>
    <mergeCell ref="F136:I136"/>
    <mergeCell ref="F137:L137"/>
    <mergeCell ref="F138:N138"/>
    <mergeCell ref="F139:N139"/>
    <mergeCell ref="B143:D143"/>
    <mergeCell ref="F144:L144"/>
    <mergeCell ref="F145:N145"/>
    <mergeCell ref="F146:N146"/>
    <mergeCell ref="F147:O147"/>
    <mergeCell ref="F148:L148"/>
    <mergeCell ref="F149:J149"/>
    <mergeCell ref="F150:J150"/>
    <mergeCell ref="F151:P151"/>
    <mergeCell ref="B161:D161"/>
    <mergeCell ref="B169:D169"/>
    <mergeCell ref="B180:D180"/>
    <mergeCell ref="B191:D191"/>
    <mergeCell ref="B209:D209"/>
    <mergeCell ref="B214:D214"/>
    <mergeCell ref="B223:D223"/>
    <mergeCell ref="F152:M152"/>
    <mergeCell ref="B156:L156"/>
    <mergeCell ref="F157:I157"/>
    <mergeCell ref="F162:P162"/>
    <mergeCell ref="F163:L163"/>
    <mergeCell ref="F164:I164"/>
    <mergeCell ref="F165:M165"/>
    <mergeCell ref="F170:M170"/>
    <mergeCell ref="F171:P171"/>
    <mergeCell ref="F172:M172"/>
    <mergeCell ref="F173:N173"/>
    <mergeCell ref="F174:O174"/>
    <mergeCell ref="F175:K175"/>
    <mergeCell ref="F176:K176"/>
    <mergeCell ref="F181:N181"/>
    <mergeCell ref="F182:O182"/>
    <mergeCell ref="F183:O183"/>
    <mergeCell ref="F184:K184"/>
    <mergeCell ref="F185:J185"/>
    <mergeCell ref="F186:J186"/>
    <mergeCell ref="F187:J187"/>
    <mergeCell ref="F192:O192"/>
    <mergeCell ref="F193:O193"/>
    <mergeCell ref="F194:O194"/>
    <mergeCell ref="F195:P195"/>
    <mergeCell ref="F196:M196"/>
    <mergeCell ref="F197:J197"/>
    <mergeCell ref="F198:M198"/>
    <mergeCell ref="F199:M199"/>
    <mergeCell ref="F200:M200"/>
    <mergeCell ref="F201:P201"/>
    <mergeCell ref="F202:O202"/>
    <mergeCell ref="F203:N203"/>
    <mergeCell ref="F204:M204"/>
    <mergeCell ref="F205:L205"/>
    <mergeCell ref="F282:P282"/>
    <mergeCell ref="F283:K283"/>
    <mergeCell ref="F267:O267"/>
    <mergeCell ref="F268:O268"/>
    <mergeCell ref="F269:P269"/>
    <mergeCell ref="F270:O270"/>
    <mergeCell ref="F271:N271"/>
    <mergeCell ref="F272:N272"/>
    <mergeCell ref="F277:M277"/>
    <mergeCell ref="F210:K210"/>
    <mergeCell ref="F215:K215"/>
    <mergeCell ref="F216:L216"/>
    <mergeCell ref="F217:O217"/>
    <mergeCell ref="F218:P218"/>
    <mergeCell ref="F219:P219"/>
    <mergeCell ref="F224:J224"/>
    <mergeCell ref="F225:K225"/>
    <mergeCell ref="F226:L226"/>
    <mergeCell ref="F227:O227"/>
    <mergeCell ref="F228:P228"/>
    <mergeCell ref="F229:P229"/>
    <mergeCell ref="F230:P230"/>
    <mergeCell ref="F231:P231"/>
    <mergeCell ref="B235:D235"/>
    <mergeCell ref="F236:K236"/>
    <mergeCell ref="F237:L237"/>
    <mergeCell ref="F238:I238"/>
    <mergeCell ref="F239:P239"/>
    <mergeCell ref="F240:M240"/>
    <mergeCell ref="F241:M241"/>
    <mergeCell ref="F242:P242"/>
    <mergeCell ref="F243:P243"/>
    <mergeCell ref="F244:P244"/>
    <mergeCell ref="F245:P245"/>
    <mergeCell ref="F246:P246"/>
    <mergeCell ref="B250:D250"/>
    <mergeCell ref="F251:L251"/>
    <mergeCell ref="B259:D259"/>
    <mergeCell ref="B266:D266"/>
    <mergeCell ref="F252:L252"/>
    <mergeCell ref="F253:L253"/>
    <mergeCell ref="F254:P254"/>
    <mergeCell ref="F255:P255"/>
    <mergeCell ref="F260:L260"/>
    <mergeCell ref="F261:M261"/>
    <mergeCell ref="F262:O262"/>
    <mergeCell ref="B276:G276"/>
    <mergeCell ref="B281:G281"/>
    <mergeCell ref="B287:D287"/>
    <mergeCell ref="F288:P288"/>
    <mergeCell ref="F289:P289"/>
    <mergeCell ref="F290:O290"/>
    <mergeCell ref="F291:P291"/>
    <mergeCell ref="D358:D359"/>
    <mergeCell ref="E358:E359"/>
    <mergeCell ref="D360:D361"/>
    <mergeCell ref="E360:E361"/>
    <mergeCell ref="D363:D364"/>
    <mergeCell ref="E363:E364"/>
    <mergeCell ref="A356:A357"/>
    <mergeCell ref="B356:B357"/>
    <mergeCell ref="C356:C357"/>
    <mergeCell ref="D356:D357"/>
    <mergeCell ref="E356:E357"/>
    <mergeCell ref="F356:P357"/>
    <mergeCell ref="A358:A359"/>
    <mergeCell ref="B358:B359"/>
    <mergeCell ref="C358:C359"/>
    <mergeCell ref="A360:A361"/>
    <mergeCell ref="B360:B361"/>
    <mergeCell ref="C360:C361"/>
    <mergeCell ref="B363:B364"/>
    <mergeCell ref="C363:C364"/>
    <mergeCell ref="F373:K373"/>
    <mergeCell ref="F374:N374"/>
    <mergeCell ref="F358:P359"/>
    <mergeCell ref="F360:P361"/>
    <mergeCell ref="F362:P362"/>
    <mergeCell ref="F363:P364"/>
    <mergeCell ref="F365:O365"/>
    <mergeCell ref="F366:P367"/>
    <mergeCell ref="F368:P368"/>
    <mergeCell ref="A363:A364"/>
    <mergeCell ref="A366:A367"/>
    <mergeCell ref="B366:B367"/>
    <mergeCell ref="C366:C367"/>
    <mergeCell ref="D366:D367"/>
    <mergeCell ref="E366:E367"/>
    <mergeCell ref="B372:D372"/>
    <mergeCell ref="A375:A376"/>
    <mergeCell ref="B375:B376"/>
    <mergeCell ref="C375:C376"/>
    <mergeCell ref="D375:D376"/>
    <mergeCell ref="E375:E376"/>
    <mergeCell ref="F375:P376"/>
    <mergeCell ref="F377:N377"/>
    <mergeCell ref="A551:A552"/>
    <mergeCell ref="A553:A554"/>
    <mergeCell ref="B553:B554"/>
    <mergeCell ref="C553:C554"/>
    <mergeCell ref="D553:D554"/>
    <mergeCell ref="E553:E554"/>
    <mergeCell ref="A558:A559"/>
    <mergeCell ref="B558:B559"/>
    <mergeCell ref="C558:C559"/>
    <mergeCell ref="A560:A561"/>
    <mergeCell ref="B560:B561"/>
    <mergeCell ref="C560:C561"/>
    <mergeCell ref="D560:D561"/>
    <mergeCell ref="E560:E561"/>
    <mergeCell ref="F529:K529"/>
    <mergeCell ref="F530:K530"/>
    <mergeCell ref="F531:N531"/>
    <mergeCell ref="F532:O532"/>
    <mergeCell ref="F533:N533"/>
    <mergeCell ref="F534:P534"/>
    <mergeCell ref="F535:P535"/>
    <mergeCell ref="F536:P536"/>
    <mergeCell ref="B540:D540"/>
    <mergeCell ref="F541:N541"/>
    <mergeCell ref="F542:P542"/>
    <mergeCell ref="F543:O543"/>
    <mergeCell ref="B547:I547"/>
    <mergeCell ref="F548:P548"/>
    <mergeCell ref="F553:P554"/>
    <mergeCell ref="F555:P555"/>
    <mergeCell ref="F556:L556"/>
    <mergeCell ref="F557:L557"/>
    <mergeCell ref="F549:P549"/>
    <mergeCell ref="F550:P550"/>
    <mergeCell ref="B551:B552"/>
    <mergeCell ref="C551:C552"/>
    <mergeCell ref="D551:D552"/>
    <mergeCell ref="E551:E552"/>
    <mergeCell ref="F551:P552"/>
    <mergeCell ref="D558:D559"/>
    <mergeCell ref="E558:E559"/>
    <mergeCell ref="F558:P559"/>
    <mergeCell ref="F560:P561"/>
    <mergeCell ref="F562:N562"/>
    <mergeCell ref="F563:J563"/>
    <mergeCell ref="A564:A565"/>
    <mergeCell ref="B564:B565"/>
    <mergeCell ref="C564:C565"/>
    <mergeCell ref="D564:D565"/>
    <mergeCell ref="E564:E565"/>
    <mergeCell ref="F564:P565"/>
    <mergeCell ref="A566:A567"/>
    <mergeCell ref="B566:B567"/>
    <mergeCell ref="C566:C567"/>
    <mergeCell ref="D566:D567"/>
    <mergeCell ref="E566:E567"/>
    <mergeCell ref="F566:P567"/>
    <mergeCell ref="B571:I571"/>
    <mergeCell ref="B578:B579"/>
    <mergeCell ref="C578:C579"/>
    <mergeCell ref="A580:A581"/>
    <mergeCell ref="B580:B581"/>
    <mergeCell ref="C580:C581"/>
    <mergeCell ref="A583:A584"/>
    <mergeCell ref="B583:B584"/>
    <mergeCell ref="C583:C584"/>
    <mergeCell ref="B595:D595"/>
    <mergeCell ref="B601:D601"/>
    <mergeCell ref="A604:A605"/>
    <mergeCell ref="B604:B605"/>
    <mergeCell ref="C604:C605"/>
    <mergeCell ref="E604:E605"/>
    <mergeCell ref="D578:D579"/>
    <mergeCell ref="E578:E579"/>
    <mergeCell ref="D580:D581"/>
    <mergeCell ref="E580:E581"/>
    <mergeCell ref="D583:D584"/>
    <mergeCell ref="E583:E584"/>
    <mergeCell ref="F572:J572"/>
    <mergeCell ref="F573:P573"/>
    <mergeCell ref="F574:O574"/>
    <mergeCell ref="F575:M575"/>
    <mergeCell ref="F576:J576"/>
    <mergeCell ref="F577:M577"/>
    <mergeCell ref="A578:A579"/>
    <mergeCell ref="F578:P579"/>
    <mergeCell ref="F580:P581"/>
    <mergeCell ref="F582:N582"/>
    <mergeCell ref="F583:P584"/>
    <mergeCell ref="F585:K585"/>
    <mergeCell ref="F586:O586"/>
    <mergeCell ref="F587:O587"/>
    <mergeCell ref="F588:O588"/>
    <mergeCell ref="F589:N589"/>
    <mergeCell ref="F590:J590"/>
    <mergeCell ref="F591:J591"/>
    <mergeCell ref="F596:N596"/>
    <mergeCell ref="F597:O597"/>
    <mergeCell ref="F602:N602"/>
    <mergeCell ref="F603:M603"/>
    <mergeCell ref="F604:P605"/>
    <mergeCell ref="F606:L606"/>
    <mergeCell ref="F607:M607"/>
    <mergeCell ref="F608:J608"/>
    <mergeCell ref="F609:K609"/>
    <mergeCell ref="F610:K610"/>
    <mergeCell ref="D604:D605"/>
    <mergeCell ref="B617:D617"/>
    <mergeCell ref="B631:D631"/>
    <mergeCell ref="F611:K611"/>
    <mergeCell ref="F612:O612"/>
    <mergeCell ref="F613:O613"/>
    <mergeCell ref="F618:I618"/>
    <mergeCell ref="F619:N619"/>
    <mergeCell ref="F620:N620"/>
    <mergeCell ref="F621:M621"/>
    <mergeCell ref="F686:L686"/>
    <mergeCell ref="F687:I687"/>
    <mergeCell ref="F688:M688"/>
    <mergeCell ref="B692:F692"/>
    <mergeCell ref="F693:M693"/>
    <mergeCell ref="F694:N694"/>
    <mergeCell ref="F699:J699"/>
    <mergeCell ref="B698:F698"/>
    <mergeCell ref="B703:F703"/>
    <mergeCell ref="F704:L704"/>
    <mergeCell ref="F705:H705"/>
    <mergeCell ref="F710:O710"/>
    <mergeCell ref="F711:N711"/>
    <mergeCell ref="F712:O712"/>
    <mergeCell ref="F622:J622"/>
    <mergeCell ref="F623:I623"/>
    <mergeCell ref="F624:I624"/>
    <mergeCell ref="F625:N625"/>
    <mergeCell ref="F626:P626"/>
    <mergeCell ref="F627:O627"/>
    <mergeCell ref="F632:P632"/>
    <mergeCell ref="F633:N633"/>
    <mergeCell ref="F634:P634"/>
    <mergeCell ref="F635:P635"/>
    <mergeCell ref="F636:M636"/>
    <mergeCell ref="F637:L637"/>
    <mergeCell ref="F638:P638"/>
    <mergeCell ref="F639:O639"/>
    <mergeCell ref="F640:O640"/>
    <mergeCell ref="F641:P641"/>
    <mergeCell ref="B645:D645"/>
    <mergeCell ref="F646:P646"/>
    <mergeCell ref="F647:P647"/>
    <mergeCell ref="F648:M648"/>
    <mergeCell ref="F649:P649"/>
    <mergeCell ref="F650:K650"/>
    <mergeCell ref="F651:P651"/>
    <mergeCell ref="F652:N652"/>
    <mergeCell ref="F653:L653"/>
    <mergeCell ref="F654:M654"/>
    <mergeCell ref="F655:O655"/>
    <mergeCell ref="F660:O660"/>
    <mergeCell ref="B659:D659"/>
    <mergeCell ref="B664:F664"/>
    <mergeCell ref="F665:I665"/>
    <mergeCell ref="F666:P666"/>
    <mergeCell ref="B670:F670"/>
    <mergeCell ref="F671:P671"/>
    <mergeCell ref="F672:K672"/>
    <mergeCell ref="F673:L673"/>
    <mergeCell ref="F674:M674"/>
    <mergeCell ref="B678:F678"/>
    <mergeCell ref="F679:K679"/>
    <mergeCell ref="B683:F683"/>
    <mergeCell ref="F684:I684"/>
    <mergeCell ref="F685:K685"/>
    <mergeCell ref="F725:K725"/>
    <mergeCell ref="F726:K726"/>
    <mergeCell ref="B709:F709"/>
    <mergeCell ref="B716:F716"/>
    <mergeCell ref="F717:H717"/>
    <mergeCell ref="B721:F721"/>
    <mergeCell ref="F722:J722"/>
    <mergeCell ref="F723:M723"/>
    <mergeCell ref="F724:K724"/>
    <mergeCell ref="D398:D399"/>
    <mergeCell ref="E398:E399"/>
    <mergeCell ref="B406:B407"/>
    <mergeCell ref="C406:C407"/>
    <mergeCell ref="D406:D407"/>
    <mergeCell ref="E406:E407"/>
    <mergeCell ref="B414:D414"/>
    <mergeCell ref="D422:D423"/>
    <mergeCell ref="E422:E423"/>
    <mergeCell ref="A406:A407"/>
    <mergeCell ref="A419:A420"/>
    <mergeCell ref="B419:B420"/>
    <mergeCell ref="C419:C420"/>
    <mergeCell ref="D419:D420"/>
    <mergeCell ref="E419:E420"/>
    <mergeCell ref="A422:A423"/>
    <mergeCell ref="B422:B423"/>
    <mergeCell ref="C422:C423"/>
    <mergeCell ref="B427:D427"/>
    <mergeCell ref="B438:D438"/>
    <mergeCell ref="B443:D443"/>
    <mergeCell ref="B453:D453"/>
    <mergeCell ref="B460:D460"/>
    <mergeCell ref="A483:A484"/>
    <mergeCell ref="B483:B484"/>
    <mergeCell ref="C483:C484"/>
    <mergeCell ref="D483:D484"/>
    <mergeCell ref="E483:E484"/>
    <mergeCell ref="B492:D492"/>
    <mergeCell ref="B467:D467"/>
    <mergeCell ref="B476:D476"/>
    <mergeCell ref="A481:A482"/>
    <mergeCell ref="B481:B482"/>
    <mergeCell ref="C481:C482"/>
    <mergeCell ref="D481:D482"/>
    <mergeCell ref="E481:E482"/>
    <mergeCell ref="F406:P407"/>
    <mergeCell ref="F408:L408"/>
    <mergeCell ref="F409:M409"/>
    <mergeCell ref="F410:P410"/>
    <mergeCell ref="F415:P415"/>
    <mergeCell ref="F416:O416"/>
    <mergeCell ref="F417:M417"/>
    <mergeCell ref="F418:P418"/>
    <mergeCell ref="F419:P420"/>
    <mergeCell ref="F421:P421"/>
    <mergeCell ref="F422:P423"/>
    <mergeCell ref="F428:L428"/>
    <mergeCell ref="F429:N429"/>
    <mergeCell ref="F430:O430"/>
    <mergeCell ref="F431:M431"/>
    <mergeCell ref="F432:N432"/>
    <mergeCell ref="F433:O433"/>
    <mergeCell ref="F434:P434"/>
    <mergeCell ref="F439:M439"/>
    <mergeCell ref="F444:O444"/>
    <mergeCell ref="F445:M445"/>
    <mergeCell ref="F446:N446"/>
    <mergeCell ref="F447:J447"/>
    <mergeCell ref="F448:O448"/>
    <mergeCell ref="F449:K449"/>
    <mergeCell ref="F454:O454"/>
    <mergeCell ref="F455:O455"/>
    <mergeCell ref="F456:K456"/>
    <mergeCell ref="F461:N461"/>
    <mergeCell ref="F462:P462"/>
    <mergeCell ref="F463:H463"/>
    <mergeCell ref="F468:M468"/>
    <mergeCell ref="F469:K469"/>
    <mergeCell ref="F471:P471"/>
    <mergeCell ref="F472:P472"/>
    <mergeCell ref="F470:K470"/>
    <mergeCell ref="F477:L477"/>
    <mergeCell ref="F478:P478"/>
    <mergeCell ref="F479:N479"/>
    <mergeCell ref="F480:J480"/>
    <mergeCell ref="F481:P482"/>
    <mergeCell ref="F483:P484"/>
    <mergeCell ref="F485:N485"/>
    <mergeCell ref="F486:O486"/>
    <mergeCell ref="F487:L487"/>
    <mergeCell ref="F488:O488"/>
    <mergeCell ref="F493:N493"/>
    <mergeCell ref="F494:L494"/>
    <mergeCell ref="F495:J495"/>
    <mergeCell ref="F496:O496"/>
    <mergeCell ref="F497:N497"/>
    <mergeCell ref="F498:N498"/>
    <mergeCell ref="F499:K499"/>
    <mergeCell ref="F500:O500"/>
    <mergeCell ref="F501:O501"/>
    <mergeCell ref="F502:N502"/>
    <mergeCell ref="A503:A504"/>
    <mergeCell ref="B503:B504"/>
    <mergeCell ref="C503:C504"/>
    <mergeCell ref="D503:D504"/>
    <mergeCell ref="E503:E504"/>
    <mergeCell ref="F503:P504"/>
    <mergeCell ref="F505:L505"/>
    <mergeCell ref="F506:N506"/>
    <mergeCell ref="F507:N507"/>
    <mergeCell ref="F508:P508"/>
    <mergeCell ref="F509:N509"/>
    <mergeCell ref="F510:O510"/>
    <mergeCell ref="F511:M511"/>
    <mergeCell ref="F516:N516"/>
    <mergeCell ref="O378:O379"/>
    <mergeCell ref="P378:P379"/>
    <mergeCell ref="A378:A379"/>
    <mergeCell ref="B378:B379"/>
    <mergeCell ref="C378:C379"/>
    <mergeCell ref="D378:D379"/>
    <mergeCell ref="E378:E379"/>
    <mergeCell ref="F378:M379"/>
    <mergeCell ref="N378:N379"/>
    <mergeCell ref="F380:N380"/>
    <mergeCell ref="F381:L381"/>
    <mergeCell ref="F382:M382"/>
    <mergeCell ref="F383:M383"/>
    <mergeCell ref="F384:M384"/>
    <mergeCell ref="F385:L385"/>
    <mergeCell ref="F386:L386"/>
    <mergeCell ref="F387:P387"/>
    <mergeCell ref="F388:P388"/>
    <mergeCell ref="F389:M389"/>
    <mergeCell ref="F390:M390"/>
    <mergeCell ref="F391:M391"/>
    <mergeCell ref="F392:M392"/>
    <mergeCell ref="F393:P393"/>
    <mergeCell ref="F394:L394"/>
    <mergeCell ref="F395:M395"/>
    <mergeCell ref="F396:K396"/>
    <mergeCell ref="F397:N397"/>
    <mergeCell ref="A398:A399"/>
    <mergeCell ref="B398:B399"/>
    <mergeCell ref="C398:C399"/>
    <mergeCell ref="F398:P399"/>
    <mergeCell ref="F400:P400"/>
    <mergeCell ref="F401:L401"/>
    <mergeCell ref="F402:K402"/>
    <mergeCell ref="F403:K403"/>
    <mergeCell ref="F404:K404"/>
    <mergeCell ref="F405:M405"/>
    <mergeCell ref="B515:D515"/>
    <mergeCell ref="B520:D520"/>
    <mergeCell ref="F521:M521"/>
    <mergeCell ref="F522:M522"/>
    <mergeCell ref="B526:I526"/>
    <mergeCell ref="F527:P527"/>
    <mergeCell ref="F528:M5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1" width="0.57"/>
    <col customWidth="1" min="2" max="2" width="3.14"/>
    <col customWidth="1" min="3" max="3" width="4.43"/>
    <col customWidth="1" min="4" max="4" width="3.14"/>
    <col customWidth="1" min="5" max="5" width="3.57"/>
    <col customWidth="1" min="6" max="6" width="14.43"/>
    <col customWidth="1" min="7" max="7" width="3.0"/>
    <col customWidth="1" min="8" max="8" width="1.57"/>
    <col customWidth="1" min="9" max="9" width="3.86"/>
    <col customWidth="1" min="10" max="10" width="1.57"/>
    <col customWidth="1" min="11" max="11" width="3.86"/>
    <col customWidth="1" min="12" max="12" width="1.57"/>
    <col customWidth="1" min="13" max="13" width="3.86"/>
    <col customWidth="1" min="14" max="14" width="1.57"/>
    <col customWidth="1" min="15" max="15" width="3.86"/>
    <col customWidth="1" min="16" max="16" width="1.57"/>
    <col customWidth="1" min="17" max="17" width="3.86"/>
    <col customWidth="1" min="18" max="18" width="0.57"/>
    <col customWidth="1" min="19" max="19" width="3.14"/>
    <col customWidth="1" min="20" max="20" width="4.43"/>
    <col customWidth="1" min="21" max="21" width="3.14"/>
    <col customWidth="1" min="22" max="22" width="3.57"/>
    <col customWidth="1" min="23" max="23" width="14.43"/>
    <col customWidth="1" min="24" max="24" width="3.0"/>
    <col customWidth="1" min="25" max="25" width="1.57"/>
    <col customWidth="1" min="26" max="26" width="3.86"/>
    <col customWidth="1" min="27" max="27" width="1.57"/>
    <col customWidth="1" min="28" max="28" width="3.86"/>
    <col customWidth="1" min="29" max="29" width="1.57"/>
    <col customWidth="1" min="30" max="30" width="3.86"/>
    <col customWidth="1" min="31" max="31" width="1.57"/>
    <col customWidth="1" min="32" max="32" width="3.86"/>
    <col customWidth="1" min="33" max="33" width="1.57"/>
    <col customWidth="1" min="34" max="34" width="3.86"/>
    <col customWidth="1" min="35" max="35" width="0.57"/>
    <col hidden="1" min="36" max="40" width="14.43"/>
  </cols>
  <sheetData>
    <row r="1" ht="2.25" customHeight="1">
      <c r="A1" s="648"/>
      <c r="B1" s="649"/>
      <c r="C1" s="649"/>
      <c r="D1" s="649"/>
      <c r="E1" s="649"/>
      <c r="F1" s="649"/>
      <c r="G1" s="649"/>
      <c r="H1" s="649"/>
      <c r="I1" s="649"/>
      <c r="J1" s="649"/>
      <c r="K1" s="649"/>
      <c r="L1" s="649"/>
      <c r="M1" s="649"/>
      <c r="N1" s="649"/>
      <c r="O1" s="649"/>
      <c r="P1" s="649"/>
      <c r="Q1" s="649"/>
      <c r="R1" s="650"/>
      <c r="S1" s="649"/>
      <c r="T1" s="649"/>
      <c r="U1" s="649"/>
      <c r="V1" s="649"/>
      <c r="W1" s="649"/>
      <c r="X1" s="649"/>
      <c r="Y1" s="649"/>
      <c r="Z1" s="649"/>
      <c r="AA1" s="649"/>
      <c r="AB1" s="649"/>
      <c r="AC1" s="649"/>
      <c r="AD1" s="649"/>
      <c r="AE1" s="649"/>
      <c r="AF1" s="649"/>
      <c r="AG1" s="649"/>
      <c r="AH1" s="649"/>
      <c r="AI1" s="650"/>
      <c r="AJ1" s="651"/>
      <c r="AK1" s="651"/>
      <c r="AL1" s="651"/>
      <c r="AM1" s="651"/>
      <c r="AN1" s="652"/>
    </row>
    <row r="2" ht="15.75" customHeight="1">
      <c r="A2" s="653"/>
      <c r="B2" s="654" t="str">
        <f>IMAGE("https://i.ibb.co/FK6YJbz/g-Front-Sprite869-Venusaur-Mega.png",3)</f>
        <v/>
      </c>
      <c r="C2" s="655"/>
      <c r="D2" s="656"/>
      <c r="E2" s="657" t="str">
        <f>Source!$P$48</f>
        <v/>
      </c>
      <c r="F2" s="658" t="s">
        <v>962</v>
      </c>
      <c r="G2" s="659"/>
      <c r="H2" s="659"/>
      <c r="I2" s="659"/>
      <c r="J2" s="659"/>
      <c r="K2" s="659"/>
      <c r="L2" s="659"/>
      <c r="M2" s="659"/>
      <c r="N2" s="660"/>
      <c r="O2" s="659"/>
      <c r="P2" s="659"/>
      <c r="Q2" s="661"/>
      <c r="R2" s="662"/>
      <c r="S2" s="663" t="str">
        <f>IMAGE("https://i.ibb.co/f9gmcxh/download.png",3)</f>
        <v/>
      </c>
      <c r="T2" s="655"/>
      <c r="U2" s="664"/>
      <c r="V2" s="665" t="str">
        <f>Source!$P$15</f>
        <v/>
      </c>
      <c r="W2" s="666" t="s">
        <v>1280</v>
      </c>
      <c r="X2" s="659"/>
      <c r="Y2" s="659"/>
      <c r="Z2" s="659"/>
      <c r="AA2" s="659"/>
      <c r="AB2" s="659"/>
      <c r="AC2" s="659"/>
      <c r="AD2" s="659"/>
      <c r="AE2" s="667"/>
      <c r="AF2" s="659"/>
      <c r="AG2" s="659"/>
      <c r="AH2" s="661"/>
      <c r="AI2" s="662"/>
      <c r="AJ2" s="668"/>
      <c r="AK2" s="668"/>
      <c r="AL2" s="668"/>
      <c r="AM2" s="668"/>
      <c r="AN2" s="668"/>
    </row>
    <row r="3" ht="19.5" customHeight="1">
      <c r="A3" s="653"/>
      <c r="B3" s="669"/>
      <c r="D3" s="670"/>
      <c r="E3" s="671" t="s">
        <v>1281</v>
      </c>
      <c r="F3" s="655"/>
      <c r="G3" s="655"/>
      <c r="H3" s="655"/>
      <c r="I3" s="655"/>
      <c r="J3" s="655"/>
      <c r="K3" s="655"/>
      <c r="L3" s="655"/>
      <c r="M3" s="655"/>
      <c r="N3" s="655"/>
      <c r="O3" s="655"/>
      <c r="P3" s="655"/>
      <c r="Q3" s="655"/>
      <c r="R3" s="662"/>
      <c r="S3" s="669"/>
      <c r="U3" s="672"/>
      <c r="V3" s="671" t="s">
        <v>1282</v>
      </c>
      <c r="W3" s="655"/>
      <c r="X3" s="655"/>
      <c r="Y3" s="655"/>
      <c r="Z3" s="655"/>
      <c r="AA3" s="655"/>
      <c r="AB3" s="655"/>
      <c r="AC3" s="655"/>
      <c r="AD3" s="655"/>
      <c r="AE3" s="655"/>
      <c r="AF3" s="655"/>
      <c r="AG3" s="655"/>
      <c r="AH3" s="655"/>
      <c r="AI3" s="662"/>
      <c r="AJ3" s="668"/>
      <c r="AK3" s="668"/>
      <c r="AL3" s="668"/>
      <c r="AM3" s="668"/>
      <c r="AN3" s="668"/>
    </row>
    <row r="4" ht="25.5" customHeight="1">
      <c r="A4" s="653"/>
      <c r="B4" s="673"/>
      <c r="C4" s="674"/>
      <c r="D4" s="675"/>
      <c r="E4" s="669"/>
      <c r="R4" s="662"/>
      <c r="S4" s="673"/>
      <c r="T4" s="674"/>
      <c r="U4" s="676"/>
      <c r="V4" s="669"/>
      <c r="AI4" s="662"/>
      <c r="AJ4" s="668"/>
      <c r="AK4" s="668"/>
      <c r="AL4" s="668"/>
      <c r="AM4" s="668"/>
      <c r="AN4" s="668"/>
    </row>
    <row r="5" ht="2.25" customHeight="1">
      <c r="A5" s="677"/>
      <c r="B5" s="678"/>
      <c r="C5" s="678"/>
      <c r="D5" s="678"/>
      <c r="E5" s="678"/>
      <c r="F5" s="678"/>
      <c r="G5" s="678"/>
      <c r="H5" s="678"/>
      <c r="I5" s="678"/>
      <c r="J5" s="678"/>
      <c r="K5" s="678"/>
      <c r="L5" s="678"/>
      <c r="M5" s="678"/>
      <c r="N5" s="678"/>
      <c r="O5" s="678"/>
      <c r="P5" s="678"/>
      <c r="Q5" s="678"/>
      <c r="R5" s="679"/>
      <c r="S5" s="678"/>
      <c r="T5" s="678"/>
      <c r="U5" s="678"/>
      <c r="V5" s="678"/>
      <c r="W5" s="678"/>
      <c r="X5" s="678"/>
      <c r="Y5" s="678"/>
      <c r="Z5" s="678"/>
      <c r="AA5" s="678"/>
      <c r="AB5" s="678"/>
      <c r="AC5" s="678"/>
      <c r="AD5" s="678"/>
      <c r="AE5" s="678"/>
      <c r="AF5" s="678"/>
      <c r="AG5" s="678"/>
      <c r="AH5" s="678"/>
      <c r="AI5" s="679"/>
      <c r="AJ5" s="651"/>
      <c r="AK5" s="651"/>
      <c r="AL5" s="651"/>
      <c r="AM5" s="651"/>
      <c r="AN5" s="652"/>
    </row>
    <row r="6" ht="15.75" customHeight="1">
      <c r="A6" s="653"/>
      <c r="B6" s="680" t="str">
        <f>IMAGE("https://i.ibb.co/DkYJgnR/blastoise.png",3)</f>
        <v/>
      </c>
      <c r="C6" s="655"/>
      <c r="D6" s="656"/>
      <c r="E6" s="681" t="str">
        <f>Source!$P$12</f>
        <v/>
      </c>
      <c r="F6" s="682" t="s">
        <v>966</v>
      </c>
      <c r="G6" s="659"/>
      <c r="H6" s="659"/>
      <c r="I6" s="659"/>
      <c r="J6" s="659"/>
      <c r="K6" s="659"/>
      <c r="L6" s="659"/>
      <c r="M6" s="659"/>
      <c r="N6" s="683"/>
      <c r="O6" s="659"/>
      <c r="P6" s="659"/>
      <c r="Q6" s="661"/>
      <c r="R6" s="662"/>
      <c r="S6" s="684" t="str">
        <f>IMAGE("https://i.ibb.co/g4BjG2v/sceprtile.png",3)</f>
        <v/>
      </c>
      <c r="T6" s="655"/>
      <c r="U6" s="664"/>
      <c r="V6" s="685" t="str">
        <f>Source!$P$41</f>
        <v/>
      </c>
      <c r="W6" s="686" t="s">
        <v>1202</v>
      </c>
      <c r="X6" s="659"/>
      <c r="Y6" s="659"/>
      <c r="Z6" s="659"/>
      <c r="AA6" s="659"/>
      <c r="AB6" s="659"/>
      <c r="AC6" s="659"/>
      <c r="AD6" s="659"/>
      <c r="AE6" s="687"/>
      <c r="AF6" s="659"/>
      <c r="AG6" s="659"/>
      <c r="AH6" s="661"/>
      <c r="AI6" s="662"/>
      <c r="AJ6" s="668"/>
      <c r="AK6" s="668"/>
      <c r="AL6" s="668"/>
      <c r="AM6" s="668"/>
      <c r="AN6" s="668"/>
    </row>
    <row r="7" ht="19.5" customHeight="1">
      <c r="A7" s="653"/>
      <c r="B7" s="669"/>
      <c r="D7" s="670"/>
      <c r="E7" s="671" t="s">
        <v>1283</v>
      </c>
      <c r="F7" s="655"/>
      <c r="G7" s="655"/>
      <c r="H7" s="655"/>
      <c r="I7" s="655"/>
      <c r="J7" s="655"/>
      <c r="K7" s="655"/>
      <c r="L7" s="655"/>
      <c r="M7" s="655"/>
      <c r="N7" s="655"/>
      <c r="O7" s="655"/>
      <c r="P7" s="655"/>
      <c r="Q7" s="655"/>
      <c r="R7" s="662"/>
      <c r="S7" s="669"/>
      <c r="U7" s="672"/>
      <c r="V7" s="671" t="s">
        <v>1284</v>
      </c>
      <c r="W7" s="655"/>
      <c r="X7" s="655"/>
      <c r="Y7" s="655"/>
      <c r="Z7" s="655"/>
      <c r="AA7" s="655"/>
      <c r="AB7" s="655"/>
      <c r="AC7" s="655"/>
      <c r="AD7" s="655"/>
      <c r="AE7" s="655"/>
      <c r="AF7" s="655"/>
      <c r="AG7" s="655"/>
      <c r="AH7" s="655"/>
      <c r="AI7" s="662"/>
      <c r="AJ7" s="668"/>
      <c r="AK7" s="668"/>
      <c r="AL7" s="668"/>
      <c r="AM7" s="668"/>
      <c r="AN7" s="668"/>
    </row>
    <row r="8" ht="25.5" customHeight="1">
      <c r="A8" s="653"/>
      <c r="B8" s="673"/>
      <c r="C8" s="674"/>
      <c r="D8" s="675"/>
      <c r="E8" s="669"/>
      <c r="R8" s="662"/>
      <c r="S8" s="673"/>
      <c r="T8" s="674"/>
      <c r="U8" s="676"/>
      <c r="V8" s="669"/>
      <c r="AI8" s="662"/>
      <c r="AJ8" s="668"/>
      <c r="AK8" s="668"/>
      <c r="AL8" s="668"/>
      <c r="AM8" s="668"/>
      <c r="AN8" s="668"/>
    </row>
    <row r="9" ht="2.25" customHeight="1">
      <c r="A9" s="677"/>
      <c r="B9" s="678"/>
      <c r="C9" s="678"/>
      <c r="D9" s="678"/>
      <c r="E9" s="678"/>
      <c r="F9" s="678"/>
      <c r="G9" s="678"/>
      <c r="H9" s="678"/>
      <c r="I9" s="678"/>
      <c r="J9" s="678"/>
      <c r="K9" s="678"/>
      <c r="L9" s="678"/>
      <c r="M9" s="678"/>
      <c r="N9" s="678"/>
      <c r="O9" s="678"/>
      <c r="P9" s="678"/>
      <c r="Q9" s="678"/>
      <c r="R9" s="679"/>
      <c r="S9" s="678"/>
      <c r="T9" s="678"/>
      <c r="U9" s="678"/>
      <c r="V9" s="678"/>
      <c r="W9" s="678"/>
      <c r="X9" s="678"/>
      <c r="Y9" s="678"/>
      <c r="Z9" s="678"/>
      <c r="AA9" s="678"/>
      <c r="AB9" s="678"/>
      <c r="AC9" s="678"/>
      <c r="AD9" s="678"/>
      <c r="AE9" s="678"/>
      <c r="AF9" s="678"/>
      <c r="AG9" s="678"/>
      <c r="AH9" s="678"/>
      <c r="AI9" s="679"/>
      <c r="AJ9" s="651"/>
      <c r="AK9" s="651"/>
      <c r="AL9" s="651"/>
      <c r="AM9" s="651"/>
      <c r="AN9" s="652"/>
    </row>
    <row r="10" ht="15.75" customHeight="1">
      <c r="A10" s="653"/>
      <c r="B10" s="688" t="str">
        <f>IMAGE("https://i.ibb.co/wpLmPFY/blaziken.png",3)</f>
        <v/>
      </c>
      <c r="C10" s="655"/>
      <c r="D10" s="656"/>
      <c r="E10" s="689" t="str">
        <f>Source!$P$13</f>
        <v/>
      </c>
      <c r="F10" s="690" t="s">
        <v>1117</v>
      </c>
      <c r="G10" s="655"/>
      <c r="H10" s="655"/>
      <c r="I10" s="655"/>
      <c r="J10" s="655"/>
      <c r="K10" s="655"/>
      <c r="L10" s="655"/>
      <c r="M10" s="655"/>
      <c r="N10" s="691"/>
      <c r="O10" s="655"/>
      <c r="P10" s="655"/>
      <c r="Q10" s="692"/>
      <c r="R10" s="662"/>
      <c r="S10" s="693" t="str">
        <f>IMAGE("https://i.ibb.co/TPqqm1z/swamp.png",3)</f>
        <v/>
      </c>
      <c r="T10" s="655"/>
      <c r="U10" s="664"/>
      <c r="V10" s="694" t="str">
        <f>Source!$P$46</f>
        <v/>
      </c>
      <c r="W10" s="695" t="s">
        <v>893</v>
      </c>
      <c r="X10" s="659"/>
      <c r="Y10" s="659"/>
      <c r="Z10" s="659"/>
      <c r="AA10" s="659"/>
      <c r="AB10" s="659"/>
      <c r="AC10" s="659"/>
      <c r="AD10" s="659"/>
      <c r="AE10" s="696"/>
      <c r="AF10" s="659"/>
      <c r="AG10" s="659"/>
      <c r="AH10" s="661"/>
      <c r="AI10" s="662"/>
      <c r="AJ10" s="668"/>
      <c r="AK10" s="668"/>
      <c r="AL10" s="668"/>
      <c r="AM10" s="668"/>
      <c r="AN10" s="668"/>
    </row>
    <row r="11" ht="19.5" customHeight="1">
      <c r="A11" s="653"/>
      <c r="B11" s="669"/>
      <c r="D11" s="670"/>
      <c r="E11" s="671" t="s">
        <v>1285</v>
      </c>
      <c r="F11" s="655"/>
      <c r="G11" s="655"/>
      <c r="H11" s="655"/>
      <c r="I11" s="655"/>
      <c r="J11" s="655"/>
      <c r="K11" s="655"/>
      <c r="L11" s="655"/>
      <c r="M11" s="655"/>
      <c r="N11" s="655"/>
      <c r="O11" s="655"/>
      <c r="P11" s="655"/>
      <c r="Q11" s="655"/>
      <c r="R11" s="662"/>
      <c r="S11" s="669"/>
      <c r="U11" s="672"/>
      <c r="V11" s="671" t="s">
        <v>1286</v>
      </c>
      <c r="W11" s="655"/>
      <c r="X11" s="655"/>
      <c r="Y11" s="655"/>
      <c r="Z11" s="655"/>
      <c r="AA11" s="655"/>
      <c r="AB11" s="655"/>
      <c r="AC11" s="655"/>
      <c r="AD11" s="655"/>
      <c r="AE11" s="655"/>
      <c r="AF11" s="655"/>
      <c r="AG11" s="655"/>
      <c r="AH11" s="655"/>
      <c r="AI11" s="662"/>
      <c r="AJ11" s="668"/>
      <c r="AK11" s="668"/>
      <c r="AL11" s="668"/>
      <c r="AM11" s="668"/>
      <c r="AN11" s="668"/>
    </row>
    <row r="12" ht="25.5" customHeight="1">
      <c r="A12" s="653"/>
      <c r="B12" s="673"/>
      <c r="C12" s="674"/>
      <c r="D12" s="675"/>
      <c r="E12" s="669"/>
      <c r="R12" s="662"/>
      <c r="S12" s="673"/>
      <c r="T12" s="674"/>
      <c r="U12" s="676"/>
      <c r="V12" s="669"/>
      <c r="AI12" s="662"/>
      <c r="AJ12" s="668"/>
      <c r="AK12" s="668"/>
      <c r="AL12" s="668"/>
      <c r="AM12" s="668"/>
      <c r="AN12" s="668"/>
    </row>
    <row r="13" ht="2.25" customHeight="1">
      <c r="A13" s="677"/>
      <c r="B13" s="678"/>
      <c r="C13" s="678"/>
      <c r="D13" s="678"/>
      <c r="E13" s="678"/>
      <c r="F13" s="678"/>
      <c r="G13" s="678"/>
      <c r="H13" s="678"/>
      <c r="I13" s="678"/>
      <c r="J13" s="678"/>
      <c r="K13" s="678"/>
      <c r="L13" s="678"/>
      <c r="M13" s="678"/>
      <c r="N13" s="678"/>
      <c r="O13" s="678"/>
      <c r="P13" s="678"/>
      <c r="Q13" s="678"/>
      <c r="R13" s="679"/>
      <c r="S13" s="678"/>
      <c r="T13" s="678"/>
      <c r="U13" s="678"/>
      <c r="V13" s="678"/>
      <c r="W13" s="678"/>
      <c r="X13" s="678"/>
      <c r="Y13" s="678"/>
      <c r="Z13" s="678"/>
      <c r="AA13" s="678"/>
      <c r="AB13" s="678"/>
      <c r="AC13" s="678"/>
      <c r="AD13" s="678"/>
      <c r="AE13" s="678"/>
      <c r="AF13" s="678"/>
      <c r="AG13" s="678"/>
      <c r="AH13" s="678"/>
      <c r="AI13" s="679"/>
      <c r="AJ13" s="651"/>
      <c r="AK13" s="651"/>
      <c r="AL13" s="651"/>
      <c r="AM13" s="651"/>
      <c r="AN13" s="652"/>
    </row>
    <row r="14" ht="15.75" customHeight="1">
      <c r="A14" s="653"/>
      <c r="B14" s="697" t="str">
        <f>IMAGE("https://i.ibb.co/w4nctRn/luc.png",3)</f>
        <v/>
      </c>
      <c r="C14" s="655"/>
      <c r="D14" s="656"/>
      <c r="E14" s="698" t="str">
        <f>Source!$P$30</f>
        <v/>
      </c>
      <c r="F14" s="699" t="s">
        <v>789</v>
      </c>
      <c r="G14" s="655"/>
      <c r="H14" s="655"/>
      <c r="I14" s="655"/>
      <c r="J14" s="655"/>
      <c r="K14" s="655"/>
      <c r="L14" s="655"/>
      <c r="M14" s="655"/>
      <c r="N14" s="700"/>
      <c r="O14" s="655"/>
      <c r="P14" s="655"/>
      <c r="Q14" s="692"/>
      <c r="R14" s="662"/>
      <c r="S14" s="701" t="str">
        <f>IMAGE("https://i.ibb.co/k4YtLRD/ala.png",3)</f>
        <v/>
      </c>
      <c r="T14" s="655"/>
      <c r="U14" s="702"/>
      <c r="V14" s="703" t="str">
        <f>Source!$P$6</f>
        <v/>
      </c>
      <c r="W14" s="704" t="s">
        <v>802</v>
      </c>
      <c r="X14" s="655"/>
      <c r="Y14" s="655"/>
      <c r="Z14" s="655"/>
      <c r="AA14" s="655"/>
      <c r="AB14" s="655"/>
      <c r="AC14" s="655"/>
      <c r="AD14" s="655"/>
      <c r="AE14" s="705"/>
      <c r="AF14" s="655"/>
      <c r="AG14" s="655"/>
      <c r="AH14" s="692"/>
      <c r="AI14" s="662"/>
      <c r="AJ14" s="668"/>
      <c r="AK14" s="668"/>
      <c r="AL14" s="668"/>
      <c r="AM14" s="668"/>
      <c r="AN14" s="668"/>
    </row>
    <row r="15" ht="19.5" customHeight="1">
      <c r="A15" s="653"/>
      <c r="B15" s="669"/>
      <c r="D15" s="670"/>
      <c r="E15" s="671" t="s">
        <v>1287</v>
      </c>
      <c r="F15" s="655"/>
      <c r="G15" s="655"/>
      <c r="H15" s="655"/>
      <c r="I15" s="655"/>
      <c r="J15" s="655"/>
      <c r="K15" s="655"/>
      <c r="L15" s="655"/>
      <c r="M15" s="655"/>
      <c r="N15" s="655"/>
      <c r="O15" s="655"/>
      <c r="P15" s="655"/>
      <c r="Q15" s="655"/>
      <c r="R15" s="662"/>
      <c r="S15" s="669"/>
      <c r="U15" s="706"/>
      <c r="V15" s="707" t="s">
        <v>1288</v>
      </c>
      <c r="W15" s="708"/>
      <c r="X15" s="708"/>
      <c r="Y15" s="708"/>
      <c r="Z15" s="708"/>
      <c r="AA15" s="708"/>
      <c r="AB15" s="708"/>
      <c r="AC15" s="708"/>
      <c r="AD15" s="708"/>
      <c r="AE15" s="708"/>
      <c r="AF15" s="708"/>
      <c r="AG15" s="708"/>
      <c r="AH15" s="708"/>
      <c r="AI15" s="662"/>
      <c r="AJ15" s="668"/>
      <c r="AK15" s="668"/>
      <c r="AL15" s="668"/>
      <c r="AM15" s="668"/>
      <c r="AN15" s="668"/>
    </row>
    <row r="16" ht="25.5" customHeight="1">
      <c r="A16" s="653"/>
      <c r="B16" s="673"/>
      <c r="C16" s="674"/>
      <c r="D16" s="675"/>
      <c r="E16" s="669"/>
      <c r="R16" s="662"/>
      <c r="S16" s="673"/>
      <c r="T16" s="674"/>
      <c r="U16" s="709"/>
      <c r="V16" s="710"/>
      <c r="AI16" s="662"/>
      <c r="AJ16" s="668"/>
      <c r="AK16" s="668"/>
      <c r="AL16" s="668"/>
      <c r="AM16" s="668"/>
      <c r="AN16" s="668"/>
    </row>
    <row r="17" ht="2.25" customHeight="1">
      <c r="A17" s="677"/>
      <c r="B17" s="678"/>
      <c r="C17" s="678"/>
      <c r="D17" s="678"/>
      <c r="E17" s="678"/>
      <c r="F17" s="678"/>
      <c r="G17" s="678"/>
      <c r="H17" s="678"/>
      <c r="I17" s="678"/>
      <c r="J17" s="678"/>
      <c r="K17" s="678"/>
      <c r="L17" s="678"/>
      <c r="M17" s="678"/>
      <c r="N17" s="678"/>
      <c r="O17" s="678"/>
      <c r="P17" s="678"/>
      <c r="Q17" s="678"/>
      <c r="R17" s="679"/>
      <c r="S17" s="678"/>
      <c r="T17" s="678"/>
      <c r="U17" s="678"/>
      <c r="V17" s="678"/>
      <c r="W17" s="678"/>
      <c r="X17" s="678"/>
      <c r="Y17" s="678"/>
      <c r="Z17" s="678"/>
      <c r="AA17" s="678"/>
      <c r="AB17" s="678"/>
      <c r="AC17" s="678"/>
      <c r="AD17" s="678"/>
      <c r="AE17" s="678"/>
      <c r="AF17" s="678"/>
      <c r="AG17" s="678"/>
      <c r="AH17" s="678"/>
      <c r="AI17" s="679"/>
      <c r="AJ17" s="651"/>
      <c r="AK17" s="651"/>
      <c r="AL17" s="651"/>
      <c r="AM17" s="651"/>
      <c r="AN17" s="652"/>
    </row>
    <row r="18" ht="15.75" customHeight="1">
      <c r="A18" s="653"/>
      <c r="B18" s="711" t="str">
        <f>IMAGE("https://i.ibb.co/HY4ZySf/sabl.png",3)</f>
        <v/>
      </c>
      <c r="C18" s="655"/>
      <c r="D18" s="656"/>
      <c r="E18" s="712" t="str">
        <f>Source!$P$39</f>
        <v/>
      </c>
      <c r="F18" s="713" t="s">
        <v>845</v>
      </c>
      <c r="G18" s="655"/>
      <c r="H18" s="655"/>
      <c r="I18" s="655"/>
      <c r="J18" s="655"/>
      <c r="K18" s="655"/>
      <c r="L18" s="655"/>
      <c r="M18" s="655"/>
      <c r="N18" s="714"/>
      <c r="O18" s="655"/>
      <c r="P18" s="655"/>
      <c r="Q18" s="692"/>
      <c r="R18" s="662"/>
      <c r="S18" s="715" t="str">
        <f>IMAGE("https://i.ibb.co/bRjYJgy/kang.png",3)</f>
        <v/>
      </c>
      <c r="T18" s="655"/>
      <c r="U18" s="702"/>
      <c r="V18" s="716" t="str">
        <f>Source!$P$26</f>
        <v/>
      </c>
      <c r="W18" s="717" t="s">
        <v>935</v>
      </c>
      <c r="X18" s="655"/>
      <c r="Y18" s="655"/>
      <c r="Z18" s="655"/>
      <c r="AA18" s="655"/>
      <c r="AB18" s="655"/>
      <c r="AC18" s="655"/>
      <c r="AD18" s="655"/>
      <c r="AE18" s="718"/>
      <c r="AF18" s="655"/>
      <c r="AG18" s="655"/>
      <c r="AH18" s="692"/>
      <c r="AI18" s="662"/>
      <c r="AJ18" s="668"/>
      <c r="AK18" s="668"/>
      <c r="AL18" s="668"/>
      <c r="AM18" s="668"/>
      <c r="AN18" s="668"/>
    </row>
    <row r="19" ht="19.5" customHeight="1">
      <c r="A19" s="653"/>
      <c r="B19" s="669"/>
      <c r="D19" s="670"/>
      <c r="E19" s="671" t="s">
        <v>1289</v>
      </c>
      <c r="F19" s="655"/>
      <c r="G19" s="655"/>
      <c r="H19" s="655"/>
      <c r="I19" s="655"/>
      <c r="J19" s="655"/>
      <c r="K19" s="655"/>
      <c r="L19" s="655"/>
      <c r="M19" s="655"/>
      <c r="N19" s="655"/>
      <c r="O19" s="655"/>
      <c r="P19" s="655"/>
      <c r="Q19" s="655"/>
      <c r="R19" s="662"/>
      <c r="S19" s="669"/>
      <c r="U19" s="706"/>
      <c r="V19" s="707" t="s">
        <v>1290</v>
      </c>
      <c r="W19" s="708"/>
      <c r="X19" s="708"/>
      <c r="Y19" s="708"/>
      <c r="Z19" s="708"/>
      <c r="AA19" s="708"/>
      <c r="AB19" s="708"/>
      <c r="AC19" s="708"/>
      <c r="AD19" s="708"/>
      <c r="AE19" s="708"/>
      <c r="AF19" s="708"/>
      <c r="AG19" s="708"/>
      <c r="AH19" s="708"/>
      <c r="AI19" s="662"/>
      <c r="AJ19" s="668"/>
      <c r="AK19" s="668"/>
      <c r="AL19" s="668"/>
      <c r="AM19" s="668"/>
      <c r="AN19" s="668"/>
    </row>
    <row r="20" ht="25.5" customHeight="1">
      <c r="A20" s="653"/>
      <c r="B20" s="673"/>
      <c r="C20" s="674"/>
      <c r="D20" s="675"/>
      <c r="E20" s="669"/>
      <c r="R20" s="662"/>
      <c r="S20" s="673"/>
      <c r="T20" s="674"/>
      <c r="U20" s="709"/>
      <c r="V20" s="710"/>
      <c r="AI20" s="662"/>
      <c r="AJ20" s="668"/>
      <c r="AK20" s="668"/>
      <c r="AL20" s="668"/>
      <c r="AM20" s="668"/>
      <c r="AN20" s="668"/>
    </row>
    <row r="21" ht="2.25" customHeight="1">
      <c r="A21" s="677"/>
      <c r="B21" s="678"/>
      <c r="C21" s="678"/>
      <c r="D21" s="678"/>
      <c r="E21" s="678"/>
      <c r="F21" s="678"/>
      <c r="G21" s="678"/>
      <c r="H21" s="678"/>
      <c r="I21" s="678"/>
      <c r="J21" s="678"/>
      <c r="K21" s="678"/>
      <c r="L21" s="678"/>
      <c r="M21" s="678"/>
      <c r="N21" s="678"/>
      <c r="O21" s="678"/>
      <c r="P21" s="678"/>
      <c r="Q21" s="678"/>
      <c r="R21" s="679"/>
      <c r="S21" s="678"/>
      <c r="T21" s="678"/>
      <c r="U21" s="678"/>
      <c r="V21" s="678"/>
      <c r="W21" s="678"/>
      <c r="X21" s="678"/>
      <c r="Y21" s="678"/>
      <c r="Z21" s="678"/>
      <c r="AA21" s="678"/>
      <c r="AB21" s="678"/>
      <c r="AC21" s="678"/>
      <c r="AD21" s="678"/>
      <c r="AE21" s="678"/>
      <c r="AF21" s="678"/>
      <c r="AG21" s="678"/>
      <c r="AH21" s="678"/>
      <c r="AI21" s="679"/>
      <c r="AJ21" s="651"/>
      <c r="AK21" s="651"/>
      <c r="AL21" s="651"/>
      <c r="AM21" s="651"/>
      <c r="AN21" s="652"/>
    </row>
    <row r="22" ht="15.75" customHeight="1">
      <c r="A22" s="653"/>
      <c r="B22" s="719" t="str">
        <f>IMAGE("https://i.ibb.co/sVDsGqg/aud.png",3)</f>
        <v/>
      </c>
      <c r="C22" s="655"/>
      <c r="D22" s="720"/>
      <c r="E22" s="721" t="str">
        <f>Source!$P$9</f>
        <v/>
      </c>
      <c r="F22" s="722" t="s">
        <v>929</v>
      </c>
      <c r="G22" s="655"/>
      <c r="H22" s="655"/>
      <c r="I22" s="655"/>
      <c r="J22" s="655"/>
      <c r="K22" s="655"/>
      <c r="L22" s="655"/>
      <c r="M22" s="655"/>
      <c r="N22" s="723"/>
      <c r="O22" s="655"/>
      <c r="P22" s="655"/>
      <c r="Q22" s="692"/>
      <c r="R22" s="662"/>
      <c r="S22" s="724" t="str">
        <f>IMAGE("https://i.ibb.co/Kw6WmQD/garb.png",3)</f>
        <v/>
      </c>
      <c r="T22" s="655"/>
      <c r="U22" s="702"/>
      <c r="V22" s="725" t="str">
        <f>Source!$P$39</f>
        <v/>
      </c>
      <c r="W22" s="726" t="s">
        <v>917</v>
      </c>
      <c r="X22" s="655"/>
      <c r="Y22" s="655"/>
      <c r="Z22" s="655"/>
      <c r="AA22" s="655"/>
      <c r="AB22" s="655"/>
      <c r="AC22" s="655"/>
      <c r="AD22" s="655"/>
      <c r="AE22" s="727"/>
      <c r="AF22" s="655"/>
      <c r="AG22" s="655"/>
      <c r="AH22" s="692"/>
      <c r="AI22" s="662"/>
      <c r="AJ22" s="668"/>
      <c r="AK22" s="668"/>
      <c r="AL22" s="668"/>
      <c r="AM22" s="668"/>
      <c r="AN22" s="668"/>
    </row>
    <row r="23" ht="19.5" customHeight="1">
      <c r="A23" s="653"/>
      <c r="B23" s="669"/>
      <c r="D23" s="728"/>
      <c r="E23" s="707" t="s">
        <v>1291</v>
      </c>
      <c r="F23" s="708"/>
      <c r="G23" s="708"/>
      <c r="H23" s="708"/>
      <c r="I23" s="708"/>
      <c r="J23" s="708"/>
      <c r="K23" s="708"/>
      <c r="L23" s="708"/>
      <c r="M23" s="708"/>
      <c r="N23" s="708"/>
      <c r="O23" s="708"/>
      <c r="P23" s="708"/>
      <c r="Q23" s="729"/>
      <c r="R23" s="662"/>
      <c r="S23" s="669"/>
      <c r="U23" s="706"/>
      <c r="V23" s="707" t="s">
        <v>1292</v>
      </c>
      <c r="W23" s="708"/>
      <c r="X23" s="708"/>
      <c r="Y23" s="708"/>
      <c r="Z23" s="708"/>
      <c r="AA23" s="708"/>
      <c r="AB23" s="708"/>
      <c r="AC23" s="708"/>
      <c r="AD23" s="708"/>
      <c r="AE23" s="708"/>
      <c r="AF23" s="708"/>
      <c r="AG23" s="708"/>
      <c r="AH23" s="708"/>
      <c r="AI23" s="662"/>
      <c r="AJ23" s="668"/>
      <c r="AK23" s="668"/>
      <c r="AL23" s="668"/>
      <c r="AM23" s="668"/>
      <c r="AN23" s="668"/>
    </row>
    <row r="24" ht="25.5" customHeight="1">
      <c r="A24" s="653"/>
      <c r="B24" s="673"/>
      <c r="C24" s="674"/>
      <c r="D24" s="730"/>
      <c r="E24" s="731"/>
      <c r="F24" s="732"/>
      <c r="G24" s="732"/>
      <c r="H24" s="732"/>
      <c r="I24" s="732"/>
      <c r="J24" s="732"/>
      <c r="K24" s="732"/>
      <c r="L24" s="732"/>
      <c r="M24" s="732"/>
      <c r="N24" s="732"/>
      <c r="O24" s="732"/>
      <c r="P24" s="732"/>
      <c r="Q24" s="733"/>
      <c r="R24" s="662"/>
      <c r="S24" s="673"/>
      <c r="T24" s="674"/>
      <c r="U24" s="709"/>
      <c r="V24" s="710"/>
      <c r="AI24" s="662"/>
      <c r="AJ24" s="668"/>
      <c r="AK24" s="668"/>
      <c r="AL24" s="668"/>
      <c r="AM24" s="668"/>
      <c r="AN24" s="668"/>
    </row>
    <row r="25" ht="2.25" customHeight="1">
      <c r="A25" s="677"/>
      <c r="B25" s="678"/>
      <c r="C25" s="678"/>
      <c r="D25" s="678"/>
      <c r="E25" s="678"/>
      <c r="F25" s="678"/>
      <c r="G25" s="678"/>
      <c r="H25" s="678"/>
      <c r="I25" s="678"/>
      <c r="J25" s="678"/>
      <c r="K25" s="678"/>
      <c r="L25" s="678"/>
      <c r="M25" s="678"/>
      <c r="N25" s="678"/>
      <c r="O25" s="678"/>
      <c r="P25" s="678"/>
      <c r="Q25" s="678"/>
      <c r="R25" s="679"/>
      <c r="S25" s="678"/>
      <c r="T25" s="678"/>
      <c r="U25" s="678"/>
      <c r="V25" s="678"/>
      <c r="W25" s="678"/>
      <c r="X25" s="678"/>
      <c r="Y25" s="678"/>
      <c r="Z25" s="678"/>
      <c r="AA25" s="678"/>
      <c r="AB25" s="678"/>
      <c r="AC25" s="678"/>
      <c r="AD25" s="678"/>
      <c r="AE25" s="678"/>
      <c r="AF25" s="678"/>
      <c r="AG25" s="678"/>
      <c r="AH25" s="678"/>
      <c r="AI25" s="679"/>
      <c r="AJ25" s="651"/>
      <c r="AK25" s="651"/>
      <c r="AL25" s="651"/>
      <c r="AM25" s="651"/>
      <c r="AN25" s="652"/>
    </row>
    <row r="26" ht="15.75" customHeight="1">
      <c r="A26" s="653"/>
      <c r="B26" s="734" t="str">
        <f>IMAGE("https://i.ibb.co/TMV2HZ0/gard.png",3)</f>
        <v/>
      </c>
      <c r="C26" s="655"/>
      <c r="D26" s="735"/>
      <c r="E26" s="736" t="str">
        <f>Source!$P$20</f>
        <v/>
      </c>
      <c r="F26" s="737" t="s">
        <v>1293</v>
      </c>
      <c r="G26" s="655"/>
      <c r="H26" s="655"/>
      <c r="I26" s="655"/>
      <c r="J26" s="655"/>
      <c r="K26" s="655"/>
      <c r="L26" s="655"/>
      <c r="M26" s="655"/>
      <c r="N26" s="738"/>
      <c r="O26" s="655"/>
      <c r="P26" s="655"/>
      <c r="Q26" s="692"/>
      <c r="R26" s="662"/>
      <c r="S26" s="739" t="str">
        <f>IMAGE("https://i.ibb.co/YXmG77B/abs.png",3)</f>
        <v/>
      </c>
      <c r="T26" s="655"/>
      <c r="U26" s="740"/>
      <c r="V26" s="741" t="str">
        <f>Source!$P$3</f>
        <v/>
      </c>
      <c r="W26" s="742" t="s">
        <v>975</v>
      </c>
      <c r="X26" s="655"/>
      <c r="Y26" s="655"/>
      <c r="Z26" s="655"/>
      <c r="AA26" s="655"/>
      <c r="AB26" s="655"/>
      <c r="AC26" s="655"/>
      <c r="AD26" s="655"/>
      <c r="AE26" s="743"/>
      <c r="AF26" s="655"/>
      <c r="AG26" s="655"/>
      <c r="AH26" s="692"/>
      <c r="AI26" s="662"/>
      <c r="AJ26" s="668"/>
      <c r="AK26" s="668"/>
      <c r="AL26" s="668"/>
      <c r="AM26" s="668"/>
      <c r="AN26" s="668"/>
    </row>
    <row r="27" ht="19.5" customHeight="1">
      <c r="A27" s="653"/>
      <c r="B27" s="669"/>
      <c r="D27" s="744"/>
      <c r="E27" s="745" t="s">
        <v>1294</v>
      </c>
      <c r="F27" s="708"/>
      <c r="G27" s="708"/>
      <c r="H27" s="708"/>
      <c r="I27" s="708"/>
      <c r="J27" s="708"/>
      <c r="K27" s="708"/>
      <c r="L27" s="708"/>
      <c r="M27" s="708"/>
      <c r="N27" s="708"/>
      <c r="O27" s="708"/>
      <c r="P27" s="708"/>
      <c r="Q27" s="729"/>
      <c r="R27" s="662"/>
      <c r="S27" s="669"/>
      <c r="U27" s="746"/>
      <c r="V27" s="707" t="s">
        <v>1295</v>
      </c>
      <c r="W27" s="708"/>
      <c r="X27" s="708"/>
      <c r="Y27" s="708"/>
      <c r="Z27" s="708"/>
      <c r="AA27" s="708"/>
      <c r="AB27" s="708"/>
      <c r="AC27" s="708"/>
      <c r="AD27" s="708"/>
      <c r="AE27" s="708"/>
      <c r="AF27" s="708"/>
      <c r="AG27" s="708"/>
      <c r="AH27" s="729"/>
      <c r="AI27" s="662"/>
      <c r="AJ27" s="668"/>
      <c r="AK27" s="668"/>
      <c r="AL27" s="668"/>
      <c r="AM27" s="668"/>
      <c r="AN27" s="668"/>
    </row>
    <row r="28" ht="25.5" customHeight="1">
      <c r="A28" s="653"/>
      <c r="B28" s="673"/>
      <c r="C28" s="674"/>
      <c r="D28" s="747"/>
      <c r="E28" s="731"/>
      <c r="F28" s="732"/>
      <c r="G28" s="732"/>
      <c r="H28" s="732"/>
      <c r="I28" s="732"/>
      <c r="J28" s="732"/>
      <c r="K28" s="732"/>
      <c r="L28" s="732"/>
      <c r="M28" s="732"/>
      <c r="N28" s="732"/>
      <c r="O28" s="732"/>
      <c r="P28" s="732"/>
      <c r="Q28" s="733"/>
      <c r="R28" s="662"/>
      <c r="S28" s="673"/>
      <c r="T28" s="674"/>
      <c r="U28" s="748"/>
      <c r="V28" s="731"/>
      <c r="W28" s="732"/>
      <c r="X28" s="732"/>
      <c r="Y28" s="732"/>
      <c r="Z28" s="732"/>
      <c r="AA28" s="732"/>
      <c r="AB28" s="732"/>
      <c r="AC28" s="732"/>
      <c r="AD28" s="732"/>
      <c r="AE28" s="732"/>
      <c r="AF28" s="732"/>
      <c r="AG28" s="732"/>
      <c r="AH28" s="733"/>
      <c r="AI28" s="662"/>
      <c r="AJ28" s="668"/>
      <c r="AK28" s="668"/>
      <c r="AL28" s="668"/>
      <c r="AM28" s="668"/>
      <c r="AN28" s="668"/>
    </row>
    <row r="29" ht="2.25" customHeight="1">
      <c r="A29" s="677"/>
      <c r="B29" s="678"/>
      <c r="C29" s="678"/>
      <c r="D29" s="678"/>
      <c r="E29" s="678"/>
      <c r="F29" s="678"/>
      <c r="G29" s="678"/>
      <c r="H29" s="678"/>
      <c r="I29" s="678"/>
      <c r="J29" s="678"/>
      <c r="K29" s="678"/>
      <c r="L29" s="678"/>
      <c r="M29" s="678"/>
      <c r="N29" s="678"/>
      <c r="O29" s="678"/>
      <c r="P29" s="678"/>
      <c r="Q29" s="678"/>
      <c r="R29" s="679"/>
      <c r="S29" s="678"/>
      <c r="T29" s="678"/>
      <c r="U29" s="678"/>
      <c r="V29" s="678"/>
      <c r="W29" s="678"/>
      <c r="X29" s="678"/>
      <c r="Y29" s="678"/>
      <c r="Z29" s="678"/>
      <c r="AA29" s="678"/>
      <c r="AB29" s="678"/>
      <c r="AC29" s="678"/>
      <c r="AD29" s="678"/>
      <c r="AE29" s="678"/>
      <c r="AF29" s="678"/>
      <c r="AG29" s="678"/>
      <c r="AH29" s="678"/>
      <c r="AI29" s="679"/>
      <c r="AJ29" s="651"/>
      <c r="AK29" s="651"/>
      <c r="AL29" s="651"/>
      <c r="AM29" s="651"/>
      <c r="AN29" s="652"/>
    </row>
    <row r="30" ht="15.75" customHeight="1">
      <c r="A30" s="653"/>
      <c r="B30" s="749" t="str">
        <f>IMAGE("https://i.ibb.co/G73DtfR/kingler.png",3)</f>
        <v/>
      </c>
      <c r="C30" s="655"/>
      <c r="D30" s="735"/>
      <c r="E30" s="750" t="str">
        <f>Source!$P$12</f>
        <v/>
      </c>
      <c r="F30" s="751" t="s">
        <v>1152</v>
      </c>
      <c r="G30" s="655"/>
      <c r="H30" s="655"/>
      <c r="I30" s="655"/>
      <c r="J30" s="655"/>
      <c r="K30" s="655"/>
      <c r="L30" s="655"/>
      <c r="M30" s="655"/>
      <c r="N30" s="738"/>
      <c r="O30" s="655"/>
      <c r="P30" s="655"/>
      <c r="Q30" s="692"/>
      <c r="R30" s="662"/>
      <c r="S30" s="752" t="str">
        <f>IMAGE("https://i.ibb.co/zm5gYV5/alt.png",3)</f>
        <v/>
      </c>
      <c r="T30" s="655"/>
      <c r="U30" s="740"/>
      <c r="V30" s="753" t="str">
        <f>Source!$P$7</f>
        <v/>
      </c>
      <c r="W30" s="754" t="s">
        <v>983</v>
      </c>
      <c r="X30" s="655"/>
      <c r="Y30" s="655"/>
      <c r="Z30" s="655"/>
      <c r="AA30" s="655"/>
      <c r="AB30" s="655"/>
      <c r="AC30" s="655"/>
      <c r="AD30" s="655"/>
      <c r="AE30" s="738"/>
      <c r="AF30" s="655"/>
      <c r="AG30" s="655"/>
      <c r="AH30" s="692"/>
      <c r="AI30" s="662"/>
      <c r="AJ30" s="668"/>
      <c r="AK30" s="668"/>
      <c r="AL30" s="668"/>
      <c r="AM30" s="668"/>
      <c r="AN30" s="668"/>
    </row>
    <row r="31" ht="19.5" customHeight="1">
      <c r="A31" s="653"/>
      <c r="B31" s="669"/>
      <c r="D31" s="744"/>
      <c r="E31" s="707" t="s">
        <v>1296</v>
      </c>
      <c r="F31" s="708"/>
      <c r="G31" s="708"/>
      <c r="H31" s="708"/>
      <c r="I31" s="708"/>
      <c r="J31" s="708"/>
      <c r="K31" s="708"/>
      <c r="L31" s="708"/>
      <c r="M31" s="708"/>
      <c r="N31" s="708"/>
      <c r="O31" s="708"/>
      <c r="P31" s="708"/>
      <c r="Q31" s="729"/>
      <c r="R31" s="662"/>
      <c r="S31" s="669"/>
      <c r="U31" s="746"/>
      <c r="V31" s="707" t="s">
        <v>1297</v>
      </c>
      <c r="W31" s="708"/>
      <c r="X31" s="708"/>
      <c r="Y31" s="708"/>
      <c r="Z31" s="708"/>
      <c r="AA31" s="708"/>
      <c r="AB31" s="708"/>
      <c r="AC31" s="708"/>
      <c r="AD31" s="708"/>
      <c r="AE31" s="708"/>
      <c r="AF31" s="708"/>
      <c r="AG31" s="708"/>
      <c r="AH31" s="729"/>
      <c r="AI31" s="662"/>
      <c r="AJ31" s="668"/>
      <c r="AK31" s="668"/>
      <c r="AL31" s="668"/>
      <c r="AM31" s="668"/>
      <c r="AN31" s="668"/>
    </row>
    <row r="32" ht="25.5" customHeight="1">
      <c r="A32" s="653"/>
      <c r="B32" s="673"/>
      <c r="C32" s="674"/>
      <c r="D32" s="747"/>
      <c r="E32" s="731"/>
      <c r="F32" s="732"/>
      <c r="G32" s="732"/>
      <c r="H32" s="732"/>
      <c r="I32" s="732"/>
      <c r="J32" s="732"/>
      <c r="K32" s="732"/>
      <c r="L32" s="732"/>
      <c r="M32" s="732"/>
      <c r="N32" s="732"/>
      <c r="O32" s="732"/>
      <c r="P32" s="732"/>
      <c r="Q32" s="733"/>
      <c r="R32" s="662"/>
      <c r="S32" s="673"/>
      <c r="T32" s="674"/>
      <c r="U32" s="748"/>
      <c r="V32" s="731"/>
      <c r="W32" s="732"/>
      <c r="X32" s="732"/>
      <c r="Y32" s="732"/>
      <c r="Z32" s="732"/>
      <c r="AA32" s="732"/>
      <c r="AB32" s="732"/>
      <c r="AC32" s="732"/>
      <c r="AD32" s="732"/>
      <c r="AE32" s="732"/>
      <c r="AF32" s="732"/>
      <c r="AG32" s="732"/>
      <c r="AH32" s="733"/>
      <c r="AI32" s="662"/>
      <c r="AJ32" s="668"/>
      <c r="AK32" s="668"/>
      <c r="AL32" s="668"/>
      <c r="AM32" s="668"/>
      <c r="AN32" s="668"/>
    </row>
    <row r="33" ht="2.25" customHeight="1">
      <c r="A33" s="677"/>
      <c r="B33" s="678"/>
      <c r="C33" s="678"/>
      <c r="D33" s="678"/>
      <c r="E33" s="678"/>
      <c r="F33" s="678"/>
      <c r="G33" s="678"/>
      <c r="H33" s="678"/>
      <c r="I33" s="678"/>
      <c r="J33" s="678"/>
      <c r="K33" s="678"/>
      <c r="L33" s="678"/>
      <c r="M33" s="678"/>
      <c r="N33" s="678"/>
      <c r="O33" s="678"/>
      <c r="P33" s="678"/>
      <c r="Q33" s="678"/>
      <c r="R33" s="679"/>
      <c r="S33" s="678"/>
      <c r="T33" s="678"/>
      <c r="U33" s="678"/>
      <c r="V33" s="678"/>
      <c r="W33" s="678"/>
      <c r="X33" s="678"/>
      <c r="Y33" s="678"/>
      <c r="Z33" s="678"/>
      <c r="AA33" s="678"/>
      <c r="AB33" s="678"/>
      <c r="AC33" s="678"/>
      <c r="AD33" s="678"/>
      <c r="AE33" s="678"/>
      <c r="AF33" s="678"/>
      <c r="AG33" s="678"/>
      <c r="AH33" s="678"/>
      <c r="AI33" s="679"/>
      <c r="AJ33" s="651"/>
      <c r="AK33" s="651"/>
      <c r="AL33" s="651"/>
      <c r="AM33" s="651"/>
      <c r="AN33" s="652"/>
    </row>
    <row r="34" ht="15.75" customHeight="1">
      <c r="A34" s="653"/>
      <c r="B34" s="755" t="str">
        <f>IMAGE("https://i.ibb.co/TwvqB5P/dred.png",3)</f>
        <v/>
      </c>
      <c r="C34" s="655"/>
      <c r="D34" s="735"/>
      <c r="E34" s="756" t="str">
        <f>Source!$P$2</f>
        <v/>
      </c>
      <c r="F34" s="757" t="s">
        <v>1067</v>
      </c>
      <c r="G34" s="655"/>
      <c r="H34" s="655"/>
      <c r="I34" s="655"/>
      <c r="J34" s="655"/>
      <c r="K34" s="655"/>
      <c r="L34" s="655"/>
      <c r="M34" s="655"/>
      <c r="N34" s="758"/>
      <c r="O34" s="655"/>
      <c r="P34" s="655"/>
      <c r="Q34" s="692"/>
      <c r="R34" s="662"/>
      <c r="S34" s="759" t="str">
        <f>IMAGE("https://i.ibb.co/P1c6JsD/shark.png",3)</f>
        <v/>
      </c>
      <c r="T34" s="655"/>
      <c r="U34" s="740"/>
      <c r="V34" s="760" t="str">
        <f>Source!$P$43</f>
        <v/>
      </c>
      <c r="W34" s="761" t="s">
        <v>988</v>
      </c>
      <c r="X34" s="655"/>
      <c r="Y34" s="655"/>
      <c r="Z34" s="655"/>
      <c r="AA34" s="655"/>
      <c r="AB34" s="655"/>
      <c r="AC34" s="655"/>
      <c r="AD34" s="655"/>
      <c r="AE34" s="762"/>
      <c r="AF34" s="655"/>
      <c r="AG34" s="655"/>
      <c r="AH34" s="692"/>
      <c r="AI34" s="662"/>
      <c r="AJ34" s="668"/>
      <c r="AK34" s="668"/>
      <c r="AL34" s="668"/>
      <c r="AM34" s="668"/>
      <c r="AN34" s="668"/>
    </row>
    <row r="35" ht="19.5" customHeight="1">
      <c r="A35" s="653"/>
      <c r="B35" s="669"/>
      <c r="D35" s="744"/>
      <c r="E35" s="707" t="s">
        <v>1298</v>
      </c>
      <c r="F35" s="708"/>
      <c r="G35" s="708"/>
      <c r="H35" s="708"/>
      <c r="I35" s="708"/>
      <c r="J35" s="708"/>
      <c r="K35" s="708"/>
      <c r="L35" s="708"/>
      <c r="M35" s="708"/>
      <c r="N35" s="708"/>
      <c r="O35" s="708"/>
      <c r="P35" s="708"/>
      <c r="Q35" s="729"/>
      <c r="R35" s="662"/>
      <c r="S35" s="669"/>
      <c r="U35" s="746"/>
      <c r="V35" s="707" t="s">
        <v>1299</v>
      </c>
      <c r="W35" s="708"/>
      <c r="X35" s="708"/>
      <c r="Y35" s="708"/>
      <c r="Z35" s="708"/>
      <c r="AA35" s="708"/>
      <c r="AB35" s="708"/>
      <c r="AC35" s="708"/>
      <c r="AD35" s="708"/>
      <c r="AE35" s="708"/>
      <c r="AF35" s="708"/>
      <c r="AG35" s="708"/>
      <c r="AH35" s="729"/>
      <c r="AI35" s="662"/>
      <c r="AJ35" s="668"/>
      <c r="AK35" s="668"/>
      <c r="AL35" s="668"/>
      <c r="AM35" s="668"/>
      <c r="AN35" s="668"/>
    </row>
    <row r="36" ht="25.5" customHeight="1">
      <c r="A36" s="653"/>
      <c r="B36" s="673"/>
      <c r="C36" s="674"/>
      <c r="D36" s="747"/>
      <c r="E36" s="731"/>
      <c r="F36" s="732"/>
      <c r="G36" s="732"/>
      <c r="H36" s="732"/>
      <c r="I36" s="732"/>
      <c r="J36" s="732"/>
      <c r="K36" s="732"/>
      <c r="L36" s="732"/>
      <c r="M36" s="732"/>
      <c r="N36" s="732"/>
      <c r="O36" s="732"/>
      <c r="P36" s="732"/>
      <c r="Q36" s="733"/>
      <c r="R36" s="662"/>
      <c r="S36" s="673"/>
      <c r="T36" s="674"/>
      <c r="U36" s="748"/>
      <c r="V36" s="731"/>
      <c r="W36" s="732"/>
      <c r="X36" s="732"/>
      <c r="Y36" s="732"/>
      <c r="Z36" s="732"/>
      <c r="AA36" s="732"/>
      <c r="AB36" s="732"/>
      <c r="AC36" s="732"/>
      <c r="AD36" s="732"/>
      <c r="AE36" s="732"/>
      <c r="AF36" s="732"/>
      <c r="AG36" s="732"/>
      <c r="AH36" s="733"/>
      <c r="AI36" s="662"/>
      <c r="AJ36" s="668"/>
      <c r="AK36" s="668"/>
      <c r="AL36" s="668"/>
      <c r="AM36" s="668"/>
      <c r="AN36" s="668"/>
    </row>
    <row r="37" ht="2.25" customHeight="1">
      <c r="A37" s="677"/>
      <c r="B37" s="678"/>
      <c r="C37" s="678"/>
      <c r="D37" s="678"/>
      <c r="E37" s="678"/>
      <c r="F37" s="678"/>
      <c r="G37" s="678"/>
      <c r="H37" s="678"/>
      <c r="I37" s="678"/>
      <c r="J37" s="678"/>
      <c r="K37" s="678"/>
      <c r="L37" s="678"/>
      <c r="M37" s="678"/>
      <c r="N37" s="678"/>
      <c r="O37" s="678"/>
      <c r="P37" s="678"/>
      <c r="Q37" s="678"/>
      <c r="R37" s="679"/>
      <c r="S37" s="678"/>
      <c r="T37" s="678"/>
      <c r="U37" s="678"/>
      <c r="V37" s="678"/>
      <c r="W37" s="678"/>
      <c r="X37" s="678"/>
      <c r="Y37" s="678"/>
      <c r="Z37" s="678"/>
      <c r="AA37" s="678"/>
      <c r="AB37" s="678"/>
      <c r="AC37" s="678"/>
      <c r="AD37" s="678"/>
      <c r="AE37" s="678"/>
      <c r="AF37" s="678"/>
      <c r="AG37" s="678"/>
      <c r="AH37" s="678"/>
      <c r="AI37" s="679"/>
      <c r="AJ37" s="651"/>
      <c r="AK37" s="651"/>
      <c r="AL37" s="651"/>
      <c r="AM37" s="651"/>
      <c r="AN37" s="652"/>
    </row>
    <row r="38" ht="15.75" customHeight="1">
      <c r="A38" s="653"/>
      <c r="B38" s="763" t="str">
        <f>IMAGE("https://i.ibb.co/4Wq7XxD/tox.png",3)</f>
        <v/>
      </c>
      <c r="C38" s="655"/>
      <c r="D38" s="735"/>
      <c r="E38" s="764" t="str">
        <f>Source!$P$10</f>
        <v/>
      </c>
      <c r="F38" s="765" t="s">
        <v>1025</v>
      </c>
      <c r="G38" s="655"/>
      <c r="H38" s="655"/>
      <c r="I38" s="655"/>
      <c r="J38" s="655"/>
      <c r="K38" s="655"/>
      <c r="L38" s="655"/>
      <c r="M38" s="655"/>
      <c r="N38" s="766"/>
      <c r="O38" s="655"/>
      <c r="P38" s="655"/>
      <c r="Q38" s="692"/>
      <c r="R38" s="662"/>
      <c r="S38" s="767" t="str">
        <f>IMAGE("https://i.ibb.co/2KyJ934/hera.png",3)</f>
        <v/>
      </c>
      <c r="T38" s="655"/>
      <c r="U38" s="740"/>
      <c r="V38" s="768" t="str">
        <f>Source!$P$24</f>
        <v/>
      </c>
      <c r="W38" s="769" t="s">
        <v>1039</v>
      </c>
      <c r="X38" s="655"/>
      <c r="Y38" s="655"/>
      <c r="Z38" s="655"/>
      <c r="AA38" s="655"/>
      <c r="AB38" s="655"/>
      <c r="AC38" s="655"/>
      <c r="AD38" s="655"/>
      <c r="AE38" s="770"/>
      <c r="AF38" s="655"/>
      <c r="AG38" s="655"/>
      <c r="AH38" s="692"/>
      <c r="AI38" s="662"/>
      <c r="AJ38" s="668"/>
      <c r="AK38" s="668"/>
      <c r="AL38" s="668"/>
      <c r="AM38" s="668"/>
      <c r="AN38" s="668"/>
    </row>
    <row r="39" ht="19.5" customHeight="1">
      <c r="A39" s="653"/>
      <c r="B39" s="669"/>
      <c r="D39" s="744"/>
      <c r="E39" s="707" t="s">
        <v>1300</v>
      </c>
      <c r="F39" s="708"/>
      <c r="G39" s="708"/>
      <c r="H39" s="708"/>
      <c r="I39" s="708"/>
      <c r="J39" s="708"/>
      <c r="K39" s="708"/>
      <c r="L39" s="708"/>
      <c r="M39" s="708"/>
      <c r="N39" s="708"/>
      <c r="O39" s="708"/>
      <c r="P39" s="708"/>
      <c r="Q39" s="729"/>
      <c r="R39" s="662"/>
      <c r="S39" s="669"/>
      <c r="U39" s="746"/>
      <c r="V39" s="707" t="s">
        <v>1301</v>
      </c>
      <c r="W39" s="708"/>
      <c r="X39" s="708"/>
      <c r="Y39" s="708"/>
      <c r="Z39" s="708"/>
      <c r="AA39" s="708"/>
      <c r="AB39" s="708"/>
      <c r="AC39" s="708"/>
      <c r="AD39" s="708"/>
      <c r="AE39" s="708"/>
      <c r="AF39" s="708"/>
      <c r="AG39" s="708"/>
      <c r="AH39" s="729"/>
      <c r="AI39" s="662"/>
      <c r="AJ39" s="668"/>
      <c r="AK39" s="668"/>
      <c r="AL39" s="668"/>
      <c r="AM39" s="668"/>
      <c r="AN39" s="668"/>
    </row>
    <row r="40" ht="25.5" customHeight="1">
      <c r="A40" s="653"/>
      <c r="B40" s="673"/>
      <c r="C40" s="674"/>
      <c r="D40" s="747"/>
      <c r="E40" s="731"/>
      <c r="F40" s="732"/>
      <c r="G40" s="732"/>
      <c r="H40" s="732"/>
      <c r="I40" s="732"/>
      <c r="J40" s="732"/>
      <c r="K40" s="732"/>
      <c r="L40" s="732"/>
      <c r="M40" s="732"/>
      <c r="N40" s="732"/>
      <c r="O40" s="732"/>
      <c r="P40" s="732"/>
      <c r="Q40" s="733"/>
      <c r="R40" s="662"/>
      <c r="S40" s="673"/>
      <c r="T40" s="674"/>
      <c r="U40" s="748"/>
      <c r="V40" s="731"/>
      <c r="W40" s="732"/>
      <c r="X40" s="732"/>
      <c r="Y40" s="732"/>
      <c r="Z40" s="732"/>
      <c r="AA40" s="732"/>
      <c r="AB40" s="732"/>
      <c r="AC40" s="732"/>
      <c r="AD40" s="732"/>
      <c r="AE40" s="732"/>
      <c r="AF40" s="732"/>
      <c r="AG40" s="732"/>
      <c r="AH40" s="733"/>
      <c r="AI40" s="662"/>
      <c r="AJ40" s="668"/>
      <c r="AK40" s="668"/>
      <c r="AL40" s="668"/>
      <c r="AM40" s="668"/>
      <c r="AN40" s="668"/>
    </row>
    <row r="41" ht="2.25" customHeight="1">
      <c r="A41" s="677"/>
      <c r="B41" s="678"/>
      <c r="C41" s="678"/>
      <c r="D41" s="678"/>
      <c r="E41" s="678"/>
      <c r="F41" s="678"/>
      <c r="G41" s="678"/>
      <c r="H41" s="678"/>
      <c r="I41" s="678"/>
      <c r="J41" s="678"/>
      <c r="K41" s="678"/>
      <c r="L41" s="678"/>
      <c r="M41" s="678"/>
      <c r="N41" s="678"/>
      <c r="O41" s="678"/>
      <c r="P41" s="678"/>
      <c r="Q41" s="678"/>
      <c r="R41" s="679"/>
      <c r="S41" s="678"/>
      <c r="T41" s="678"/>
      <c r="U41" s="678"/>
      <c r="V41" s="678"/>
      <c r="W41" s="678"/>
      <c r="X41" s="678"/>
      <c r="Y41" s="678"/>
      <c r="Z41" s="678"/>
      <c r="AA41" s="678"/>
      <c r="AB41" s="678"/>
      <c r="AC41" s="678"/>
      <c r="AD41" s="678"/>
      <c r="AE41" s="678"/>
      <c r="AF41" s="678"/>
      <c r="AG41" s="678"/>
      <c r="AH41" s="678"/>
      <c r="AI41" s="679"/>
      <c r="AJ41" s="651"/>
      <c r="AK41" s="651"/>
      <c r="AL41" s="651"/>
      <c r="AM41" s="651"/>
      <c r="AN41" s="652"/>
    </row>
    <row r="42" ht="15.75" customHeight="1">
      <c r="A42" s="653"/>
      <c r="B42" s="771" t="str">
        <f>IMAGE("https://i.ibb.co/DbZDM6h/lop.png",3)</f>
        <v/>
      </c>
      <c r="C42" s="655"/>
      <c r="D42" s="735"/>
      <c r="E42" s="772" t="str">
        <f>Source!$P$29</f>
        <v/>
      </c>
      <c r="F42" s="773" t="s">
        <v>1056</v>
      </c>
      <c r="G42" s="655"/>
      <c r="H42" s="655"/>
      <c r="I42" s="655"/>
      <c r="J42" s="655"/>
      <c r="K42" s="655"/>
      <c r="L42" s="655"/>
      <c r="M42" s="655"/>
      <c r="N42" s="774"/>
      <c r="O42" s="655"/>
      <c r="P42" s="655"/>
      <c r="Q42" s="692"/>
      <c r="R42" s="662"/>
      <c r="S42" s="775" t="str">
        <f>IMAGE("https://i.ibb.co/BccyVBR/pidg.png",3)</f>
        <v/>
      </c>
      <c r="T42" s="655"/>
      <c r="U42" s="740"/>
      <c r="V42" s="776" t="str">
        <f>Source!$P$37</f>
        <v/>
      </c>
      <c r="W42" s="777" t="s">
        <v>1047</v>
      </c>
      <c r="X42" s="655"/>
      <c r="Y42" s="655"/>
      <c r="Z42" s="655"/>
      <c r="AA42" s="655"/>
      <c r="AB42" s="655"/>
      <c r="AC42" s="655"/>
      <c r="AD42" s="655"/>
      <c r="AE42" s="778"/>
      <c r="AF42" s="655"/>
      <c r="AG42" s="655"/>
      <c r="AH42" s="692"/>
      <c r="AI42" s="662"/>
      <c r="AJ42" s="668"/>
      <c r="AK42" s="668"/>
      <c r="AL42" s="668"/>
      <c r="AM42" s="668"/>
      <c r="AN42" s="668"/>
    </row>
    <row r="43" ht="19.5" customHeight="1">
      <c r="A43" s="653"/>
      <c r="B43" s="669"/>
      <c r="D43" s="744"/>
      <c r="E43" s="707" t="s">
        <v>1302</v>
      </c>
      <c r="F43" s="708"/>
      <c r="G43" s="708"/>
      <c r="H43" s="708"/>
      <c r="I43" s="708"/>
      <c r="J43" s="708"/>
      <c r="K43" s="708"/>
      <c r="L43" s="708"/>
      <c r="M43" s="708"/>
      <c r="N43" s="708"/>
      <c r="O43" s="708"/>
      <c r="P43" s="708"/>
      <c r="Q43" s="729"/>
      <c r="R43" s="662"/>
      <c r="S43" s="669"/>
      <c r="U43" s="746"/>
      <c r="V43" s="707" t="s">
        <v>1303</v>
      </c>
      <c r="W43" s="708"/>
      <c r="X43" s="708"/>
      <c r="Y43" s="708"/>
      <c r="Z43" s="708"/>
      <c r="AA43" s="708"/>
      <c r="AB43" s="708"/>
      <c r="AC43" s="708"/>
      <c r="AD43" s="708"/>
      <c r="AE43" s="708"/>
      <c r="AF43" s="708"/>
      <c r="AG43" s="708"/>
      <c r="AH43" s="729"/>
      <c r="AI43" s="662"/>
      <c r="AJ43" s="668"/>
      <c r="AK43" s="668"/>
      <c r="AL43" s="668"/>
      <c r="AM43" s="668"/>
      <c r="AN43" s="668"/>
    </row>
    <row r="44" ht="25.5" customHeight="1">
      <c r="A44" s="653"/>
      <c r="B44" s="673"/>
      <c r="C44" s="674"/>
      <c r="D44" s="747"/>
      <c r="E44" s="731"/>
      <c r="F44" s="732"/>
      <c r="G44" s="732"/>
      <c r="H44" s="732"/>
      <c r="I44" s="732"/>
      <c r="J44" s="732"/>
      <c r="K44" s="732"/>
      <c r="L44" s="732"/>
      <c r="M44" s="732"/>
      <c r="N44" s="732"/>
      <c r="O44" s="732"/>
      <c r="P44" s="732"/>
      <c r="Q44" s="733"/>
      <c r="R44" s="662"/>
      <c r="S44" s="673"/>
      <c r="T44" s="674"/>
      <c r="U44" s="748"/>
      <c r="V44" s="731"/>
      <c r="W44" s="732"/>
      <c r="X44" s="732"/>
      <c r="Y44" s="732"/>
      <c r="Z44" s="732"/>
      <c r="AA44" s="732"/>
      <c r="AB44" s="732"/>
      <c r="AC44" s="732"/>
      <c r="AD44" s="732"/>
      <c r="AE44" s="732"/>
      <c r="AF44" s="732"/>
      <c r="AG44" s="732"/>
      <c r="AH44" s="733"/>
      <c r="AI44" s="662"/>
      <c r="AJ44" s="668"/>
      <c r="AK44" s="668"/>
      <c r="AL44" s="668"/>
      <c r="AM44" s="668"/>
      <c r="AN44" s="668"/>
    </row>
    <row r="45" ht="2.25" customHeight="1">
      <c r="A45" s="677"/>
      <c r="B45" s="678"/>
      <c r="C45" s="678"/>
      <c r="D45" s="678"/>
      <c r="E45" s="678"/>
      <c r="F45" s="678"/>
      <c r="G45" s="678"/>
      <c r="H45" s="678"/>
      <c r="I45" s="678"/>
      <c r="J45" s="678"/>
      <c r="K45" s="678"/>
      <c r="L45" s="678"/>
      <c r="M45" s="678"/>
      <c r="N45" s="678"/>
      <c r="O45" s="678"/>
      <c r="P45" s="678"/>
      <c r="Q45" s="678"/>
      <c r="R45" s="679"/>
      <c r="S45" s="678"/>
      <c r="T45" s="678"/>
      <c r="U45" s="678"/>
      <c r="V45" s="678"/>
      <c r="W45" s="678"/>
      <c r="X45" s="678"/>
      <c r="Y45" s="678"/>
      <c r="Z45" s="678"/>
      <c r="AA45" s="678"/>
      <c r="AB45" s="678"/>
      <c r="AC45" s="678"/>
      <c r="AD45" s="678"/>
      <c r="AE45" s="678"/>
      <c r="AF45" s="678"/>
      <c r="AG45" s="678"/>
      <c r="AH45" s="678"/>
      <c r="AI45" s="679"/>
      <c r="AJ45" s="651"/>
      <c r="AK45" s="651"/>
      <c r="AL45" s="651"/>
      <c r="AM45" s="651"/>
      <c r="AN45" s="652"/>
    </row>
    <row r="46" ht="15.75" customHeight="1">
      <c r="A46" s="653"/>
      <c r="B46" s="779" t="str">
        <f>IMAGE("https://i.ibb.co/LZb7z65/bee.png",3)</f>
        <v/>
      </c>
      <c r="C46" s="655"/>
      <c r="D46" s="735"/>
      <c r="E46" s="780" t="str">
        <f>Source!$P$11</f>
        <v/>
      </c>
      <c r="F46" s="781" t="s">
        <v>1304</v>
      </c>
      <c r="G46" s="655"/>
      <c r="H46" s="655"/>
      <c r="I46" s="655"/>
      <c r="J46" s="655"/>
      <c r="K46" s="655"/>
      <c r="L46" s="655"/>
      <c r="M46" s="655"/>
      <c r="N46" s="782"/>
      <c r="O46" s="655"/>
      <c r="P46" s="655"/>
      <c r="Q46" s="692"/>
      <c r="R46" s="662"/>
      <c r="S46" s="783" t="str">
        <f>IMAGE("https://i.ibb.co/23wG4BH/glal.png",3)</f>
        <v/>
      </c>
      <c r="T46" s="655"/>
      <c r="U46" s="740"/>
      <c r="V46" s="784" t="str">
        <f>Source!$P$22</f>
        <v/>
      </c>
      <c r="W46" s="785" t="s">
        <v>1070</v>
      </c>
      <c r="X46" s="655"/>
      <c r="Y46" s="655"/>
      <c r="Z46" s="655"/>
      <c r="AA46" s="655"/>
      <c r="AB46" s="655"/>
      <c r="AC46" s="655"/>
      <c r="AD46" s="655"/>
      <c r="AE46" s="786"/>
      <c r="AF46" s="655"/>
      <c r="AG46" s="655"/>
      <c r="AH46" s="692"/>
      <c r="AI46" s="662"/>
      <c r="AJ46" s="668"/>
      <c r="AK46" s="668"/>
      <c r="AL46" s="668"/>
      <c r="AM46" s="668"/>
      <c r="AN46" s="668"/>
    </row>
    <row r="47" ht="19.5" customHeight="1">
      <c r="A47" s="653"/>
      <c r="B47" s="669"/>
      <c r="D47" s="744"/>
      <c r="E47" s="707" t="s">
        <v>1305</v>
      </c>
      <c r="F47" s="708"/>
      <c r="G47" s="708"/>
      <c r="H47" s="708"/>
      <c r="I47" s="708"/>
      <c r="J47" s="708"/>
      <c r="K47" s="708"/>
      <c r="L47" s="708"/>
      <c r="M47" s="708"/>
      <c r="N47" s="708"/>
      <c r="O47" s="708"/>
      <c r="P47" s="708"/>
      <c r="Q47" s="729"/>
      <c r="R47" s="662"/>
      <c r="S47" s="669"/>
      <c r="U47" s="746"/>
      <c r="V47" s="707" t="s">
        <v>1306</v>
      </c>
      <c r="W47" s="708"/>
      <c r="X47" s="708"/>
      <c r="Y47" s="708"/>
      <c r="Z47" s="708"/>
      <c r="AA47" s="708"/>
      <c r="AB47" s="708"/>
      <c r="AC47" s="708"/>
      <c r="AD47" s="708"/>
      <c r="AE47" s="708"/>
      <c r="AF47" s="708"/>
      <c r="AG47" s="708"/>
      <c r="AH47" s="729"/>
      <c r="AI47" s="662"/>
      <c r="AJ47" s="668"/>
      <c r="AK47" s="668"/>
      <c r="AL47" s="668"/>
      <c r="AM47" s="668"/>
      <c r="AN47" s="668"/>
    </row>
    <row r="48" ht="25.5" customHeight="1">
      <c r="A48" s="653"/>
      <c r="B48" s="673"/>
      <c r="C48" s="674"/>
      <c r="D48" s="747"/>
      <c r="E48" s="731"/>
      <c r="F48" s="732"/>
      <c r="G48" s="732"/>
      <c r="H48" s="732"/>
      <c r="I48" s="732"/>
      <c r="J48" s="732"/>
      <c r="K48" s="732"/>
      <c r="L48" s="732"/>
      <c r="M48" s="732"/>
      <c r="N48" s="732"/>
      <c r="O48" s="732"/>
      <c r="P48" s="732"/>
      <c r="Q48" s="733"/>
      <c r="R48" s="662"/>
      <c r="S48" s="673"/>
      <c r="T48" s="674"/>
      <c r="U48" s="748"/>
      <c r="V48" s="731"/>
      <c r="W48" s="732"/>
      <c r="X48" s="732"/>
      <c r="Y48" s="732"/>
      <c r="Z48" s="732"/>
      <c r="AA48" s="732"/>
      <c r="AB48" s="732"/>
      <c r="AC48" s="732"/>
      <c r="AD48" s="732"/>
      <c r="AE48" s="732"/>
      <c r="AF48" s="732"/>
      <c r="AG48" s="732"/>
      <c r="AH48" s="733"/>
      <c r="AI48" s="662"/>
      <c r="AJ48" s="668"/>
      <c r="AK48" s="668"/>
      <c r="AL48" s="668"/>
      <c r="AM48" s="668"/>
      <c r="AN48" s="668"/>
    </row>
    <row r="49" ht="2.25" customHeight="1">
      <c r="A49" s="677"/>
      <c r="B49" s="678"/>
      <c r="C49" s="678"/>
      <c r="D49" s="678"/>
      <c r="E49" s="678"/>
      <c r="F49" s="678"/>
      <c r="G49" s="678"/>
      <c r="H49" s="678"/>
      <c r="I49" s="678"/>
      <c r="J49" s="678"/>
      <c r="K49" s="678"/>
      <c r="L49" s="678"/>
      <c r="M49" s="678"/>
      <c r="N49" s="678"/>
      <c r="O49" s="678"/>
      <c r="P49" s="678"/>
      <c r="Q49" s="678"/>
      <c r="R49" s="679"/>
      <c r="S49" s="678"/>
      <c r="T49" s="678"/>
      <c r="U49" s="678"/>
      <c r="V49" s="678"/>
      <c r="W49" s="678"/>
      <c r="X49" s="678"/>
      <c r="Y49" s="678"/>
      <c r="Z49" s="678"/>
      <c r="AA49" s="678"/>
      <c r="AB49" s="678"/>
      <c r="AC49" s="678"/>
      <c r="AD49" s="678"/>
      <c r="AE49" s="678"/>
      <c r="AF49" s="678"/>
      <c r="AG49" s="678"/>
      <c r="AH49" s="678"/>
      <c r="AI49" s="679"/>
      <c r="AJ49" s="651"/>
      <c r="AK49" s="651"/>
      <c r="AL49" s="651"/>
      <c r="AM49" s="651"/>
      <c r="AN49" s="652"/>
    </row>
    <row r="50" ht="15.75" customHeight="1">
      <c r="A50" s="653"/>
      <c r="B50" s="739" t="str">
        <f>IMAGE("https://i.ibb.co/jV5XcKc/obama.png",3)</f>
        <v/>
      </c>
      <c r="C50" s="655"/>
      <c r="D50" s="740"/>
      <c r="E50" s="741" t="str">
        <f>Source!$P$2</f>
        <v/>
      </c>
      <c r="F50" s="742" t="s">
        <v>1080</v>
      </c>
      <c r="G50" s="655"/>
      <c r="H50" s="655"/>
      <c r="I50" s="655"/>
      <c r="J50" s="655"/>
      <c r="K50" s="655"/>
      <c r="L50" s="655"/>
      <c r="M50" s="655"/>
      <c r="N50" s="787"/>
      <c r="O50" s="655"/>
      <c r="P50" s="655"/>
      <c r="Q50" s="692"/>
      <c r="R50" s="662"/>
      <c r="S50" s="788" t="str">
        <f>IMAGE("https://i.ibb.co/r5vJmQC/lapras.png",3)</f>
        <v/>
      </c>
      <c r="T50" s="655"/>
      <c r="U50" s="740"/>
      <c r="V50" s="789" t="str">
        <f>Source!$P$46</f>
        <v/>
      </c>
      <c r="W50" s="790" t="s">
        <v>1078</v>
      </c>
      <c r="X50" s="655"/>
      <c r="Y50" s="655"/>
      <c r="Z50" s="655"/>
      <c r="AA50" s="655"/>
      <c r="AB50" s="655"/>
      <c r="AC50" s="655"/>
      <c r="AD50" s="655"/>
      <c r="AE50" s="791"/>
      <c r="AF50" s="655"/>
      <c r="AG50" s="655"/>
      <c r="AH50" s="692"/>
      <c r="AI50" s="662"/>
      <c r="AJ50" s="668"/>
      <c r="AK50" s="668"/>
      <c r="AL50" s="668"/>
      <c r="AM50" s="668"/>
      <c r="AN50" s="668"/>
    </row>
    <row r="51" ht="19.5" customHeight="1">
      <c r="A51" s="653"/>
      <c r="B51" s="669"/>
      <c r="D51" s="746"/>
      <c r="E51" s="707" t="s">
        <v>1307</v>
      </c>
      <c r="F51" s="708"/>
      <c r="G51" s="708"/>
      <c r="H51" s="708"/>
      <c r="I51" s="708"/>
      <c r="J51" s="708"/>
      <c r="K51" s="708"/>
      <c r="L51" s="708"/>
      <c r="M51" s="708"/>
      <c r="N51" s="708"/>
      <c r="O51" s="708"/>
      <c r="P51" s="708"/>
      <c r="Q51" s="729"/>
      <c r="R51" s="662"/>
      <c r="S51" s="669"/>
      <c r="U51" s="746"/>
      <c r="V51" s="707" t="s">
        <v>1308</v>
      </c>
      <c r="W51" s="708"/>
      <c r="X51" s="708"/>
      <c r="Y51" s="708"/>
      <c r="Z51" s="708"/>
      <c r="AA51" s="708"/>
      <c r="AB51" s="708"/>
      <c r="AC51" s="708"/>
      <c r="AD51" s="708"/>
      <c r="AE51" s="708"/>
      <c r="AF51" s="708"/>
      <c r="AG51" s="708"/>
      <c r="AH51" s="729"/>
      <c r="AI51" s="662"/>
      <c r="AJ51" s="668"/>
      <c r="AK51" s="668"/>
      <c r="AL51" s="668"/>
      <c r="AM51" s="668"/>
      <c r="AN51" s="668"/>
    </row>
    <row r="52" ht="25.5" customHeight="1">
      <c r="A52" s="653"/>
      <c r="B52" s="673"/>
      <c r="C52" s="674"/>
      <c r="D52" s="748"/>
      <c r="E52" s="731"/>
      <c r="F52" s="732"/>
      <c r="G52" s="732"/>
      <c r="H52" s="732"/>
      <c r="I52" s="732"/>
      <c r="J52" s="732"/>
      <c r="K52" s="732"/>
      <c r="L52" s="732"/>
      <c r="M52" s="732"/>
      <c r="N52" s="732"/>
      <c r="O52" s="732"/>
      <c r="P52" s="732"/>
      <c r="Q52" s="733"/>
      <c r="R52" s="662"/>
      <c r="S52" s="673"/>
      <c r="T52" s="674"/>
      <c r="U52" s="748"/>
      <c r="V52" s="731"/>
      <c r="W52" s="732"/>
      <c r="X52" s="732"/>
      <c r="Y52" s="732"/>
      <c r="Z52" s="732"/>
      <c r="AA52" s="732"/>
      <c r="AB52" s="732"/>
      <c r="AC52" s="732"/>
      <c r="AD52" s="732"/>
      <c r="AE52" s="732"/>
      <c r="AF52" s="732"/>
      <c r="AG52" s="732"/>
      <c r="AH52" s="733"/>
      <c r="AI52" s="662"/>
      <c r="AJ52" s="668"/>
      <c r="AK52" s="668"/>
      <c r="AL52" s="668"/>
      <c r="AM52" s="668"/>
      <c r="AN52" s="668"/>
    </row>
    <row r="53" ht="2.25" customHeight="1">
      <c r="A53" s="677"/>
      <c r="B53" s="678"/>
      <c r="C53" s="678"/>
      <c r="D53" s="678"/>
      <c r="E53" s="678"/>
      <c r="F53" s="678"/>
      <c r="G53" s="678"/>
      <c r="H53" s="678"/>
      <c r="I53" s="678"/>
      <c r="J53" s="678"/>
      <c r="K53" s="678"/>
      <c r="L53" s="678"/>
      <c r="M53" s="678"/>
      <c r="N53" s="678"/>
      <c r="O53" s="678"/>
      <c r="P53" s="678"/>
      <c r="Q53" s="678"/>
      <c r="R53" s="679"/>
      <c r="S53" s="678"/>
      <c r="T53" s="678"/>
      <c r="U53" s="678"/>
      <c r="V53" s="678"/>
      <c r="W53" s="678"/>
      <c r="X53" s="678"/>
      <c r="Y53" s="678"/>
      <c r="Z53" s="678"/>
      <c r="AA53" s="678"/>
      <c r="AB53" s="678"/>
      <c r="AC53" s="678"/>
      <c r="AD53" s="678"/>
      <c r="AE53" s="678"/>
      <c r="AF53" s="678"/>
      <c r="AG53" s="678"/>
      <c r="AH53" s="678"/>
      <c r="AI53" s="679"/>
      <c r="AJ53" s="651"/>
      <c r="AK53" s="651"/>
      <c r="AL53" s="651"/>
      <c r="AM53" s="651"/>
      <c r="AN53" s="652"/>
    </row>
    <row r="54" ht="15.75" customHeight="1">
      <c r="A54" s="653"/>
      <c r="B54" s="792" t="str">
        <f>IMAGE("https://i.ibb.co/9hfp7Wf/medi.png",3)</f>
        <v/>
      </c>
      <c r="C54" s="655"/>
      <c r="D54" s="735"/>
      <c r="E54" s="793" t="str">
        <f>Source!$P$33</f>
        <v/>
      </c>
      <c r="F54" s="794" t="s">
        <v>1092</v>
      </c>
      <c r="G54" s="655"/>
      <c r="H54" s="655"/>
      <c r="I54" s="655"/>
      <c r="J54" s="655"/>
      <c r="K54" s="655"/>
      <c r="L54" s="655"/>
      <c r="M54" s="655"/>
      <c r="N54" s="795"/>
      <c r="O54" s="655"/>
      <c r="P54" s="655"/>
      <c r="Q54" s="692"/>
      <c r="R54" s="662"/>
      <c r="S54" s="739" t="str">
        <f>IMAGE("https://i.ibb.co/fvP0STH/agg.png",3)</f>
        <v/>
      </c>
      <c r="T54" s="655"/>
      <c r="U54" s="740"/>
      <c r="V54" s="741" t="str">
        <f>Source!$P$5</f>
        <v/>
      </c>
      <c r="W54" s="742" t="s">
        <v>1110</v>
      </c>
      <c r="X54" s="655"/>
      <c r="Y54" s="655"/>
      <c r="Z54" s="655"/>
      <c r="AA54" s="655"/>
      <c r="AB54" s="655"/>
      <c r="AC54" s="655"/>
      <c r="AD54" s="655"/>
      <c r="AE54" s="796"/>
      <c r="AF54" s="655"/>
      <c r="AG54" s="655"/>
      <c r="AH54" s="692"/>
      <c r="AI54" s="662"/>
      <c r="AJ54" s="668"/>
      <c r="AK54" s="668"/>
      <c r="AL54" s="668"/>
      <c r="AM54" s="668"/>
      <c r="AN54" s="668"/>
    </row>
    <row r="55" ht="19.5" customHeight="1">
      <c r="A55" s="653"/>
      <c r="B55" s="669"/>
      <c r="D55" s="744"/>
      <c r="E55" s="707" t="s">
        <v>1309</v>
      </c>
      <c r="F55" s="708"/>
      <c r="G55" s="708"/>
      <c r="H55" s="708"/>
      <c r="I55" s="708"/>
      <c r="J55" s="708"/>
      <c r="K55" s="708"/>
      <c r="L55" s="708"/>
      <c r="M55" s="708"/>
      <c r="N55" s="708"/>
      <c r="O55" s="708"/>
      <c r="P55" s="708"/>
      <c r="Q55" s="729"/>
      <c r="R55" s="662"/>
      <c r="S55" s="669"/>
      <c r="U55" s="746"/>
      <c r="V55" s="707" t="s">
        <v>1310</v>
      </c>
      <c r="W55" s="708"/>
      <c r="X55" s="708"/>
      <c r="Y55" s="708"/>
      <c r="Z55" s="708"/>
      <c r="AA55" s="708"/>
      <c r="AB55" s="708"/>
      <c r="AC55" s="708"/>
      <c r="AD55" s="708"/>
      <c r="AE55" s="708"/>
      <c r="AF55" s="708"/>
      <c r="AG55" s="708"/>
      <c r="AH55" s="729"/>
      <c r="AI55" s="662"/>
      <c r="AJ55" s="668"/>
      <c r="AK55" s="668"/>
      <c r="AL55" s="668"/>
      <c r="AM55" s="668"/>
      <c r="AN55" s="668"/>
    </row>
    <row r="56" ht="25.5" customHeight="1">
      <c r="A56" s="653"/>
      <c r="B56" s="673"/>
      <c r="C56" s="674"/>
      <c r="D56" s="747"/>
      <c r="E56" s="731"/>
      <c r="F56" s="732"/>
      <c r="G56" s="732"/>
      <c r="H56" s="732"/>
      <c r="I56" s="732"/>
      <c r="J56" s="732"/>
      <c r="K56" s="732"/>
      <c r="L56" s="732"/>
      <c r="M56" s="732"/>
      <c r="N56" s="732"/>
      <c r="O56" s="732"/>
      <c r="P56" s="732"/>
      <c r="Q56" s="733"/>
      <c r="R56" s="662"/>
      <c r="S56" s="673"/>
      <c r="T56" s="674"/>
      <c r="U56" s="748"/>
      <c r="V56" s="731"/>
      <c r="W56" s="732"/>
      <c r="X56" s="732"/>
      <c r="Y56" s="732"/>
      <c r="Z56" s="732"/>
      <c r="AA56" s="732"/>
      <c r="AB56" s="732"/>
      <c r="AC56" s="732"/>
      <c r="AD56" s="732"/>
      <c r="AE56" s="732"/>
      <c r="AF56" s="732"/>
      <c r="AG56" s="732"/>
      <c r="AH56" s="733"/>
      <c r="AI56" s="662"/>
      <c r="AJ56" s="668"/>
      <c r="AK56" s="668"/>
      <c r="AL56" s="668"/>
      <c r="AM56" s="668"/>
      <c r="AN56" s="668"/>
    </row>
    <row r="57" ht="2.25" customHeight="1">
      <c r="A57" s="677"/>
      <c r="B57" s="678"/>
      <c r="C57" s="678"/>
      <c r="D57" s="678"/>
      <c r="E57" s="678"/>
      <c r="F57" s="678"/>
      <c r="G57" s="678"/>
      <c r="H57" s="678"/>
      <c r="I57" s="678"/>
      <c r="J57" s="678"/>
      <c r="K57" s="678"/>
      <c r="L57" s="678"/>
      <c r="M57" s="678"/>
      <c r="N57" s="678"/>
      <c r="O57" s="678"/>
      <c r="P57" s="678"/>
      <c r="Q57" s="678"/>
      <c r="R57" s="679"/>
      <c r="S57" s="678"/>
      <c r="T57" s="678"/>
      <c r="U57" s="678"/>
      <c r="V57" s="678"/>
      <c r="W57" s="678"/>
      <c r="X57" s="678"/>
      <c r="Y57" s="678"/>
      <c r="Z57" s="678"/>
      <c r="AA57" s="678"/>
      <c r="AB57" s="678"/>
      <c r="AC57" s="678"/>
      <c r="AD57" s="678"/>
      <c r="AE57" s="678"/>
      <c r="AF57" s="678"/>
      <c r="AG57" s="678"/>
      <c r="AH57" s="678"/>
      <c r="AI57" s="679"/>
      <c r="AJ57" s="651"/>
      <c r="AK57" s="651"/>
      <c r="AL57" s="651"/>
      <c r="AM57" s="651"/>
      <c r="AN57" s="652"/>
    </row>
    <row r="58" ht="15.75" customHeight="1">
      <c r="A58" s="653"/>
      <c r="B58" s="797" t="str">
        <f>IMAGE("https://i.ibb.co/1LkZSWk/megalati.png",3)</f>
        <v/>
      </c>
      <c r="C58" s="655"/>
      <c r="D58" s="735"/>
      <c r="E58" s="798" t="str">
        <f>Source!$P$28</f>
        <v/>
      </c>
      <c r="F58" s="799" t="s">
        <v>1098</v>
      </c>
      <c r="G58" s="655"/>
      <c r="H58" s="655"/>
      <c r="I58" s="655"/>
      <c r="J58" s="655"/>
      <c r="K58" s="655"/>
      <c r="L58" s="655"/>
      <c r="M58" s="655"/>
      <c r="N58" s="800"/>
      <c r="O58" s="655"/>
      <c r="P58" s="655"/>
      <c r="Q58" s="692"/>
      <c r="R58" s="662"/>
      <c r="S58" s="797" t="str">
        <f>IMAGE("https://i.ibb.co/K9Nzz6n/megalatias.png",3)</f>
        <v/>
      </c>
      <c r="T58" s="655"/>
      <c r="U58" s="735"/>
      <c r="V58" s="798" t="str">
        <f>Source!$P$27</f>
        <v/>
      </c>
      <c r="W58" s="799" t="s">
        <v>1100</v>
      </c>
      <c r="X58" s="655"/>
      <c r="Y58" s="655"/>
      <c r="Z58" s="655"/>
      <c r="AA58" s="655"/>
      <c r="AB58" s="655"/>
      <c r="AC58" s="655"/>
      <c r="AD58" s="655"/>
      <c r="AE58" s="801"/>
      <c r="AF58" s="655"/>
      <c r="AG58" s="655"/>
      <c r="AH58" s="692"/>
      <c r="AI58" s="662"/>
      <c r="AJ58" s="668"/>
      <c r="AK58" s="668"/>
      <c r="AL58" s="668"/>
      <c r="AM58" s="668"/>
      <c r="AN58" s="668"/>
    </row>
    <row r="59" ht="19.5" customHeight="1">
      <c r="A59" s="653"/>
      <c r="B59" s="669"/>
      <c r="D59" s="744"/>
      <c r="E59" s="707" t="s">
        <v>1311</v>
      </c>
      <c r="F59" s="708"/>
      <c r="G59" s="708"/>
      <c r="H59" s="708"/>
      <c r="I59" s="708"/>
      <c r="J59" s="708"/>
      <c r="K59" s="708"/>
      <c r="L59" s="708"/>
      <c r="M59" s="708"/>
      <c r="N59" s="708"/>
      <c r="O59" s="708"/>
      <c r="P59" s="708"/>
      <c r="Q59" s="729"/>
      <c r="R59" s="662"/>
      <c r="S59" s="669"/>
      <c r="U59" s="744"/>
      <c r="V59" s="707" t="s">
        <v>1312</v>
      </c>
      <c r="W59" s="708"/>
      <c r="X59" s="708"/>
      <c r="Y59" s="708"/>
      <c r="Z59" s="708"/>
      <c r="AA59" s="708"/>
      <c r="AB59" s="708"/>
      <c r="AC59" s="708"/>
      <c r="AD59" s="708"/>
      <c r="AE59" s="708"/>
      <c r="AF59" s="708"/>
      <c r="AG59" s="708"/>
      <c r="AH59" s="729"/>
      <c r="AI59" s="662"/>
      <c r="AJ59" s="668"/>
      <c r="AK59" s="668"/>
      <c r="AL59" s="668"/>
      <c r="AM59" s="668"/>
      <c r="AN59" s="668"/>
    </row>
    <row r="60" ht="25.5" customHeight="1">
      <c r="A60" s="653"/>
      <c r="B60" s="673"/>
      <c r="C60" s="674"/>
      <c r="D60" s="747"/>
      <c r="E60" s="731"/>
      <c r="F60" s="732"/>
      <c r="G60" s="732"/>
      <c r="H60" s="732"/>
      <c r="I60" s="732"/>
      <c r="J60" s="732"/>
      <c r="K60" s="732"/>
      <c r="L60" s="732"/>
      <c r="M60" s="732"/>
      <c r="N60" s="732"/>
      <c r="O60" s="732"/>
      <c r="P60" s="732"/>
      <c r="Q60" s="733"/>
      <c r="R60" s="662"/>
      <c r="S60" s="673"/>
      <c r="T60" s="674"/>
      <c r="U60" s="747"/>
      <c r="V60" s="731"/>
      <c r="W60" s="732"/>
      <c r="X60" s="732"/>
      <c r="Y60" s="732"/>
      <c r="Z60" s="732"/>
      <c r="AA60" s="732"/>
      <c r="AB60" s="732"/>
      <c r="AC60" s="732"/>
      <c r="AD60" s="732"/>
      <c r="AE60" s="732"/>
      <c r="AF60" s="732"/>
      <c r="AG60" s="732"/>
      <c r="AH60" s="733"/>
      <c r="AI60" s="662"/>
      <c r="AJ60" s="668"/>
      <c r="AK60" s="668"/>
      <c r="AL60" s="668"/>
      <c r="AM60" s="668"/>
      <c r="AN60" s="668"/>
    </row>
    <row r="61" ht="2.25" customHeight="1">
      <c r="A61" s="677"/>
      <c r="B61" s="678"/>
      <c r="C61" s="678"/>
      <c r="D61" s="678"/>
      <c r="E61" s="678"/>
      <c r="F61" s="678"/>
      <c r="G61" s="678"/>
      <c r="H61" s="678"/>
      <c r="I61" s="678"/>
      <c r="J61" s="678"/>
      <c r="K61" s="678"/>
      <c r="L61" s="678"/>
      <c r="M61" s="678"/>
      <c r="N61" s="678"/>
      <c r="O61" s="678"/>
      <c r="P61" s="678"/>
      <c r="Q61" s="678"/>
      <c r="R61" s="679"/>
      <c r="S61" s="678"/>
      <c r="T61" s="678"/>
      <c r="U61" s="678"/>
      <c r="V61" s="678"/>
      <c r="W61" s="678"/>
      <c r="X61" s="678"/>
      <c r="Y61" s="678"/>
      <c r="Z61" s="678"/>
      <c r="AA61" s="678"/>
      <c r="AB61" s="678"/>
      <c r="AC61" s="678"/>
      <c r="AD61" s="678"/>
      <c r="AE61" s="678"/>
      <c r="AF61" s="678"/>
      <c r="AG61" s="678"/>
      <c r="AH61" s="678"/>
      <c r="AI61" s="679"/>
      <c r="AJ61" s="651"/>
      <c r="AK61" s="651"/>
      <c r="AL61" s="651"/>
      <c r="AM61" s="651"/>
      <c r="AN61" s="652"/>
    </row>
    <row r="62" ht="15.75" customHeight="1">
      <c r="A62" s="653"/>
      <c r="B62" s="802" t="str">
        <f>IMAGE("https://i.ibb.co/rGv4dSm/steel.png",3)</f>
        <v/>
      </c>
      <c r="C62" s="655"/>
      <c r="D62" s="735"/>
      <c r="E62" s="803" t="str">
        <f>Source!$P$45</f>
        <v/>
      </c>
      <c r="F62" s="804" t="s">
        <v>1115</v>
      </c>
      <c r="G62" s="655"/>
      <c r="H62" s="655"/>
      <c r="I62" s="655"/>
      <c r="J62" s="655"/>
      <c r="K62" s="655"/>
      <c r="L62" s="655"/>
      <c r="M62" s="655"/>
      <c r="N62" s="805"/>
      <c r="O62" s="655"/>
      <c r="P62" s="655"/>
      <c r="Q62" s="692"/>
      <c r="R62" s="662"/>
      <c r="S62" s="806" t="str">
        <f>IMAGE("https://i.ibb.co/Wfh9CD6/camel.png",3)</f>
        <v/>
      </c>
      <c r="T62" s="655"/>
      <c r="U62" s="740"/>
      <c r="V62" s="807" t="str">
        <f>Source!$P$14</f>
        <v/>
      </c>
      <c r="W62" s="808" t="s">
        <v>1313</v>
      </c>
      <c r="X62" s="655"/>
      <c r="Y62" s="655"/>
      <c r="Z62" s="655"/>
      <c r="AA62" s="655"/>
      <c r="AB62" s="655"/>
      <c r="AC62" s="655"/>
      <c r="AD62" s="655"/>
      <c r="AE62" s="809"/>
      <c r="AF62" s="655"/>
      <c r="AG62" s="655"/>
      <c r="AH62" s="692"/>
      <c r="AI62" s="662"/>
      <c r="AJ62" s="668"/>
      <c r="AK62" s="668"/>
      <c r="AL62" s="668"/>
      <c r="AM62" s="668"/>
      <c r="AN62" s="668"/>
    </row>
    <row r="63" ht="19.5" customHeight="1">
      <c r="A63" s="653"/>
      <c r="B63" s="669"/>
      <c r="D63" s="744"/>
      <c r="E63" s="707" t="s">
        <v>1314</v>
      </c>
      <c r="F63" s="708"/>
      <c r="G63" s="708"/>
      <c r="H63" s="708"/>
      <c r="I63" s="708"/>
      <c r="J63" s="708"/>
      <c r="K63" s="708"/>
      <c r="L63" s="708"/>
      <c r="M63" s="708"/>
      <c r="N63" s="708"/>
      <c r="O63" s="708"/>
      <c r="P63" s="708"/>
      <c r="Q63" s="729"/>
      <c r="R63" s="662"/>
      <c r="S63" s="669"/>
      <c r="U63" s="746"/>
      <c r="V63" s="707" t="s">
        <v>1315</v>
      </c>
      <c r="W63" s="708"/>
      <c r="X63" s="708"/>
      <c r="Y63" s="708"/>
      <c r="Z63" s="708"/>
      <c r="AA63" s="708"/>
      <c r="AB63" s="708"/>
      <c r="AC63" s="708"/>
      <c r="AD63" s="708"/>
      <c r="AE63" s="708"/>
      <c r="AF63" s="708"/>
      <c r="AG63" s="708"/>
      <c r="AH63" s="729"/>
      <c r="AI63" s="662"/>
      <c r="AJ63" s="668"/>
      <c r="AK63" s="668"/>
      <c r="AL63" s="668"/>
      <c r="AM63" s="668"/>
      <c r="AN63" s="668"/>
    </row>
    <row r="64" ht="25.5" customHeight="1">
      <c r="A64" s="653"/>
      <c r="B64" s="673"/>
      <c r="C64" s="674"/>
      <c r="D64" s="747"/>
      <c r="E64" s="731"/>
      <c r="F64" s="732"/>
      <c r="G64" s="732"/>
      <c r="H64" s="732"/>
      <c r="I64" s="732"/>
      <c r="J64" s="732"/>
      <c r="K64" s="732"/>
      <c r="L64" s="732"/>
      <c r="M64" s="732"/>
      <c r="N64" s="732"/>
      <c r="O64" s="732"/>
      <c r="P64" s="732"/>
      <c r="Q64" s="733"/>
      <c r="R64" s="662"/>
      <c r="S64" s="673"/>
      <c r="T64" s="674"/>
      <c r="U64" s="748"/>
      <c r="V64" s="731"/>
      <c r="W64" s="732"/>
      <c r="X64" s="732"/>
      <c r="Y64" s="732"/>
      <c r="Z64" s="732"/>
      <c r="AA64" s="732"/>
      <c r="AB64" s="732"/>
      <c r="AC64" s="732"/>
      <c r="AD64" s="732"/>
      <c r="AE64" s="732"/>
      <c r="AF64" s="732"/>
      <c r="AG64" s="732"/>
      <c r="AH64" s="733"/>
      <c r="AI64" s="662"/>
      <c r="AJ64" s="668"/>
      <c r="AK64" s="668"/>
      <c r="AL64" s="668"/>
      <c r="AM64" s="668"/>
      <c r="AN64" s="668"/>
    </row>
    <row r="65" ht="2.25" customHeight="1">
      <c r="A65" s="677"/>
      <c r="B65" s="678"/>
      <c r="C65" s="678"/>
      <c r="D65" s="678"/>
      <c r="E65" s="678"/>
      <c r="F65" s="678"/>
      <c r="G65" s="678"/>
      <c r="H65" s="678"/>
      <c r="I65" s="678"/>
      <c r="J65" s="678"/>
      <c r="K65" s="678"/>
      <c r="L65" s="678"/>
      <c r="M65" s="678"/>
      <c r="N65" s="678"/>
      <c r="O65" s="678"/>
      <c r="P65" s="678"/>
      <c r="Q65" s="678"/>
      <c r="R65" s="679"/>
      <c r="S65" s="678"/>
      <c r="T65" s="678"/>
      <c r="U65" s="678"/>
      <c r="V65" s="678"/>
      <c r="W65" s="678"/>
      <c r="X65" s="678"/>
      <c r="Y65" s="678"/>
      <c r="Z65" s="678"/>
      <c r="AA65" s="678"/>
      <c r="AB65" s="678"/>
      <c r="AC65" s="678"/>
      <c r="AD65" s="678"/>
      <c r="AE65" s="678"/>
      <c r="AF65" s="678"/>
      <c r="AG65" s="678"/>
      <c r="AH65" s="678"/>
      <c r="AI65" s="679"/>
      <c r="AJ65" s="651"/>
      <c r="AK65" s="651"/>
      <c r="AL65" s="651"/>
      <c r="AM65" s="651"/>
      <c r="AN65" s="652"/>
    </row>
    <row r="66" ht="15.75" customHeight="1">
      <c r="A66" s="653"/>
      <c r="B66" s="810" t="str">
        <f>IMAGE("https://i.ibb.co/tZVP08g/zardy.png",3)</f>
        <v/>
      </c>
      <c r="C66" s="655"/>
      <c r="D66" s="735"/>
      <c r="E66" s="811" t="str">
        <f>Source!$P$16</f>
        <v/>
      </c>
      <c r="F66" s="812" t="s">
        <v>1316</v>
      </c>
      <c r="G66" s="655"/>
      <c r="H66" s="655"/>
      <c r="I66" s="655"/>
      <c r="J66" s="655"/>
      <c r="K66" s="655"/>
      <c r="L66" s="655"/>
      <c r="M66" s="655"/>
      <c r="N66" s="813"/>
      <c r="O66" s="655"/>
      <c r="P66" s="655"/>
      <c r="Q66" s="692"/>
      <c r="R66" s="662"/>
      <c r="S66" s="814" t="str">
        <f>IMAGE("https://i.ibb.co/3yD63s1/ttar.png",3)</f>
        <v/>
      </c>
      <c r="T66" s="655"/>
      <c r="U66" s="740"/>
      <c r="V66" s="815" t="str">
        <f>Source!$P$47</f>
        <v/>
      </c>
      <c r="W66" s="816" t="s">
        <v>626</v>
      </c>
      <c r="X66" s="655"/>
      <c r="Y66" s="655"/>
      <c r="Z66" s="655"/>
      <c r="AA66" s="655"/>
      <c r="AB66" s="655"/>
      <c r="AC66" s="655"/>
      <c r="AD66" s="655"/>
      <c r="AE66" s="817"/>
      <c r="AF66" s="655"/>
      <c r="AG66" s="655"/>
      <c r="AH66" s="692"/>
      <c r="AI66" s="662"/>
      <c r="AJ66" s="668"/>
      <c r="AK66" s="668"/>
      <c r="AL66" s="668"/>
      <c r="AM66" s="668"/>
      <c r="AN66" s="668"/>
    </row>
    <row r="67" ht="19.5" customHeight="1">
      <c r="A67" s="653"/>
      <c r="B67" s="669"/>
      <c r="D67" s="744"/>
      <c r="E67" s="818" t="s">
        <v>1317</v>
      </c>
      <c r="F67" s="708"/>
      <c r="G67" s="708"/>
      <c r="H67" s="708"/>
      <c r="I67" s="708"/>
      <c r="J67" s="708"/>
      <c r="K67" s="708"/>
      <c r="L67" s="708"/>
      <c r="M67" s="708"/>
      <c r="N67" s="708"/>
      <c r="O67" s="708"/>
      <c r="P67" s="708"/>
      <c r="Q67" s="729"/>
      <c r="R67" s="662"/>
      <c r="S67" s="669"/>
      <c r="U67" s="746"/>
      <c r="V67" s="707" t="s">
        <v>1318</v>
      </c>
      <c r="W67" s="708"/>
      <c r="X67" s="708"/>
      <c r="Y67" s="708"/>
      <c r="Z67" s="708"/>
      <c r="AA67" s="708"/>
      <c r="AB67" s="708"/>
      <c r="AC67" s="708"/>
      <c r="AD67" s="708"/>
      <c r="AE67" s="708"/>
      <c r="AF67" s="708"/>
      <c r="AG67" s="708"/>
      <c r="AH67" s="729"/>
      <c r="AI67" s="662"/>
      <c r="AJ67" s="668"/>
      <c r="AK67" s="668"/>
      <c r="AL67" s="668"/>
      <c r="AM67" s="668"/>
      <c r="AN67" s="668"/>
    </row>
    <row r="68" ht="25.5" customHeight="1">
      <c r="A68" s="653"/>
      <c r="B68" s="673"/>
      <c r="C68" s="674"/>
      <c r="D68" s="747"/>
      <c r="E68" s="731"/>
      <c r="F68" s="732"/>
      <c r="G68" s="732"/>
      <c r="H68" s="732"/>
      <c r="I68" s="732"/>
      <c r="J68" s="732"/>
      <c r="K68" s="732"/>
      <c r="L68" s="732"/>
      <c r="M68" s="732"/>
      <c r="N68" s="732"/>
      <c r="O68" s="732"/>
      <c r="P68" s="732"/>
      <c r="Q68" s="733"/>
      <c r="R68" s="662"/>
      <c r="S68" s="673"/>
      <c r="T68" s="674"/>
      <c r="U68" s="748"/>
      <c r="V68" s="731"/>
      <c r="W68" s="732"/>
      <c r="X68" s="732"/>
      <c r="Y68" s="732"/>
      <c r="Z68" s="732"/>
      <c r="AA68" s="732"/>
      <c r="AB68" s="732"/>
      <c r="AC68" s="732"/>
      <c r="AD68" s="732"/>
      <c r="AE68" s="732"/>
      <c r="AF68" s="732"/>
      <c r="AG68" s="732"/>
      <c r="AH68" s="733"/>
      <c r="AI68" s="662"/>
      <c r="AJ68" s="668"/>
      <c r="AK68" s="668"/>
      <c r="AL68" s="668"/>
      <c r="AM68" s="668"/>
      <c r="AN68" s="668"/>
    </row>
    <row r="69" ht="2.25" customHeight="1">
      <c r="A69" s="677"/>
      <c r="B69" s="678"/>
      <c r="C69" s="678"/>
      <c r="D69" s="678"/>
      <c r="E69" s="678"/>
      <c r="F69" s="678"/>
      <c r="G69" s="678"/>
      <c r="H69" s="678"/>
      <c r="I69" s="678"/>
      <c r="J69" s="678"/>
      <c r="K69" s="678"/>
      <c r="L69" s="678"/>
      <c r="M69" s="678"/>
      <c r="N69" s="678"/>
      <c r="O69" s="678"/>
      <c r="P69" s="678"/>
      <c r="Q69" s="678"/>
      <c r="R69" s="679"/>
      <c r="S69" s="678"/>
      <c r="T69" s="678"/>
      <c r="U69" s="678"/>
      <c r="V69" s="678"/>
      <c r="W69" s="678"/>
      <c r="X69" s="678"/>
      <c r="Y69" s="678"/>
      <c r="Z69" s="678"/>
      <c r="AA69" s="678"/>
      <c r="AB69" s="678"/>
      <c r="AC69" s="678"/>
      <c r="AD69" s="678"/>
      <c r="AE69" s="678"/>
      <c r="AF69" s="678"/>
      <c r="AG69" s="678"/>
      <c r="AH69" s="678"/>
      <c r="AI69" s="679"/>
      <c r="AJ69" s="651"/>
      <c r="AK69" s="651"/>
      <c r="AL69" s="651"/>
      <c r="AM69" s="651"/>
      <c r="AN69" s="652"/>
    </row>
    <row r="70" ht="15.75" customHeight="1">
      <c r="A70" s="653"/>
      <c r="B70" s="819" t="str">
        <f>IMAGE("https://i.ibb.co/nk5Bdjb/maw.png",3)</f>
        <v/>
      </c>
      <c r="C70" s="655"/>
      <c r="D70" s="735"/>
      <c r="E70" s="820" t="str">
        <f>Source!$P$32</f>
        <v/>
      </c>
      <c r="F70" s="821" t="s">
        <v>1165</v>
      </c>
      <c r="G70" s="655"/>
      <c r="H70" s="655"/>
      <c r="I70" s="655"/>
      <c r="J70" s="655"/>
      <c r="K70" s="655"/>
      <c r="L70" s="655"/>
      <c r="M70" s="655"/>
      <c r="N70" s="822"/>
      <c r="O70" s="655"/>
      <c r="P70" s="655"/>
      <c r="Q70" s="692"/>
      <c r="R70" s="662"/>
      <c r="S70" s="823" t="str">
        <f>IMAGE("https://i.ibb.co/4RvtLyz/doom.png",3)</f>
        <v/>
      </c>
      <c r="T70" s="655"/>
      <c r="U70" s="740"/>
      <c r="V70" s="824" t="str">
        <f>Source!$P$25</f>
        <v/>
      </c>
      <c r="W70" s="825" t="s">
        <v>1167</v>
      </c>
      <c r="X70" s="655"/>
      <c r="Y70" s="655"/>
      <c r="Z70" s="655"/>
      <c r="AA70" s="655"/>
      <c r="AB70" s="655"/>
      <c r="AC70" s="655"/>
      <c r="AD70" s="655"/>
      <c r="AE70" s="826"/>
      <c r="AF70" s="655"/>
      <c r="AG70" s="655"/>
      <c r="AH70" s="692"/>
      <c r="AI70" s="662"/>
      <c r="AJ70" s="668"/>
      <c r="AK70" s="668"/>
      <c r="AL70" s="668"/>
      <c r="AM70" s="668"/>
      <c r="AN70" s="668"/>
    </row>
    <row r="71" ht="19.5" customHeight="1">
      <c r="A71" s="653"/>
      <c r="B71" s="669"/>
      <c r="D71" s="744"/>
      <c r="E71" s="707" t="s">
        <v>1319</v>
      </c>
      <c r="F71" s="708"/>
      <c r="G71" s="708"/>
      <c r="H71" s="708"/>
      <c r="I71" s="708"/>
      <c r="J71" s="708"/>
      <c r="K71" s="708"/>
      <c r="L71" s="708"/>
      <c r="M71" s="708"/>
      <c r="N71" s="708"/>
      <c r="O71" s="708"/>
      <c r="P71" s="708"/>
      <c r="Q71" s="729"/>
      <c r="R71" s="662"/>
      <c r="S71" s="669"/>
      <c r="U71" s="746"/>
      <c r="V71" s="707" t="s">
        <v>1320</v>
      </c>
      <c r="W71" s="708"/>
      <c r="X71" s="708"/>
      <c r="Y71" s="708"/>
      <c r="Z71" s="708"/>
      <c r="AA71" s="708"/>
      <c r="AB71" s="708"/>
      <c r="AC71" s="708"/>
      <c r="AD71" s="708"/>
      <c r="AE71" s="708"/>
      <c r="AF71" s="708"/>
      <c r="AG71" s="708"/>
      <c r="AH71" s="729"/>
      <c r="AI71" s="662"/>
      <c r="AJ71" s="668"/>
      <c r="AK71" s="668"/>
      <c r="AL71" s="668"/>
      <c r="AM71" s="668"/>
      <c r="AN71" s="668"/>
    </row>
    <row r="72" ht="25.5" customHeight="1">
      <c r="A72" s="653"/>
      <c r="B72" s="673"/>
      <c r="C72" s="674"/>
      <c r="D72" s="747"/>
      <c r="E72" s="731"/>
      <c r="F72" s="732"/>
      <c r="G72" s="732"/>
      <c r="H72" s="732"/>
      <c r="I72" s="732"/>
      <c r="J72" s="732"/>
      <c r="K72" s="732"/>
      <c r="L72" s="732"/>
      <c r="M72" s="732"/>
      <c r="N72" s="732"/>
      <c r="O72" s="732"/>
      <c r="P72" s="732"/>
      <c r="Q72" s="733"/>
      <c r="R72" s="662"/>
      <c r="S72" s="673"/>
      <c r="T72" s="674"/>
      <c r="U72" s="748"/>
      <c r="V72" s="731"/>
      <c r="W72" s="732"/>
      <c r="X72" s="732"/>
      <c r="Y72" s="732"/>
      <c r="Z72" s="732"/>
      <c r="AA72" s="732"/>
      <c r="AB72" s="732"/>
      <c r="AC72" s="732"/>
      <c r="AD72" s="732"/>
      <c r="AE72" s="732"/>
      <c r="AF72" s="732"/>
      <c r="AG72" s="732"/>
      <c r="AH72" s="733"/>
      <c r="AI72" s="662"/>
      <c r="AJ72" s="668"/>
      <c r="AK72" s="668"/>
      <c r="AL72" s="668"/>
      <c r="AM72" s="668"/>
      <c r="AN72" s="668"/>
    </row>
    <row r="73" ht="2.25" customHeight="1">
      <c r="A73" s="677"/>
      <c r="B73" s="678"/>
      <c r="C73" s="678"/>
      <c r="D73" s="678"/>
      <c r="E73" s="678"/>
      <c r="F73" s="678"/>
      <c r="G73" s="678"/>
      <c r="H73" s="678"/>
      <c r="I73" s="678"/>
      <c r="J73" s="678"/>
      <c r="K73" s="678"/>
      <c r="L73" s="678"/>
      <c r="M73" s="678"/>
      <c r="N73" s="678"/>
      <c r="O73" s="678"/>
      <c r="P73" s="678"/>
      <c r="Q73" s="678"/>
      <c r="R73" s="679"/>
      <c r="S73" s="678"/>
      <c r="T73" s="678"/>
      <c r="U73" s="678"/>
      <c r="V73" s="678"/>
      <c r="W73" s="678"/>
      <c r="X73" s="678"/>
      <c r="Y73" s="678"/>
      <c r="Z73" s="678"/>
      <c r="AA73" s="678"/>
      <c r="AB73" s="678"/>
      <c r="AC73" s="678"/>
      <c r="AD73" s="678"/>
      <c r="AE73" s="678"/>
      <c r="AF73" s="678"/>
      <c r="AG73" s="678"/>
      <c r="AH73" s="678"/>
      <c r="AI73" s="679"/>
      <c r="AJ73" s="651"/>
      <c r="AK73" s="651"/>
      <c r="AL73" s="651"/>
      <c r="AM73" s="651"/>
      <c r="AN73" s="652"/>
    </row>
    <row r="74" ht="15.75" customHeight="1">
      <c r="A74" s="653"/>
      <c r="B74" s="827" t="str">
        <f>IMAGE("https://i.ibb.co/KX7J4x5/y.png",3)</f>
        <v/>
      </c>
      <c r="C74" s="655"/>
      <c r="D74" s="735"/>
      <c r="E74" s="828" t="str">
        <f>Source!$P$36</f>
        <v/>
      </c>
      <c r="F74" s="829" t="s">
        <v>601</v>
      </c>
      <c r="G74" s="655"/>
      <c r="H74" s="655"/>
      <c r="I74" s="655"/>
      <c r="J74" s="655"/>
      <c r="K74" s="655"/>
      <c r="L74" s="655"/>
      <c r="M74" s="655"/>
      <c r="N74" s="830"/>
      <c r="O74" s="655"/>
      <c r="P74" s="655"/>
      <c r="Q74" s="692"/>
      <c r="R74" s="662"/>
      <c r="S74" s="831" t="str">
        <f>IMAGE("https://i.ibb.co/5v2b8qT/pinsir.png",3)</f>
        <v/>
      </c>
      <c r="T74" s="655"/>
      <c r="U74" s="740"/>
      <c r="V74" s="832" t="str">
        <f>Source!$P$38</f>
        <v/>
      </c>
      <c r="W74" s="833" t="s">
        <v>656</v>
      </c>
      <c r="X74" s="655"/>
      <c r="Y74" s="655"/>
      <c r="Z74" s="655"/>
      <c r="AA74" s="655"/>
      <c r="AB74" s="655"/>
      <c r="AC74" s="655"/>
      <c r="AD74" s="655"/>
      <c r="AE74" s="834"/>
      <c r="AF74" s="655"/>
      <c r="AG74" s="655"/>
      <c r="AH74" s="692"/>
      <c r="AI74" s="662"/>
      <c r="AJ74" s="668"/>
      <c r="AK74" s="668"/>
      <c r="AL74" s="668"/>
      <c r="AM74" s="668"/>
      <c r="AN74" s="668"/>
    </row>
    <row r="75" ht="19.5" customHeight="1">
      <c r="A75" s="653"/>
      <c r="B75" s="669"/>
      <c r="D75" s="744"/>
      <c r="E75" s="707" t="s">
        <v>1321</v>
      </c>
      <c r="F75" s="708"/>
      <c r="G75" s="708"/>
      <c r="H75" s="708"/>
      <c r="I75" s="708"/>
      <c r="J75" s="708"/>
      <c r="K75" s="708"/>
      <c r="L75" s="708"/>
      <c r="M75" s="708"/>
      <c r="N75" s="708"/>
      <c r="O75" s="708"/>
      <c r="P75" s="708"/>
      <c r="Q75" s="729"/>
      <c r="R75" s="662"/>
      <c r="S75" s="669"/>
      <c r="U75" s="746"/>
      <c r="V75" s="707" t="s">
        <v>1322</v>
      </c>
      <c r="W75" s="708"/>
      <c r="X75" s="708"/>
      <c r="Y75" s="708"/>
      <c r="Z75" s="708"/>
      <c r="AA75" s="708"/>
      <c r="AB75" s="708"/>
      <c r="AC75" s="708"/>
      <c r="AD75" s="708"/>
      <c r="AE75" s="708"/>
      <c r="AF75" s="708"/>
      <c r="AG75" s="708"/>
      <c r="AH75" s="729"/>
      <c r="AI75" s="662"/>
      <c r="AJ75" s="668"/>
      <c r="AK75" s="668"/>
      <c r="AL75" s="668"/>
      <c r="AM75" s="668"/>
      <c r="AN75" s="668"/>
    </row>
    <row r="76" ht="25.5" customHeight="1">
      <c r="A76" s="653"/>
      <c r="B76" s="673"/>
      <c r="C76" s="674"/>
      <c r="D76" s="747"/>
      <c r="E76" s="731"/>
      <c r="F76" s="732"/>
      <c r="G76" s="732"/>
      <c r="H76" s="732"/>
      <c r="I76" s="732"/>
      <c r="J76" s="732"/>
      <c r="K76" s="732"/>
      <c r="L76" s="732"/>
      <c r="M76" s="732"/>
      <c r="N76" s="732"/>
      <c r="O76" s="732"/>
      <c r="P76" s="732"/>
      <c r="Q76" s="733"/>
      <c r="R76" s="662"/>
      <c r="S76" s="673"/>
      <c r="T76" s="674"/>
      <c r="U76" s="748"/>
      <c r="V76" s="731"/>
      <c r="W76" s="732"/>
      <c r="X76" s="732"/>
      <c r="Y76" s="732"/>
      <c r="Z76" s="732"/>
      <c r="AA76" s="732"/>
      <c r="AB76" s="732"/>
      <c r="AC76" s="732"/>
      <c r="AD76" s="732"/>
      <c r="AE76" s="732"/>
      <c r="AF76" s="732"/>
      <c r="AG76" s="732"/>
      <c r="AH76" s="733"/>
      <c r="AI76" s="662"/>
      <c r="AJ76" s="668"/>
      <c r="AK76" s="668"/>
      <c r="AL76" s="668"/>
      <c r="AM76" s="668"/>
      <c r="AN76" s="668"/>
    </row>
    <row r="77" ht="2.25" customHeight="1">
      <c r="A77" s="677"/>
      <c r="B77" s="678"/>
      <c r="C77" s="678"/>
      <c r="D77" s="678"/>
      <c r="E77" s="678"/>
      <c r="F77" s="678"/>
      <c r="G77" s="678"/>
      <c r="H77" s="678"/>
      <c r="I77" s="678"/>
      <c r="J77" s="678"/>
      <c r="K77" s="678"/>
      <c r="L77" s="678"/>
      <c r="M77" s="678"/>
      <c r="N77" s="678"/>
      <c r="O77" s="678"/>
      <c r="P77" s="678"/>
      <c r="Q77" s="678"/>
      <c r="R77" s="679"/>
      <c r="S77" s="678"/>
      <c r="T77" s="678"/>
      <c r="U77" s="678"/>
      <c r="V77" s="678"/>
      <c r="W77" s="678"/>
      <c r="X77" s="678"/>
      <c r="Y77" s="678"/>
      <c r="Z77" s="678"/>
      <c r="AA77" s="678"/>
      <c r="AB77" s="678"/>
      <c r="AC77" s="678"/>
      <c r="AD77" s="678"/>
      <c r="AE77" s="678"/>
      <c r="AF77" s="678"/>
      <c r="AG77" s="678"/>
      <c r="AH77" s="678"/>
      <c r="AI77" s="679"/>
      <c r="AJ77" s="651"/>
      <c r="AK77" s="651"/>
      <c r="AL77" s="651"/>
      <c r="AM77" s="651"/>
      <c r="AN77" s="652"/>
    </row>
    <row r="78" ht="15.75" customHeight="1">
      <c r="A78" s="653"/>
      <c r="B78" s="835" t="str">
        <f>IMAGE("https://i.ibb.co/cJdKLq7/amph.png",3)</f>
        <v/>
      </c>
      <c r="C78" s="655"/>
      <c r="D78" s="836"/>
      <c r="E78" s="837" t="str">
        <f>Source!$P$8</f>
        <v/>
      </c>
      <c r="F78" s="838" t="s">
        <v>1186</v>
      </c>
      <c r="G78" s="655"/>
      <c r="H78" s="655"/>
      <c r="I78" s="655"/>
      <c r="J78" s="655"/>
      <c r="K78" s="655"/>
      <c r="L78" s="655"/>
      <c r="M78" s="655"/>
      <c r="N78" s="738"/>
      <c r="O78" s="655"/>
      <c r="P78" s="655"/>
      <c r="Q78" s="692"/>
      <c r="R78" s="662"/>
      <c r="S78" s="839" t="str">
        <f>IMAGE("https://i.ibb.co/RB5rpkK/machamp.png",3)</f>
        <v/>
      </c>
      <c r="T78" s="655"/>
      <c r="U78" s="740"/>
      <c r="V78" s="840" t="str">
        <f>Source!$P$5</f>
        <v/>
      </c>
      <c r="W78" s="841" t="s">
        <v>1178</v>
      </c>
      <c r="X78" s="655"/>
      <c r="Y78" s="655"/>
      <c r="Z78" s="655"/>
      <c r="AA78" s="655"/>
      <c r="AB78" s="655"/>
      <c r="AC78" s="655"/>
      <c r="AD78" s="655"/>
      <c r="AE78" s="842"/>
      <c r="AF78" s="655"/>
      <c r="AG78" s="655"/>
      <c r="AH78" s="692"/>
      <c r="AI78" s="662"/>
      <c r="AJ78" s="668"/>
      <c r="AK78" s="668"/>
      <c r="AL78" s="668"/>
      <c r="AM78" s="668"/>
      <c r="AN78" s="668"/>
    </row>
    <row r="79" ht="19.5" customHeight="1">
      <c r="A79" s="653"/>
      <c r="B79" s="669"/>
      <c r="D79" s="843"/>
      <c r="E79" s="707" t="s">
        <v>1323</v>
      </c>
      <c r="F79" s="708"/>
      <c r="G79" s="708"/>
      <c r="H79" s="708"/>
      <c r="I79" s="708"/>
      <c r="J79" s="708"/>
      <c r="K79" s="708"/>
      <c r="L79" s="708"/>
      <c r="M79" s="708"/>
      <c r="N79" s="708"/>
      <c r="O79" s="708"/>
      <c r="P79" s="708"/>
      <c r="Q79" s="729"/>
      <c r="R79" s="662"/>
      <c r="S79" s="669"/>
      <c r="U79" s="746"/>
      <c r="V79" s="707" t="s">
        <v>1324</v>
      </c>
      <c r="W79" s="708"/>
      <c r="X79" s="708"/>
      <c r="Y79" s="708"/>
      <c r="Z79" s="708"/>
      <c r="AA79" s="708"/>
      <c r="AB79" s="708"/>
      <c r="AC79" s="708"/>
      <c r="AD79" s="708"/>
      <c r="AE79" s="708"/>
      <c r="AF79" s="708"/>
      <c r="AG79" s="708"/>
      <c r="AH79" s="729"/>
      <c r="AI79" s="662"/>
      <c r="AJ79" s="668"/>
      <c r="AK79" s="668"/>
      <c r="AL79" s="668"/>
      <c r="AM79" s="668"/>
      <c r="AN79" s="668"/>
    </row>
    <row r="80" ht="25.5" customHeight="1">
      <c r="A80" s="653"/>
      <c r="B80" s="673"/>
      <c r="C80" s="674"/>
      <c r="D80" s="844"/>
      <c r="E80" s="731"/>
      <c r="F80" s="732"/>
      <c r="G80" s="732"/>
      <c r="H80" s="732"/>
      <c r="I80" s="732"/>
      <c r="J80" s="732"/>
      <c r="K80" s="732"/>
      <c r="L80" s="732"/>
      <c r="M80" s="732"/>
      <c r="N80" s="732"/>
      <c r="O80" s="732"/>
      <c r="P80" s="732"/>
      <c r="Q80" s="733"/>
      <c r="R80" s="662"/>
      <c r="S80" s="673"/>
      <c r="T80" s="674"/>
      <c r="U80" s="748"/>
      <c r="V80" s="731"/>
      <c r="W80" s="732"/>
      <c r="X80" s="732"/>
      <c r="Y80" s="732"/>
      <c r="Z80" s="732"/>
      <c r="AA80" s="732"/>
      <c r="AB80" s="732"/>
      <c r="AC80" s="732"/>
      <c r="AD80" s="732"/>
      <c r="AE80" s="732"/>
      <c r="AF80" s="732"/>
      <c r="AG80" s="732"/>
      <c r="AH80" s="733"/>
      <c r="AI80" s="662"/>
      <c r="AJ80" s="668"/>
      <c r="AK80" s="668"/>
      <c r="AL80" s="668"/>
      <c r="AM80" s="668"/>
      <c r="AN80" s="668"/>
    </row>
    <row r="81" ht="2.25" customHeight="1">
      <c r="A81" s="677"/>
      <c r="B81" s="678"/>
      <c r="C81" s="678"/>
      <c r="D81" s="678"/>
      <c r="E81" s="678"/>
      <c r="F81" s="678"/>
      <c r="G81" s="678"/>
      <c r="H81" s="678"/>
      <c r="I81" s="678"/>
      <c r="J81" s="678"/>
      <c r="K81" s="678"/>
      <c r="L81" s="678"/>
      <c r="M81" s="678"/>
      <c r="N81" s="678"/>
      <c r="O81" s="678"/>
      <c r="P81" s="678"/>
      <c r="Q81" s="678"/>
      <c r="R81" s="679"/>
      <c r="S81" s="678"/>
      <c r="T81" s="678"/>
      <c r="U81" s="678"/>
      <c r="V81" s="678"/>
      <c r="W81" s="678"/>
      <c r="X81" s="678"/>
      <c r="Y81" s="678"/>
      <c r="Z81" s="678"/>
      <c r="AA81" s="678"/>
      <c r="AB81" s="678"/>
      <c r="AC81" s="678"/>
      <c r="AD81" s="678"/>
      <c r="AE81" s="678"/>
      <c r="AF81" s="678"/>
      <c r="AG81" s="678"/>
      <c r="AH81" s="678"/>
      <c r="AI81" s="679"/>
      <c r="AJ81" s="651"/>
      <c r="AK81" s="651"/>
      <c r="AL81" s="651"/>
      <c r="AM81" s="651"/>
      <c r="AN81" s="652"/>
    </row>
    <row r="82" ht="15.75" customHeight="1">
      <c r="A82" s="653"/>
      <c r="B82" s="845" t="str">
        <f>IMAGE("https://i.ibb.co/nkLk1wv/coal.png",3)</f>
        <v/>
      </c>
      <c r="C82" s="655"/>
      <c r="D82" s="735"/>
      <c r="E82" s="846" t="str">
        <f>Source!$P$25</f>
        <v/>
      </c>
      <c r="F82" s="847" t="s">
        <v>737</v>
      </c>
      <c r="G82" s="655"/>
      <c r="H82" s="655"/>
      <c r="I82" s="655"/>
      <c r="J82" s="655"/>
      <c r="K82" s="655"/>
      <c r="L82" s="655"/>
      <c r="M82" s="655"/>
      <c r="N82" s="848"/>
      <c r="O82" s="655"/>
      <c r="P82" s="655"/>
      <c r="Q82" s="692"/>
      <c r="R82" s="662"/>
      <c r="S82" s="849" t="str">
        <f>IMAGE("https://i.ibb.co/qM9RcKk/bro.png",3)</f>
        <v/>
      </c>
      <c r="T82" s="655"/>
      <c r="U82" s="740"/>
      <c r="V82" s="850" t="str">
        <f>Source!$P$44</f>
        <v/>
      </c>
      <c r="W82" s="851" t="s">
        <v>986</v>
      </c>
      <c r="X82" s="655"/>
      <c r="Y82" s="655"/>
      <c r="Z82" s="655"/>
      <c r="AA82" s="655"/>
      <c r="AB82" s="655"/>
      <c r="AC82" s="655"/>
      <c r="AD82" s="655"/>
      <c r="AE82" s="852"/>
      <c r="AF82" s="655"/>
      <c r="AG82" s="655"/>
      <c r="AH82" s="692"/>
      <c r="AI82" s="662"/>
      <c r="AJ82" s="668"/>
      <c r="AK82" s="668"/>
      <c r="AL82" s="668"/>
      <c r="AM82" s="668"/>
      <c r="AN82" s="668"/>
    </row>
    <row r="83" ht="19.5" customHeight="1">
      <c r="A83" s="653"/>
      <c r="B83" s="669"/>
      <c r="D83" s="744"/>
      <c r="E83" s="707" t="s">
        <v>1325</v>
      </c>
      <c r="F83" s="708"/>
      <c r="G83" s="708"/>
      <c r="H83" s="708"/>
      <c r="I83" s="708"/>
      <c r="J83" s="708"/>
      <c r="K83" s="708"/>
      <c r="L83" s="708"/>
      <c r="M83" s="708"/>
      <c r="N83" s="708"/>
      <c r="O83" s="708"/>
      <c r="P83" s="708"/>
      <c r="Q83" s="729"/>
      <c r="R83" s="662"/>
      <c r="S83" s="669"/>
      <c r="U83" s="746"/>
      <c r="V83" s="707" t="s">
        <v>1326</v>
      </c>
      <c r="W83" s="708"/>
      <c r="X83" s="708"/>
      <c r="Y83" s="708"/>
      <c r="Z83" s="708"/>
      <c r="AA83" s="708"/>
      <c r="AB83" s="708"/>
      <c r="AC83" s="708"/>
      <c r="AD83" s="708"/>
      <c r="AE83" s="708"/>
      <c r="AF83" s="708"/>
      <c r="AG83" s="708"/>
      <c r="AH83" s="729"/>
      <c r="AI83" s="662"/>
      <c r="AJ83" s="668"/>
      <c r="AK83" s="668"/>
      <c r="AL83" s="668"/>
      <c r="AM83" s="668"/>
      <c r="AN83" s="668"/>
    </row>
    <row r="84" ht="25.5" customHeight="1">
      <c r="A84" s="653"/>
      <c r="B84" s="673"/>
      <c r="C84" s="674"/>
      <c r="D84" s="747"/>
      <c r="E84" s="731"/>
      <c r="F84" s="732"/>
      <c r="G84" s="732"/>
      <c r="H84" s="732"/>
      <c r="I84" s="732"/>
      <c r="J84" s="732"/>
      <c r="K84" s="732"/>
      <c r="L84" s="732"/>
      <c r="M84" s="732"/>
      <c r="N84" s="732"/>
      <c r="O84" s="732"/>
      <c r="P84" s="732"/>
      <c r="Q84" s="733"/>
      <c r="R84" s="662"/>
      <c r="S84" s="673"/>
      <c r="T84" s="674"/>
      <c r="U84" s="748"/>
      <c r="V84" s="731"/>
      <c r="W84" s="732"/>
      <c r="X84" s="732"/>
      <c r="Y84" s="732"/>
      <c r="Z84" s="732"/>
      <c r="AA84" s="732"/>
      <c r="AB84" s="732"/>
      <c r="AC84" s="732"/>
      <c r="AD84" s="732"/>
      <c r="AE84" s="732"/>
      <c r="AF84" s="732"/>
      <c r="AG84" s="732"/>
      <c r="AH84" s="733"/>
      <c r="AI84" s="662"/>
      <c r="AJ84" s="668"/>
      <c r="AK84" s="668"/>
      <c r="AL84" s="668"/>
      <c r="AM84" s="668"/>
      <c r="AN84" s="668"/>
    </row>
    <row r="85" ht="2.25" customHeight="1">
      <c r="A85" s="677"/>
      <c r="B85" s="678"/>
      <c r="C85" s="678"/>
      <c r="D85" s="678"/>
      <c r="E85" s="678"/>
      <c r="F85" s="678"/>
      <c r="G85" s="678"/>
      <c r="H85" s="678"/>
      <c r="I85" s="678"/>
      <c r="J85" s="678"/>
      <c r="K85" s="678"/>
      <c r="L85" s="678"/>
      <c r="M85" s="678"/>
      <c r="N85" s="678"/>
      <c r="O85" s="678"/>
      <c r="P85" s="678"/>
      <c r="Q85" s="678"/>
      <c r="R85" s="679"/>
      <c r="S85" s="678"/>
      <c r="T85" s="678"/>
      <c r="U85" s="678"/>
      <c r="V85" s="678"/>
      <c r="W85" s="678"/>
      <c r="X85" s="678"/>
      <c r="Y85" s="678"/>
      <c r="Z85" s="678"/>
      <c r="AA85" s="678"/>
      <c r="AB85" s="678"/>
      <c r="AC85" s="678"/>
      <c r="AD85" s="678"/>
      <c r="AE85" s="678"/>
      <c r="AF85" s="678"/>
      <c r="AG85" s="678"/>
      <c r="AH85" s="678"/>
      <c r="AI85" s="679"/>
      <c r="AJ85" s="651"/>
      <c r="AK85" s="651"/>
      <c r="AL85" s="651"/>
      <c r="AM85" s="651"/>
      <c r="AN85" s="652"/>
    </row>
    <row r="86" ht="15.75" customHeight="1">
      <c r="A86" s="653"/>
      <c r="B86" s="853" t="str">
        <f>IMAGE("https://i.ibb.co/Pw1TH30/mence.png",3)</f>
        <v/>
      </c>
      <c r="C86" s="655"/>
      <c r="D86" s="735"/>
      <c r="E86" s="854" t="str">
        <f>Source!$P$40</f>
        <v/>
      </c>
      <c r="F86" s="855" t="s">
        <v>603</v>
      </c>
      <c r="G86" s="655"/>
      <c r="H86" s="655"/>
      <c r="I86" s="655"/>
      <c r="J86" s="655"/>
      <c r="K86" s="655"/>
      <c r="L86" s="655"/>
      <c r="M86" s="655"/>
      <c r="N86" s="856"/>
      <c r="O86" s="655"/>
      <c r="P86" s="655"/>
      <c r="Q86" s="692"/>
      <c r="R86" s="662"/>
      <c r="S86" s="857" t="str">
        <f>IMAGE("https://i.ibb.co/Bn2y7rZ/butter.png",3)</f>
        <v/>
      </c>
      <c r="T86" s="655"/>
      <c r="U86" s="740"/>
      <c r="V86" s="858" t="str">
        <f>Source!$P$26</f>
        <v/>
      </c>
      <c r="W86" s="859" t="s">
        <v>528</v>
      </c>
      <c r="X86" s="655"/>
      <c r="Y86" s="655"/>
      <c r="Z86" s="655"/>
      <c r="AA86" s="655"/>
      <c r="AB86" s="655"/>
      <c r="AC86" s="655"/>
      <c r="AD86" s="655"/>
      <c r="AE86" s="860"/>
      <c r="AF86" s="655"/>
      <c r="AG86" s="655"/>
      <c r="AH86" s="692"/>
      <c r="AI86" s="662"/>
      <c r="AJ86" s="668"/>
      <c r="AK86" s="668"/>
      <c r="AL86" s="668"/>
      <c r="AM86" s="668"/>
      <c r="AN86" s="668"/>
    </row>
    <row r="87" ht="19.5" customHeight="1">
      <c r="A87" s="653"/>
      <c r="B87" s="669"/>
      <c r="D87" s="744"/>
      <c r="E87" s="707" t="s">
        <v>1327</v>
      </c>
      <c r="F87" s="708"/>
      <c r="G87" s="708"/>
      <c r="H87" s="708"/>
      <c r="I87" s="708"/>
      <c r="J87" s="708"/>
      <c r="K87" s="708"/>
      <c r="L87" s="708"/>
      <c r="M87" s="708"/>
      <c r="N87" s="708"/>
      <c r="O87" s="708"/>
      <c r="P87" s="708"/>
      <c r="Q87" s="729"/>
      <c r="R87" s="662"/>
      <c r="S87" s="669"/>
      <c r="U87" s="746"/>
      <c r="V87" s="707" t="s">
        <v>260</v>
      </c>
      <c r="W87" s="708"/>
      <c r="X87" s="708"/>
      <c r="Y87" s="708"/>
      <c r="Z87" s="708"/>
      <c r="AA87" s="708"/>
      <c r="AB87" s="708"/>
      <c r="AC87" s="708"/>
      <c r="AD87" s="708"/>
      <c r="AE87" s="708"/>
      <c r="AF87" s="708"/>
      <c r="AG87" s="708"/>
      <c r="AH87" s="729"/>
      <c r="AI87" s="662"/>
      <c r="AJ87" s="668"/>
      <c r="AK87" s="668"/>
      <c r="AL87" s="668"/>
      <c r="AM87" s="668"/>
      <c r="AN87" s="668"/>
    </row>
    <row r="88" ht="25.5" customHeight="1">
      <c r="A88" s="653"/>
      <c r="B88" s="673"/>
      <c r="C88" s="674"/>
      <c r="D88" s="747"/>
      <c r="E88" s="731"/>
      <c r="F88" s="732"/>
      <c r="G88" s="732"/>
      <c r="H88" s="732"/>
      <c r="I88" s="732"/>
      <c r="J88" s="732"/>
      <c r="K88" s="732"/>
      <c r="L88" s="732"/>
      <c r="M88" s="732"/>
      <c r="N88" s="732"/>
      <c r="O88" s="732"/>
      <c r="P88" s="732"/>
      <c r="Q88" s="733"/>
      <c r="R88" s="662"/>
      <c r="S88" s="673"/>
      <c r="T88" s="674"/>
      <c r="U88" s="748"/>
      <c r="V88" s="731"/>
      <c r="W88" s="732"/>
      <c r="X88" s="732"/>
      <c r="Y88" s="732"/>
      <c r="Z88" s="732"/>
      <c r="AA88" s="732"/>
      <c r="AB88" s="732"/>
      <c r="AC88" s="732"/>
      <c r="AD88" s="732"/>
      <c r="AE88" s="732"/>
      <c r="AF88" s="732"/>
      <c r="AG88" s="732"/>
      <c r="AH88" s="733"/>
      <c r="AI88" s="662"/>
      <c r="AJ88" s="668"/>
      <c r="AK88" s="668"/>
      <c r="AL88" s="668"/>
      <c r="AM88" s="668"/>
      <c r="AN88" s="668"/>
    </row>
    <row r="89" ht="2.25" customHeight="1">
      <c r="A89" s="677"/>
      <c r="B89" s="678"/>
      <c r="C89" s="678"/>
      <c r="D89" s="678"/>
      <c r="E89" s="678"/>
      <c r="F89" s="678"/>
      <c r="G89" s="678"/>
      <c r="H89" s="678"/>
      <c r="I89" s="678"/>
      <c r="J89" s="678"/>
      <c r="K89" s="678"/>
      <c r="L89" s="678"/>
      <c r="M89" s="678"/>
      <c r="N89" s="678"/>
      <c r="O89" s="678"/>
      <c r="P89" s="678"/>
      <c r="Q89" s="678"/>
      <c r="R89" s="679"/>
      <c r="S89" s="678"/>
      <c r="T89" s="678"/>
      <c r="U89" s="678"/>
      <c r="V89" s="678"/>
      <c r="W89" s="678"/>
      <c r="X89" s="678"/>
      <c r="Y89" s="678"/>
      <c r="Z89" s="678"/>
      <c r="AA89" s="678"/>
      <c r="AB89" s="678"/>
      <c r="AC89" s="678"/>
      <c r="AD89" s="678"/>
      <c r="AE89" s="678"/>
      <c r="AF89" s="678"/>
      <c r="AG89" s="678"/>
      <c r="AH89" s="678"/>
      <c r="AI89" s="679"/>
      <c r="AJ89" s="651"/>
      <c r="AK89" s="651"/>
      <c r="AL89" s="651"/>
      <c r="AM89" s="651"/>
      <c r="AN89" s="652"/>
    </row>
    <row r="90" ht="15.75" customHeight="1">
      <c r="A90" s="653"/>
      <c r="B90" s="861" t="str">
        <f>IMAGE("https://i.ibb.co/4PxkxTr/orb.png",3)</f>
        <v/>
      </c>
      <c r="C90" s="655"/>
      <c r="D90" s="735"/>
      <c r="E90" s="862" t="str">
        <f>Source!$P$20</f>
        <v/>
      </c>
      <c r="F90" s="863" t="s">
        <v>511</v>
      </c>
      <c r="G90" s="655"/>
      <c r="H90" s="655"/>
      <c r="I90" s="655"/>
      <c r="J90" s="655"/>
      <c r="K90" s="655"/>
      <c r="L90" s="655"/>
      <c r="M90" s="655"/>
      <c r="N90" s="864"/>
      <c r="O90" s="655"/>
      <c r="P90" s="655"/>
      <c r="Q90" s="692"/>
      <c r="R90" s="662"/>
      <c r="S90" s="865" t="str">
        <f>IMAGE("https://i.ibb.co/5vL5tV2/sciz.png",3)</f>
        <v/>
      </c>
      <c r="T90" s="655"/>
      <c r="U90" s="740"/>
      <c r="V90" s="866" t="str">
        <f>Source!$P$42</f>
        <v/>
      </c>
      <c r="W90" s="867" t="s">
        <v>499</v>
      </c>
      <c r="X90" s="655"/>
      <c r="Y90" s="655"/>
      <c r="Z90" s="655"/>
      <c r="AA90" s="655"/>
      <c r="AB90" s="655"/>
      <c r="AC90" s="655"/>
      <c r="AD90" s="655"/>
      <c r="AE90" s="868"/>
      <c r="AF90" s="655"/>
      <c r="AG90" s="655"/>
      <c r="AH90" s="692"/>
      <c r="AI90" s="662"/>
      <c r="AJ90" s="668"/>
      <c r="AK90" s="668"/>
      <c r="AL90" s="668"/>
      <c r="AM90" s="668"/>
      <c r="AN90" s="668"/>
    </row>
    <row r="91" ht="19.5" customHeight="1">
      <c r="A91" s="653"/>
      <c r="B91" s="669"/>
      <c r="D91" s="744"/>
      <c r="E91" s="707" t="s">
        <v>1328</v>
      </c>
      <c r="F91" s="708"/>
      <c r="G91" s="708"/>
      <c r="H91" s="708"/>
      <c r="I91" s="708"/>
      <c r="J91" s="708"/>
      <c r="K91" s="708"/>
      <c r="L91" s="708"/>
      <c r="M91" s="708"/>
      <c r="N91" s="708"/>
      <c r="O91" s="708"/>
      <c r="P91" s="708"/>
      <c r="Q91" s="729"/>
      <c r="R91" s="662"/>
      <c r="S91" s="669"/>
      <c r="U91" s="746"/>
      <c r="V91" s="707" t="s">
        <v>1329</v>
      </c>
      <c r="W91" s="708"/>
      <c r="X91" s="708"/>
      <c r="Y91" s="708"/>
      <c r="Z91" s="708"/>
      <c r="AA91" s="708"/>
      <c r="AB91" s="708"/>
      <c r="AC91" s="708"/>
      <c r="AD91" s="708"/>
      <c r="AE91" s="708"/>
      <c r="AF91" s="708"/>
      <c r="AG91" s="708"/>
      <c r="AH91" s="729"/>
      <c r="AI91" s="662"/>
      <c r="AJ91" s="668"/>
      <c r="AK91" s="668"/>
      <c r="AL91" s="668"/>
      <c r="AM91" s="668"/>
      <c r="AN91" s="668"/>
    </row>
    <row r="92" ht="25.5" customHeight="1">
      <c r="A92" s="653"/>
      <c r="B92" s="673"/>
      <c r="C92" s="674"/>
      <c r="D92" s="747"/>
      <c r="E92" s="731"/>
      <c r="F92" s="732"/>
      <c r="G92" s="732"/>
      <c r="H92" s="732"/>
      <c r="I92" s="732"/>
      <c r="J92" s="732"/>
      <c r="K92" s="732"/>
      <c r="L92" s="732"/>
      <c r="M92" s="732"/>
      <c r="N92" s="732"/>
      <c r="O92" s="732"/>
      <c r="P92" s="732"/>
      <c r="Q92" s="733"/>
      <c r="R92" s="662"/>
      <c r="S92" s="673"/>
      <c r="T92" s="674"/>
      <c r="U92" s="748"/>
      <c r="V92" s="731"/>
      <c r="W92" s="732"/>
      <c r="X92" s="732"/>
      <c r="Y92" s="732"/>
      <c r="Z92" s="732"/>
      <c r="AA92" s="732"/>
      <c r="AB92" s="732"/>
      <c r="AC92" s="732"/>
      <c r="AD92" s="732"/>
      <c r="AE92" s="732"/>
      <c r="AF92" s="732"/>
      <c r="AG92" s="732"/>
      <c r="AH92" s="733"/>
      <c r="AI92" s="662"/>
      <c r="AJ92" s="668"/>
      <c r="AK92" s="668"/>
      <c r="AL92" s="668"/>
      <c r="AM92" s="668"/>
      <c r="AN92" s="668"/>
    </row>
    <row r="93" ht="2.25" customHeight="1">
      <c r="A93" s="677"/>
      <c r="B93" s="678"/>
      <c r="C93" s="678"/>
      <c r="D93" s="678"/>
      <c r="E93" s="678"/>
      <c r="F93" s="678"/>
      <c r="G93" s="678"/>
      <c r="H93" s="678"/>
      <c r="I93" s="678"/>
      <c r="J93" s="678"/>
      <c r="K93" s="678"/>
      <c r="L93" s="678"/>
      <c r="M93" s="678"/>
      <c r="N93" s="678"/>
      <c r="O93" s="678"/>
      <c r="P93" s="678"/>
      <c r="Q93" s="678"/>
      <c r="R93" s="679"/>
      <c r="S93" s="678"/>
      <c r="T93" s="678"/>
      <c r="U93" s="678"/>
      <c r="V93" s="678"/>
      <c r="W93" s="678"/>
      <c r="X93" s="678"/>
      <c r="Y93" s="678"/>
      <c r="Z93" s="678"/>
      <c r="AA93" s="678"/>
      <c r="AB93" s="678"/>
      <c r="AC93" s="678"/>
      <c r="AD93" s="678"/>
      <c r="AE93" s="678"/>
      <c r="AF93" s="678"/>
      <c r="AG93" s="678"/>
      <c r="AH93" s="678"/>
      <c r="AI93" s="679"/>
      <c r="AJ93" s="651"/>
      <c r="AK93" s="651"/>
      <c r="AL93" s="651"/>
      <c r="AM93" s="651"/>
      <c r="AN93" s="652"/>
    </row>
    <row r="94" ht="15.75" customHeight="1">
      <c r="A94" s="653"/>
      <c r="B94" s="869" t="str">
        <f>IMAGE("https://i.ibb.co/RgdZwkQ/lax.png",3)</f>
        <v/>
      </c>
      <c r="C94" s="655"/>
      <c r="D94" s="735"/>
      <c r="E94" s="870" t="str">
        <f>Source!$P$18</f>
        <v/>
      </c>
      <c r="F94" s="871" t="s">
        <v>1198</v>
      </c>
      <c r="G94" s="655"/>
      <c r="H94" s="655"/>
      <c r="I94" s="655"/>
      <c r="J94" s="655"/>
      <c r="K94" s="655"/>
      <c r="L94" s="655"/>
      <c r="M94" s="655"/>
      <c r="N94" s="872"/>
      <c r="O94" s="655"/>
      <c r="P94" s="655"/>
      <c r="Q94" s="692"/>
      <c r="R94" s="662"/>
      <c r="S94" s="873" t="str">
        <f>IMAGE("https://i.ibb.co/MDnyTrT/chomp.png",3)</f>
        <v/>
      </c>
      <c r="T94" s="655"/>
      <c r="U94" s="740"/>
      <c r="V94" s="874" t="str">
        <f>Source!$P$19</f>
        <v/>
      </c>
      <c r="W94" s="875" t="s">
        <v>1169</v>
      </c>
      <c r="X94" s="655"/>
      <c r="Y94" s="655"/>
      <c r="Z94" s="655"/>
      <c r="AA94" s="655"/>
      <c r="AB94" s="655"/>
      <c r="AC94" s="655"/>
      <c r="AD94" s="655"/>
      <c r="AE94" s="876"/>
      <c r="AF94" s="655"/>
      <c r="AG94" s="655"/>
      <c r="AH94" s="692"/>
      <c r="AI94" s="662"/>
      <c r="AJ94" s="668"/>
      <c r="AK94" s="668"/>
      <c r="AL94" s="668"/>
      <c r="AM94" s="668"/>
      <c r="AN94" s="668"/>
    </row>
    <row r="95" ht="19.5" customHeight="1">
      <c r="A95" s="653"/>
      <c r="B95" s="669"/>
      <c r="D95" s="744"/>
      <c r="E95" s="707" t="s">
        <v>1330</v>
      </c>
      <c r="F95" s="708"/>
      <c r="G95" s="708"/>
      <c r="H95" s="708"/>
      <c r="I95" s="708"/>
      <c r="J95" s="708"/>
      <c r="K95" s="708"/>
      <c r="L95" s="708"/>
      <c r="M95" s="708"/>
      <c r="N95" s="708"/>
      <c r="O95" s="708"/>
      <c r="P95" s="708"/>
      <c r="Q95" s="729"/>
      <c r="R95" s="662"/>
      <c r="S95" s="669"/>
      <c r="U95" s="746"/>
      <c r="V95" s="707" t="s">
        <v>1331</v>
      </c>
      <c r="W95" s="708"/>
      <c r="X95" s="708"/>
      <c r="Y95" s="708"/>
      <c r="Z95" s="708"/>
      <c r="AA95" s="708"/>
      <c r="AB95" s="708"/>
      <c r="AC95" s="708"/>
      <c r="AD95" s="708"/>
      <c r="AE95" s="708"/>
      <c r="AF95" s="708"/>
      <c r="AG95" s="708"/>
      <c r="AH95" s="729"/>
      <c r="AI95" s="662"/>
      <c r="AJ95" s="668"/>
      <c r="AK95" s="668"/>
      <c r="AL95" s="668"/>
      <c r="AM95" s="668"/>
      <c r="AN95" s="668"/>
    </row>
    <row r="96" ht="25.5" customHeight="1">
      <c r="A96" s="653"/>
      <c r="B96" s="673"/>
      <c r="C96" s="674"/>
      <c r="D96" s="747"/>
      <c r="E96" s="731"/>
      <c r="F96" s="732"/>
      <c r="G96" s="732"/>
      <c r="H96" s="732"/>
      <c r="I96" s="732"/>
      <c r="J96" s="732"/>
      <c r="K96" s="732"/>
      <c r="L96" s="732"/>
      <c r="M96" s="732"/>
      <c r="N96" s="732"/>
      <c r="O96" s="732"/>
      <c r="P96" s="732"/>
      <c r="Q96" s="733"/>
      <c r="R96" s="662"/>
      <c r="S96" s="673"/>
      <c r="T96" s="674"/>
      <c r="U96" s="748"/>
      <c r="V96" s="731"/>
      <c r="W96" s="732"/>
      <c r="X96" s="732"/>
      <c r="Y96" s="732"/>
      <c r="Z96" s="732"/>
      <c r="AA96" s="732"/>
      <c r="AB96" s="732"/>
      <c r="AC96" s="732"/>
      <c r="AD96" s="732"/>
      <c r="AE96" s="732"/>
      <c r="AF96" s="732"/>
      <c r="AG96" s="732"/>
      <c r="AH96" s="733"/>
      <c r="AI96" s="662"/>
      <c r="AJ96" s="668"/>
      <c r="AK96" s="668"/>
      <c r="AL96" s="668"/>
      <c r="AM96" s="668"/>
      <c r="AN96" s="668"/>
    </row>
    <row r="97" ht="2.25" customHeight="1">
      <c r="A97" s="677"/>
      <c r="B97" s="678"/>
      <c r="C97" s="678"/>
      <c r="D97" s="678"/>
      <c r="E97" s="678"/>
      <c r="F97" s="678"/>
      <c r="G97" s="678"/>
      <c r="H97" s="678"/>
      <c r="I97" s="678"/>
      <c r="J97" s="678"/>
      <c r="K97" s="678"/>
      <c r="L97" s="678"/>
      <c r="M97" s="678"/>
      <c r="N97" s="678"/>
      <c r="O97" s="678"/>
      <c r="P97" s="678"/>
      <c r="Q97" s="678"/>
      <c r="R97" s="679"/>
      <c r="S97" s="678"/>
      <c r="T97" s="678"/>
      <c r="U97" s="678"/>
      <c r="V97" s="678"/>
      <c r="W97" s="678"/>
      <c r="X97" s="678"/>
      <c r="Y97" s="678"/>
      <c r="Z97" s="678"/>
      <c r="AA97" s="678"/>
      <c r="AB97" s="678"/>
      <c r="AC97" s="678"/>
      <c r="AD97" s="678"/>
      <c r="AE97" s="678"/>
      <c r="AF97" s="678"/>
      <c r="AG97" s="678"/>
      <c r="AH97" s="678"/>
      <c r="AI97" s="679"/>
      <c r="AJ97" s="651"/>
      <c r="AK97" s="651"/>
      <c r="AL97" s="651"/>
      <c r="AM97" s="651"/>
      <c r="AN97" s="652"/>
    </row>
    <row r="98" ht="15.75" customHeight="1">
      <c r="A98" s="653"/>
      <c r="B98" s="877" t="str">
        <f>IMAGE("https://i.ibb.co/19VmxSj/gross.png",3)</f>
        <v/>
      </c>
      <c r="C98" s="655"/>
      <c r="D98" s="735"/>
      <c r="E98" s="878" t="str">
        <f>Source!$P$34</f>
        <v/>
      </c>
      <c r="F98" s="879" t="s">
        <v>1217</v>
      </c>
      <c r="G98" s="655"/>
      <c r="H98" s="655"/>
      <c r="I98" s="655"/>
      <c r="J98" s="655"/>
      <c r="K98" s="655"/>
      <c r="L98" s="655"/>
      <c r="M98" s="655"/>
      <c r="N98" s="880"/>
      <c r="O98" s="655"/>
      <c r="P98" s="655"/>
      <c r="Q98" s="692"/>
      <c r="R98" s="662"/>
      <c r="S98" s="881" t="str">
        <f>IMAGE("https://i.ibb.co/9wZy1NS/aero.png",3)</f>
        <v/>
      </c>
      <c r="T98" s="655"/>
      <c r="U98" s="740"/>
      <c r="V98" s="882" t="str">
        <f>Source!$P$4</f>
        <v/>
      </c>
      <c r="W98" s="883" t="s">
        <v>545</v>
      </c>
      <c r="X98" s="655"/>
      <c r="Y98" s="655"/>
      <c r="Z98" s="655"/>
      <c r="AA98" s="655"/>
      <c r="AB98" s="655"/>
      <c r="AC98" s="655"/>
      <c r="AD98" s="655"/>
      <c r="AE98" s="884"/>
      <c r="AF98" s="655"/>
      <c r="AG98" s="655"/>
      <c r="AH98" s="692"/>
      <c r="AI98" s="662"/>
      <c r="AJ98" s="668"/>
      <c r="AK98" s="668"/>
      <c r="AL98" s="668"/>
      <c r="AM98" s="668"/>
      <c r="AN98" s="668"/>
    </row>
    <row r="99" ht="19.5" customHeight="1">
      <c r="A99" s="653"/>
      <c r="B99" s="669"/>
      <c r="D99" s="744"/>
      <c r="E99" s="707" t="s">
        <v>1332</v>
      </c>
      <c r="F99" s="708"/>
      <c r="G99" s="708"/>
      <c r="H99" s="708"/>
      <c r="I99" s="708"/>
      <c r="J99" s="708"/>
      <c r="K99" s="708"/>
      <c r="L99" s="708"/>
      <c r="M99" s="708"/>
      <c r="N99" s="708"/>
      <c r="O99" s="708"/>
      <c r="P99" s="708"/>
      <c r="Q99" s="729"/>
      <c r="R99" s="662"/>
      <c r="S99" s="669"/>
      <c r="U99" s="746"/>
      <c r="V99" s="707" t="s">
        <v>1333</v>
      </c>
      <c r="W99" s="708"/>
      <c r="X99" s="708"/>
      <c r="Y99" s="708"/>
      <c r="Z99" s="708"/>
      <c r="AA99" s="708"/>
      <c r="AB99" s="708"/>
      <c r="AC99" s="708"/>
      <c r="AD99" s="708"/>
      <c r="AE99" s="708"/>
      <c r="AF99" s="708"/>
      <c r="AG99" s="708"/>
      <c r="AH99" s="729"/>
      <c r="AI99" s="662"/>
      <c r="AJ99" s="668"/>
      <c r="AK99" s="668"/>
      <c r="AL99" s="668"/>
      <c r="AM99" s="668"/>
      <c r="AN99" s="668"/>
    </row>
    <row r="100" ht="25.5" customHeight="1">
      <c r="A100" s="653"/>
      <c r="B100" s="673"/>
      <c r="C100" s="674"/>
      <c r="D100" s="747"/>
      <c r="E100" s="731"/>
      <c r="F100" s="732"/>
      <c r="G100" s="732"/>
      <c r="H100" s="732"/>
      <c r="I100" s="732"/>
      <c r="J100" s="732"/>
      <c r="K100" s="732"/>
      <c r="L100" s="732"/>
      <c r="M100" s="732"/>
      <c r="N100" s="732"/>
      <c r="O100" s="732"/>
      <c r="P100" s="732"/>
      <c r="Q100" s="733"/>
      <c r="R100" s="662"/>
      <c r="S100" s="673"/>
      <c r="T100" s="674"/>
      <c r="U100" s="748"/>
      <c r="V100" s="731"/>
      <c r="W100" s="732"/>
      <c r="X100" s="732"/>
      <c r="Y100" s="732"/>
      <c r="Z100" s="732"/>
      <c r="AA100" s="732"/>
      <c r="AB100" s="732"/>
      <c r="AC100" s="732"/>
      <c r="AD100" s="732"/>
      <c r="AE100" s="732"/>
      <c r="AF100" s="732"/>
      <c r="AG100" s="732"/>
      <c r="AH100" s="733"/>
      <c r="AI100" s="662"/>
      <c r="AJ100" s="668"/>
      <c r="AK100" s="668"/>
      <c r="AL100" s="668"/>
      <c r="AM100" s="668"/>
      <c r="AN100" s="668"/>
    </row>
    <row r="101" ht="2.25" customHeight="1">
      <c r="A101" s="677"/>
      <c r="B101" s="678"/>
      <c r="C101" s="678"/>
      <c r="D101" s="678"/>
      <c r="E101" s="678"/>
      <c r="F101" s="678"/>
      <c r="G101" s="678"/>
      <c r="H101" s="678"/>
      <c r="I101" s="678"/>
      <c r="J101" s="678"/>
      <c r="K101" s="678"/>
      <c r="L101" s="678"/>
      <c r="M101" s="678"/>
      <c r="N101" s="678"/>
      <c r="O101" s="678"/>
      <c r="P101" s="678"/>
      <c r="Q101" s="678"/>
      <c r="R101" s="679"/>
      <c r="S101" s="678"/>
      <c r="T101" s="678"/>
      <c r="U101" s="678"/>
      <c r="V101" s="678"/>
      <c r="W101" s="678"/>
      <c r="X101" s="678"/>
      <c r="Y101" s="678"/>
      <c r="Z101" s="678"/>
      <c r="AA101" s="678"/>
      <c r="AB101" s="678"/>
      <c r="AC101" s="678"/>
      <c r="AD101" s="678"/>
      <c r="AE101" s="678"/>
      <c r="AF101" s="678"/>
      <c r="AG101" s="678"/>
      <c r="AH101" s="678"/>
      <c r="AI101" s="679"/>
      <c r="AJ101" s="651"/>
      <c r="AK101" s="651"/>
      <c r="AL101" s="651"/>
      <c r="AM101" s="651"/>
      <c r="AN101" s="652"/>
    </row>
    <row r="102" ht="15.75" customHeight="1">
      <c r="A102" s="653"/>
      <c r="B102" s="885" t="str">
        <f>IMAGE("https://i.ibb.co/7NhPCZT/gyara.png",3)</f>
        <v/>
      </c>
      <c r="C102" s="655"/>
      <c r="D102" s="735"/>
      <c r="E102" s="886" t="str">
        <f>Source!$P$23</f>
        <v/>
      </c>
      <c r="F102" s="887" t="s">
        <v>617</v>
      </c>
      <c r="G102" s="655"/>
      <c r="H102" s="655"/>
      <c r="I102" s="655"/>
      <c r="J102" s="655"/>
      <c r="K102" s="655"/>
      <c r="L102" s="655"/>
      <c r="M102" s="655"/>
      <c r="N102" s="888"/>
      <c r="O102" s="655"/>
      <c r="P102" s="655"/>
      <c r="Q102" s="692"/>
      <c r="R102" s="662"/>
      <c r="S102" s="889" t="str">
        <f>IMAGE("https://i.ibb.co/v12x4hm/mane.png",3)</f>
        <v/>
      </c>
      <c r="T102" s="655"/>
      <c r="U102" s="740"/>
      <c r="V102" s="890" t="str">
        <f>Source!$P$31</f>
        <v/>
      </c>
      <c r="W102" s="891" t="s">
        <v>666</v>
      </c>
      <c r="X102" s="655"/>
      <c r="Y102" s="655"/>
      <c r="Z102" s="655"/>
      <c r="AA102" s="655"/>
      <c r="AB102" s="655"/>
      <c r="AC102" s="655"/>
      <c r="AD102" s="655"/>
      <c r="AE102" s="892"/>
      <c r="AF102" s="655"/>
      <c r="AG102" s="655"/>
      <c r="AH102" s="692"/>
      <c r="AI102" s="662"/>
      <c r="AJ102" s="668"/>
      <c r="AK102" s="668"/>
      <c r="AL102" s="668"/>
      <c r="AM102" s="668"/>
      <c r="AN102" s="668"/>
    </row>
    <row r="103" ht="19.5" customHeight="1">
      <c r="A103" s="653"/>
      <c r="B103" s="669"/>
      <c r="D103" s="744"/>
      <c r="E103" s="707" t="s">
        <v>1334</v>
      </c>
      <c r="F103" s="708"/>
      <c r="G103" s="708"/>
      <c r="H103" s="708"/>
      <c r="I103" s="708"/>
      <c r="J103" s="708"/>
      <c r="K103" s="708"/>
      <c r="L103" s="708"/>
      <c r="M103" s="708"/>
      <c r="N103" s="708"/>
      <c r="O103" s="708"/>
      <c r="P103" s="708"/>
      <c r="Q103" s="729"/>
      <c r="R103" s="662"/>
      <c r="S103" s="669"/>
      <c r="U103" s="746"/>
      <c r="V103" s="707" t="s">
        <v>1335</v>
      </c>
      <c r="W103" s="708"/>
      <c r="X103" s="708"/>
      <c r="Y103" s="708"/>
      <c r="Z103" s="708"/>
      <c r="AA103" s="708"/>
      <c r="AB103" s="708"/>
      <c r="AC103" s="708"/>
      <c r="AD103" s="708"/>
      <c r="AE103" s="708"/>
      <c r="AF103" s="708"/>
      <c r="AG103" s="708"/>
      <c r="AH103" s="729"/>
      <c r="AI103" s="662"/>
      <c r="AJ103" s="668"/>
      <c r="AK103" s="668"/>
      <c r="AL103" s="668"/>
      <c r="AM103" s="668"/>
      <c r="AN103" s="668"/>
    </row>
    <row r="104" ht="25.5" customHeight="1">
      <c r="A104" s="653"/>
      <c r="B104" s="673"/>
      <c r="C104" s="674"/>
      <c r="D104" s="747"/>
      <c r="E104" s="731"/>
      <c r="F104" s="732"/>
      <c r="G104" s="732"/>
      <c r="H104" s="732"/>
      <c r="I104" s="732"/>
      <c r="J104" s="732"/>
      <c r="K104" s="732"/>
      <c r="L104" s="732"/>
      <c r="M104" s="732"/>
      <c r="N104" s="732"/>
      <c r="O104" s="732"/>
      <c r="P104" s="732"/>
      <c r="Q104" s="733"/>
      <c r="R104" s="662"/>
      <c r="S104" s="673"/>
      <c r="T104" s="674"/>
      <c r="U104" s="748"/>
      <c r="V104" s="731"/>
      <c r="W104" s="732"/>
      <c r="X104" s="732"/>
      <c r="Y104" s="732"/>
      <c r="Z104" s="732"/>
      <c r="AA104" s="732"/>
      <c r="AB104" s="732"/>
      <c r="AC104" s="732"/>
      <c r="AD104" s="732"/>
      <c r="AE104" s="732"/>
      <c r="AF104" s="732"/>
      <c r="AG104" s="732"/>
      <c r="AH104" s="733"/>
      <c r="AI104" s="662"/>
      <c r="AJ104" s="668"/>
      <c r="AK104" s="668"/>
      <c r="AL104" s="668"/>
      <c r="AM104" s="668"/>
      <c r="AN104" s="668"/>
    </row>
    <row r="105" ht="2.25" customHeight="1">
      <c r="A105" s="677"/>
      <c r="B105" s="678"/>
      <c r="C105" s="678"/>
      <c r="D105" s="678"/>
      <c r="E105" s="678"/>
      <c r="F105" s="678"/>
      <c r="G105" s="678"/>
      <c r="H105" s="678"/>
      <c r="I105" s="678"/>
      <c r="J105" s="678"/>
      <c r="K105" s="678"/>
      <c r="L105" s="678"/>
      <c r="M105" s="678"/>
      <c r="N105" s="678"/>
      <c r="O105" s="678"/>
      <c r="P105" s="678"/>
      <c r="Q105" s="678"/>
      <c r="R105" s="679"/>
      <c r="S105" s="678"/>
      <c r="T105" s="678"/>
      <c r="U105" s="678"/>
      <c r="V105" s="678"/>
      <c r="W105" s="678"/>
      <c r="X105" s="678"/>
      <c r="Y105" s="678"/>
      <c r="Z105" s="678"/>
      <c r="AA105" s="678"/>
      <c r="AB105" s="678"/>
      <c r="AC105" s="678"/>
      <c r="AD105" s="678"/>
      <c r="AE105" s="678"/>
      <c r="AF105" s="678"/>
      <c r="AG105" s="678"/>
      <c r="AH105" s="678"/>
      <c r="AI105" s="679"/>
      <c r="AJ105" s="651"/>
      <c r="AK105" s="651"/>
      <c r="AL105" s="651"/>
      <c r="AM105" s="651"/>
      <c r="AN105" s="652"/>
    </row>
    <row r="106" ht="15.75" customHeight="1">
      <c r="A106" s="653"/>
      <c r="B106" s="893" t="str">
        <f>IMAGE("https://i.ibb.co/rbZ2WRt/lade.png",3)</f>
        <v/>
      </c>
      <c r="C106" s="655"/>
      <c r="D106" s="735"/>
      <c r="E106" s="894" t="str">
        <f>Source!$P$18</f>
        <v/>
      </c>
      <c r="F106" s="895" t="s">
        <v>884</v>
      </c>
      <c r="G106" s="655"/>
      <c r="H106" s="655"/>
      <c r="I106" s="655"/>
      <c r="J106" s="655"/>
      <c r="K106" s="655"/>
      <c r="L106" s="655"/>
      <c r="M106" s="655"/>
      <c r="N106" s="738"/>
      <c r="O106" s="655"/>
      <c r="P106" s="655"/>
      <c r="Q106" s="692"/>
      <c r="R106" s="662"/>
      <c r="S106" s="896" t="str">
        <f>IMAGE("https://i.ibb.co/1sb0C7f/gengr.png",3)</f>
        <v/>
      </c>
      <c r="T106" s="655"/>
      <c r="U106" s="740"/>
      <c r="V106" s="897" t="str">
        <f>Source!$P$21</f>
        <v/>
      </c>
      <c r="W106" s="898" t="s">
        <v>760</v>
      </c>
      <c r="X106" s="655"/>
      <c r="Y106" s="655"/>
      <c r="Z106" s="655"/>
      <c r="AA106" s="655"/>
      <c r="AB106" s="655"/>
      <c r="AC106" s="655"/>
      <c r="AD106" s="655"/>
      <c r="AE106" s="899"/>
      <c r="AF106" s="655"/>
      <c r="AG106" s="655"/>
      <c r="AH106" s="692"/>
      <c r="AI106" s="662"/>
      <c r="AJ106" s="668"/>
      <c r="AK106" s="668"/>
      <c r="AL106" s="668"/>
      <c r="AM106" s="668"/>
      <c r="AN106" s="668"/>
    </row>
    <row r="107" ht="19.5" customHeight="1">
      <c r="A107" s="653"/>
      <c r="B107" s="669"/>
      <c r="D107" s="744"/>
      <c r="E107" s="707" t="s">
        <v>1336</v>
      </c>
      <c r="F107" s="708"/>
      <c r="G107" s="708"/>
      <c r="H107" s="708"/>
      <c r="I107" s="708"/>
      <c r="J107" s="708"/>
      <c r="K107" s="708"/>
      <c r="L107" s="708"/>
      <c r="M107" s="708"/>
      <c r="N107" s="708"/>
      <c r="O107" s="708"/>
      <c r="P107" s="708"/>
      <c r="Q107" s="729"/>
      <c r="R107" s="662"/>
      <c r="S107" s="669"/>
      <c r="U107" s="746"/>
      <c r="V107" s="707" t="s">
        <v>1337</v>
      </c>
      <c r="W107" s="708"/>
      <c r="X107" s="708"/>
      <c r="Y107" s="708"/>
      <c r="Z107" s="708"/>
      <c r="AA107" s="708"/>
      <c r="AB107" s="708"/>
      <c r="AC107" s="708"/>
      <c r="AD107" s="708"/>
      <c r="AE107" s="708"/>
      <c r="AF107" s="708"/>
      <c r="AG107" s="708"/>
      <c r="AH107" s="729"/>
      <c r="AI107" s="662"/>
      <c r="AJ107" s="668"/>
      <c r="AK107" s="668"/>
      <c r="AL107" s="668"/>
      <c r="AM107" s="668"/>
      <c r="AN107" s="668"/>
    </row>
    <row r="108" ht="25.5" customHeight="1">
      <c r="A108" s="653"/>
      <c r="B108" s="673"/>
      <c r="C108" s="674"/>
      <c r="D108" s="747"/>
      <c r="E108" s="731"/>
      <c r="F108" s="732"/>
      <c r="G108" s="732"/>
      <c r="H108" s="732"/>
      <c r="I108" s="732"/>
      <c r="J108" s="732"/>
      <c r="K108" s="732"/>
      <c r="L108" s="732"/>
      <c r="M108" s="732"/>
      <c r="N108" s="732"/>
      <c r="O108" s="732"/>
      <c r="P108" s="732"/>
      <c r="Q108" s="733"/>
      <c r="R108" s="662"/>
      <c r="S108" s="673"/>
      <c r="T108" s="674"/>
      <c r="U108" s="748"/>
      <c r="V108" s="731"/>
      <c r="W108" s="732"/>
      <c r="X108" s="732"/>
      <c r="Y108" s="732"/>
      <c r="Z108" s="732"/>
      <c r="AA108" s="732"/>
      <c r="AB108" s="732"/>
      <c r="AC108" s="732"/>
      <c r="AD108" s="732"/>
      <c r="AE108" s="732"/>
      <c r="AF108" s="732"/>
      <c r="AG108" s="732"/>
      <c r="AH108" s="733"/>
      <c r="AI108" s="662"/>
      <c r="AJ108" s="668"/>
      <c r="AK108" s="668"/>
      <c r="AL108" s="668"/>
      <c r="AM108" s="668"/>
      <c r="AN108" s="668"/>
    </row>
    <row r="109" ht="2.25" customHeight="1">
      <c r="A109" s="677"/>
      <c r="B109" s="678"/>
      <c r="C109" s="678"/>
      <c r="D109" s="678"/>
      <c r="E109" s="678"/>
      <c r="F109" s="678"/>
      <c r="G109" s="678"/>
      <c r="H109" s="678"/>
      <c r="I109" s="678"/>
      <c r="J109" s="678"/>
      <c r="K109" s="678"/>
      <c r="L109" s="678"/>
      <c r="M109" s="678"/>
      <c r="N109" s="678"/>
      <c r="O109" s="678"/>
      <c r="P109" s="678"/>
      <c r="Q109" s="678"/>
      <c r="R109" s="679"/>
      <c r="S109" s="678"/>
      <c r="T109" s="678"/>
      <c r="U109" s="678"/>
      <c r="V109" s="678"/>
      <c r="W109" s="678"/>
      <c r="X109" s="678"/>
      <c r="Y109" s="678"/>
      <c r="Z109" s="678"/>
      <c r="AA109" s="678"/>
      <c r="AB109" s="678"/>
      <c r="AC109" s="678"/>
      <c r="AD109" s="678"/>
      <c r="AE109" s="678"/>
      <c r="AF109" s="678"/>
      <c r="AG109" s="678"/>
      <c r="AH109" s="678"/>
      <c r="AI109" s="679"/>
      <c r="AJ109" s="651"/>
      <c r="AK109" s="651"/>
      <c r="AL109" s="651"/>
      <c r="AM109" s="651"/>
      <c r="AN109" s="652"/>
    </row>
    <row r="110" ht="15.75" customHeight="1">
      <c r="A110" s="653"/>
      <c r="B110" s="900" t="str">
        <f>IMAGE("https://i.ibb.co/rQMSN2J/copper.png",3)</f>
        <v/>
      </c>
      <c r="C110" s="655"/>
      <c r="D110" s="740"/>
      <c r="E110" s="901" t="str">
        <f>Source!$P$42</f>
        <v/>
      </c>
      <c r="F110" s="902" t="s">
        <v>670</v>
      </c>
      <c r="G110" s="655"/>
      <c r="H110" s="655"/>
      <c r="I110" s="655"/>
      <c r="J110" s="655"/>
      <c r="K110" s="655"/>
      <c r="L110" s="655"/>
      <c r="M110" s="655"/>
      <c r="N110" s="903"/>
      <c r="O110" s="655"/>
      <c r="P110" s="655"/>
      <c r="Q110" s="692"/>
      <c r="R110" s="662"/>
      <c r="S110" s="904" t="str">
        <f>IMAGE("https://i.ibb.co/3fjsqJV/centi.png",3)</f>
        <v/>
      </c>
      <c r="T110" s="655"/>
      <c r="U110" s="740"/>
      <c r="V110" s="905" t="str">
        <f>Source!$P$16</f>
        <v/>
      </c>
      <c r="W110" s="906" t="s">
        <v>779</v>
      </c>
      <c r="X110" s="655"/>
      <c r="Y110" s="655"/>
      <c r="Z110" s="655"/>
      <c r="AA110" s="655"/>
      <c r="AB110" s="655"/>
      <c r="AC110" s="655"/>
      <c r="AD110" s="655"/>
      <c r="AE110" s="907"/>
      <c r="AF110" s="655"/>
      <c r="AG110" s="655"/>
      <c r="AH110" s="692"/>
      <c r="AI110" s="662"/>
      <c r="AJ110" s="668"/>
      <c r="AK110" s="668"/>
      <c r="AL110" s="668"/>
      <c r="AM110" s="668"/>
      <c r="AN110" s="668"/>
    </row>
    <row r="111" ht="19.5" customHeight="1">
      <c r="A111" s="653"/>
      <c r="B111" s="669"/>
      <c r="D111" s="746"/>
      <c r="E111" s="707" t="s">
        <v>1338</v>
      </c>
      <c r="F111" s="708"/>
      <c r="G111" s="708"/>
      <c r="H111" s="708"/>
      <c r="I111" s="708"/>
      <c r="J111" s="708"/>
      <c r="K111" s="708"/>
      <c r="L111" s="708"/>
      <c r="M111" s="708"/>
      <c r="N111" s="708"/>
      <c r="O111" s="708"/>
      <c r="P111" s="708"/>
      <c r="Q111" s="729"/>
      <c r="R111" s="662"/>
      <c r="S111" s="669"/>
      <c r="U111" s="746"/>
      <c r="V111" s="707" t="s">
        <v>1339</v>
      </c>
      <c r="W111" s="708"/>
      <c r="X111" s="708"/>
      <c r="Y111" s="708"/>
      <c r="Z111" s="708"/>
      <c r="AA111" s="708"/>
      <c r="AB111" s="708"/>
      <c r="AC111" s="708"/>
      <c r="AD111" s="708"/>
      <c r="AE111" s="708"/>
      <c r="AF111" s="708"/>
      <c r="AG111" s="708"/>
      <c r="AH111" s="729"/>
      <c r="AI111" s="662"/>
      <c r="AJ111" s="668"/>
      <c r="AK111" s="668"/>
      <c r="AL111" s="668"/>
      <c r="AM111" s="668"/>
      <c r="AN111" s="668"/>
    </row>
    <row r="112" ht="25.5" customHeight="1">
      <c r="A112" s="653"/>
      <c r="B112" s="673"/>
      <c r="C112" s="674"/>
      <c r="D112" s="748"/>
      <c r="E112" s="731"/>
      <c r="F112" s="732"/>
      <c r="G112" s="732"/>
      <c r="H112" s="732"/>
      <c r="I112" s="732"/>
      <c r="J112" s="732"/>
      <c r="K112" s="732"/>
      <c r="L112" s="732"/>
      <c r="M112" s="732"/>
      <c r="N112" s="732"/>
      <c r="O112" s="732"/>
      <c r="P112" s="732"/>
      <c r="Q112" s="733"/>
      <c r="R112" s="662"/>
      <c r="S112" s="673"/>
      <c r="T112" s="674"/>
      <c r="U112" s="748"/>
      <c r="V112" s="731"/>
      <c r="W112" s="732"/>
      <c r="X112" s="732"/>
      <c r="Y112" s="732"/>
      <c r="Z112" s="732"/>
      <c r="AA112" s="732"/>
      <c r="AB112" s="732"/>
      <c r="AC112" s="732"/>
      <c r="AD112" s="732"/>
      <c r="AE112" s="732"/>
      <c r="AF112" s="732"/>
      <c r="AG112" s="732"/>
      <c r="AH112" s="733"/>
      <c r="AI112" s="662"/>
      <c r="AJ112" s="668"/>
      <c r="AK112" s="668"/>
      <c r="AL112" s="668"/>
      <c r="AM112" s="668"/>
      <c r="AN112" s="668"/>
    </row>
    <row r="113" ht="2.25" customHeight="1">
      <c r="A113" s="677"/>
      <c r="B113" s="678"/>
      <c r="C113" s="678"/>
      <c r="D113" s="678"/>
      <c r="E113" s="678"/>
      <c r="F113" s="678"/>
      <c r="G113" s="678"/>
      <c r="H113" s="678"/>
      <c r="I113" s="678"/>
      <c r="J113" s="678"/>
      <c r="K113" s="678"/>
      <c r="L113" s="678"/>
      <c r="M113" s="678"/>
      <c r="N113" s="678"/>
      <c r="O113" s="678"/>
      <c r="P113" s="678"/>
      <c r="Q113" s="678"/>
      <c r="R113" s="679"/>
      <c r="S113" s="678"/>
      <c r="T113" s="678"/>
      <c r="U113" s="678"/>
      <c r="V113" s="678"/>
      <c r="W113" s="678"/>
      <c r="X113" s="678"/>
      <c r="Y113" s="678"/>
      <c r="Z113" s="678"/>
      <c r="AA113" s="678"/>
      <c r="AB113" s="678"/>
      <c r="AC113" s="678"/>
      <c r="AD113" s="678"/>
      <c r="AE113" s="678"/>
      <c r="AF113" s="678"/>
      <c r="AG113" s="678"/>
      <c r="AH113" s="678"/>
      <c r="AI113" s="679"/>
      <c r="AJ113" s="651"/>
      <c r="AK113" s="651"/>
      <c r="AL113" s="651"/>
      <c r="AM113" s="651"/>
      <c r="AN113" s="652"/>
    </row>
    <row r="114" ht="15.75" customHeight="1">
      <c r="A114" s="653"/>
      <c r="B114" s="908" t="str">
        <f>IMAGE("https://i.ibb.co/NmzXkPW/sanda.png",3)</f>
        <v/>
      </c>
      <c r="C114" s="655"/>
      <c r="D114" s="735"/>
      <c r="E114" s="909" t="str">
        <f>Source!$P$29</f>
        <v/>
      </c>
      <c r="F114" s="910" t="s">
        <v>1013</v>
      </c>
      <c r="G114" s="655"/>
      <c r="H114" s="655"/>
      <c r="I114" s="655"/>
      <c r="J114" s="655"/>
      <c r="K114" s="655"/>
      <c r="L114" s="655"/>
      <c r="M114" s="655"/>
      <c r="N114" s="911"/>
      <c r="O114" s="655"/>
      <c r="P114" s="655"/>
      <c r="Q114" s="692"/>
      <c r="R114" s="662"/>
      <c r="S114" s="912" t="str">
        <f>IMAGE("https://i.ibb.co/FmsRwHk/appl.png",3)</f>
        <v/>
      </c>
      <c r="T114" s="655"/>
      <c r="U114" s="740"/>
      <c r="V114" s="913" t="str">
        <f>Source!$P$48</f>
        <v/>
      </c>
      <c r="W114" s="914" t="s">
        <v>810</v>
      </c>
      <c r="X114" s="655"/>
      <c r="Y114" s="655"/>
      <c r="Z114" s="655"/>
      <c r="AA114" s="655"/>
      <c r="AB114" s="655"/>
      <c r="AC114" s="655"/>
      <c r="AD114" s="655"/>
      <c r="AE114" s="915"/>
      <c r="AF114" s="655"/>
      <c r="AG114" s="655"/>
      <c r="AH114" s="692"/>
      <c r="AI114" s="662"/>
      <c r="AJ114" s="668"/>
      <c r="AK114" s="668"/>
      <c r="AL114" s="668"/>
      <c r="AM114" s="668"/>
      <c r="AN114" s="668"/>
    </row>
    <row r="115" ht="19.5" customHeight="1">
      <c r="A115" s="653"/>
      <c r="B115" s="669"/>
      <c r="D115" s="744"/>
      <c r="E115" s="707" t="s">
        <v>1340</v>
      </c>
      <c r="F115" s="708"/>
      <c r="G115" s="708"/>
      <c r="H115" s="708"/>
      <c r="I115" s="708"/>
      <c r="J115" s="708"/>
      <c r="K115" s="708"/>
      <c r="L115" s="708"/>
      <c r="M115" s="708"/>
      <c r="N115" s="708"/>
      <c r="O115" s="708"/>
      <c r="P115" s="708"/>
      <c r="Q115" s="729"/>
      <c r="R115" s="662"/>
      <c r="S115" s="669"/>
      <c r="U115" s="746"/>
      <c r="V115" s="707" t="s">
        <v>1341</v>
      </c>
      <c r="W115" s="708"/>
      <c r="X115" s="708"/>
      <c r="Y115" s="708"/>
      <c r="Z115" s="708"/>
      <c r="AA115" s="708"/>
      <c r="AB115" s="708"/>
      <c r="AC115" s="708"/>
      <c r="AD115" s="708"/>
      <c r="AE115" s="708"/>
      <c r="AF115" s="708"/>
      <c r="AG115" s="708"/>
      <c r="AH115" s="729"/>
      <c r="AI115" s="662"/>
      <c r="AJ115" s="668"/>
      <c r="AK115" s="668"/>
      <c r="AL115" s="668"/>
      <c r="AM115" s="668"/>
      <c r="AN115" s="668"/>
    </row>
    <row r="116" ht="25.5" customHeight="1">
      <c r="A116" s="653"/>
      <c r="B116" s="673"/>
      <c r="C116" s="674"/>
      <c r="D116" s="747"/>
      <c r="E116" s="731"/>
      <c r="F116" s="732"/>
      <c r="G116" s="732"/>
      <c r="H116" s="732"/>
      <c r="I116" s="732"/>
      <c r="J116" s="732"/>
      <c r="K116" s="732"/>
      <c r="L116" s="732"/>
      <c r="M116" s="732"/>
      <c r="N116" s="732"/>
      <c r="O116" s="732"/>
      <c r="P116" s="732"/>
      <c r="Q116" s="733"/>
      <c r="R116" s="662"/>
      <c r="S116" s="673"/>
      <c r="T116" s="674"/>
      <c r="U116" s="748"/>
      <c r="V116" s="731"/>
      <c r="W116" s="732"/>
      <c r="X116" s="732"/>
      <c r="Y116" s="732"/>
      <c r="Z116" s="732"/>
      <c r="AA116" s="732"/>
      <c r="AB116" s="732"/>
      <c r="AC116" s="732"/>
      <c r="AD116" s="732"/>
      <c r="AE116" s="732"/>
      <c r="AF116" s="732"/>
      <c r="AG116" s="732"/>
      <c r="AH116" s="733"/>
      <c r="AI116" s="662"/>
      <c r="AJ116" s="668"/>
      <c r="AK116" s="668"/>
      <c r="AL116" s="668"/>
      <c r="AM116" s="668"/>
      <c r="AN116" s="668"/>
    </row>
    <row r="117" ht="2.25" customHeight="1">
      <c r="A117" s="677"/>
      <c r="B117" s="678"/>
      <c r="C117" s="678"/>
      <c r="D117" s="678"/>
      <c r="E117" s="678"/>
      <c r="F117" s="678"/>
      <c r="G117" s="678"/>
      <c r="H117" s="678"/>
      <c r="I117" s="678"/>
      <c r="J117" s="678"/>
      <c r="K117" s="678"/>
      <c r="L117" s="678"/>
      <c r="M117" s="678"/>
      <c r="N117" s="678"/>
      <c r="O117" s="678"/>
      <c r="P117" s="678"/>
      <c r="Q117" s="678"/>
      <c r="R117" s="679"/>
      <c r="S117" s="678"/>
      <c r="T117" s="678"/>
      <c r="U117" s="678"/>
      <c r="V117" s="678"/>
      <c r="W117" s="678"/>
      <c r="X117" s="678"/>
      <c r="Y117" s="678"/>
      <c r="Z117" s="678"/>
      <c r="AA117" s="678"/>
      <c r="AB117" s="678"/>
      <c r="AC117" s="678"/>
      <c r="AD117" s="678"/>
      <c r="AE117" s="678"/>
      <c r="AF117" s="678"/>
      <c r="AG117" s="678"/>
      <c r="AH117" s="678"/>
      <c r="AI117" s="679"/>
      <c r="AJ117" s="651"/>
      <c r="AK117" s="651"/>
      <c r="AL117" s="651"/>
      <c r="AM117" s="651"/>
      <c r="AN117" s="652"/>
    </row>
    <row r="118" ht="15.75" customHeight="1">
      <c r="A118" s="653"/>
      <c r="B118" s="916" t="str">
        <f>IMAGE("https://i.ibb.co/gShxQVS/alcrem.png",3)</f>
        <v/>
      </c>
      <c r="C118" s="655"/>
      <c r="D118" s="917"/>
      <c r="E118" s="918" t="str">
        <f>Source!$P$44</f>
        <v/>
      </c>
      <c r="F118" s="919" t="s">
        <v>888</v>
      </c>
      <c r="G118" s="655"/>
      <c r="H118" s="655"/>
      <c r="I118" s="655"/>
      <c r="J118" s="655"/>
      <c r="K118" s="655"/>
      <c r="L118" s="655"/>
      <c r="M118" s="655"/>
      <c r="N118" s="920"/>
      <c r="O118" s="655"/>
      <c r="P118" s="655"/>
      <c r="Q118" s="692"/>
      <c r="R118" s="662"/>
      <c r="S118" s="921" t="str">
        <f>IMAGE("https://i.ibb.co/SJb14Xm/banette.png",3)</f>
        <v/>
      </c>
      <c r="T118" s="655"/>
      <c r="U118" s="740"/>
      <c r="V118" s="922" t="str">
        <f>Source!$P$10</f>
        <v/>
      </c>
      <c r="W118" s="923" t="s">
        <v>1139</v>
      </c>
      <c r="X118" s="655"/>
      <c r="Y118" s="655"/>
      <c r="Z118" s="655"/>
      <c r="AA118" s="655"/>
      <c r="AB118" s="655"/>
      <c r="AC118" s="655"/>
      <c r="AD118" s="655"/>
      <c r="AE118" s="924"/>
      <c r="AF118" s="655"/>
      <c r="AG118" s="655"/>
      <c r="AH118" s="692"/>
      <c r="AI118" s="662"/>
      <c r="AJ118" s="668"/>
      <c r="AK118" s="668"/>
      <c r="AL118" s="668"/>
      <c r="AM118" s="668"/>
      <c r="AN118" s="668"/>
    </row>
    <row r="119" ht="19.5" customHeight="1">
      <c r="A119" s="653"/>
      <c r="B119" s="669"/>
      <c r="D119" s="925"/>
      <c r="E119" s="707" t="s">
        <v>1342</v>
      </c>
      <c r="F119" s="708"/>
      <c r="G119" s="708"/>
      <c r="H119" s="708"/>
      <c r="I119" s="708"/>
      <c r="J119" s="708"/>
      <c r="K119" s="708"/>
      <c r="L119" s="708"/>
      <c r="M119" s="708"/>
      <c r="N119" s="708"/>
      <c r="O119" s="708"/>
      <c r="P119" s="708"/>
      <c r="Q119" s="729"/>
      <c r="R119" s="662"/>
      <c r="S119" s="669"/>
      <c r="U119" s="746"/>
      <c r="V119" s="707" t="s">
        <v>1343</v>
      </c>
      <c r="W119" s="708"/>
      <c r="X119" s="708"/>
      <c r="Y119" s="708"/>
      <c r="Z119" s="708"/>
      <c r="AA119" s="708"/>
      <c r="AB119" s="708"/>
      <c r="AC119" s="708"/>
      <c r="AD119" s="708"/>
      <c r="AE119" s="708"/>
      <c r="AF119" s="708"/>
      <c r="AG119" s="708"/>
      <c r="AH119" s="729"/>
      <c r="AI119" s="662"/>
      <c r="AJ119" s="668"/>
      <c r="AK119" s="668"/>
      <c r="AL119" s="668"/>
      <c r="AM119" s="668"/>
      <c r="AN119" s="668"/>
    </row>
    <row r="120" ht="25.5" customHeight="1">
      <c r="A120" s="653"/>
      <c r="B120" s="673"/>
      <c r="C120" s="674"/>
      <c r="D120" s="926"/>
      <c r="E120" s="731"/>
      <c r="F120" s="732"/>
      <c r="G120" s="732"/>
      <c r="H120" s="732"/>
      <c r="I120" s="732"/>
      <c r="J120" s="732"/>
      <c r="K120" s="732"/>
      <c r="L120" s="732"/>
      <c r="M120" s="732"/>
      <c r="N120" s="732"/>
      <c r="O120" s="732"/>
      <c r="P120" s="732"/>
      <c r="Q120" s="733"/>
      <c r="R120" s="662"/>
      <c r="S120" s="673"/>
      <c r="T120" s="674"/>
      <c r="U120" s="748"/>
      <c r="V120" s="731"/>
      <c r="W120" s="732"/>
      <c r="X120" s="732"/>
      <c r="Y120" s="732"/>
      <c r="Z120" s="732"/>
      <c r="AA120" s="732"/>
      <c r="AB120" s="732"/>
      <c r="AC120" s="732"/>
      <c r="AD120" s="732"/>
      <c r="AE120" s="732"/>
      <c r="AF120" s="732"/>
      <c r="AG120" s="732"/>
      <c r="AH120" s="733"/>
      <c r="AI120" s="662"/>
      <c r="AJ120" s="668"/>
      <c r="AK120" s="668"/>
      <c r="AL120" s="668"/>
      <c r="AM120" s="668"/>
      <c r="AN120" s="668"/>
    </row>
    <row r="121" ht="2.25" customHeight="1">
      <c r="A121" s="677"/>
      <c r="B121" s="678"/>
      <c r="C121" s="678"/>
      <c r="D121" s="678"/>
      <c r="E121" s="678"/>
      <c r="F121" s="678"/>
      <c r="G121" s="678"/>
      <c r="H121" s="678"/>
      <c r="I121" s="678"/>
      <c r="J121" s="678"/>
      <c r="K121" s="678"/>
      <c r="L121" s="678"/>
      <c r="M121" s="678"/>
      <c r="N121" s="678"/>
      <c r="O121" s="678"/>
      <c r="P121" s="678"/>
      <c r="Q121" s="678"/>
      <c r="R121" s="679"/>
      <c r="S121" s="927"/>
      <c r="T121" s="927"/>
      <c r="U121" s="927"/>
      <c r="V121" s="927"/>
      <c r="W121" s="927"/>
      <c r="X121" s="927"/>
      <c r="Y121" s="927"/>
      <c r="Z121" s="927"/>
      <c r="AA121" s="927"/>
      <c r="AB121" s="927"/>
      <c r="AC121" s="927"/>
      <c r="AD121" s="927"/>
      <c r="AE121" s="927"/>
      <c r="AF121" s="927"/>
      <c r="AG121" s="927"/>
      <c r="AH121" s="927"/>
      <c r="AI121" s="679"/>
      <c r="AJ121" s="651"/>
      <c r="AK121" s="651"/>
      <c r="AL121" s="651"/>
      <c r="AM121" s="651"/>
      <c r="AN121" s="652"/>
    </row>
    <row r="122" ht="15.75" customHeight="1">
      <c r="A122" s="653"/>
      <c r="B122" s="928" t="str">
        <f>IMAGE("https://i.ibb.co/ngTfNtS/diancie.png",3)</f>
        <v/>
      </c>
      <c r="C122" s="655"/>
      <c r="D122" s="735"/>
      <c r="E122" s="929" t="str">
        <f>Source!$P$17</f>
        <v/>
      </c>
      <c r="F122" s="930" t="s">
        <v>1157</v>
      </c>
      <c r="G122" s="655"/>
      <c r="H122" s="655"/>
      <c r="I122" s="655"/>
      <c r="J122" s="655"/>
      <c r="K122" s="655"/>
      <c r="L122" s="655"/>
      <c r="M122" s="655"/>
      <c r="N122" s="931"/>
      <c r="O122" s="655"/>
      <c r="P122" s="655"/>
      <c r="Q122" s="692"/>
      <c r="R122" s="932"/>
      <c r="S122" s="827" t="str">
        <f>IMAGE("https://i.ibb.co/BCzpCS3/x.png",3)</f>
        <v/>
      </c>
      <c r="T122" s="655"/>
      <c r="U122" s="740"/>
      <c r="V122" s="933" t="str">
        <f>Source!$P$35</f>
        <v/>
      </c>
      <c r="W122" s="934" t="s">
        <v>1228</v>
      </c>
      <c r="X122" s="655"/>
      <c r="Y122" s="655"/>
      <c r="Z122" s="655"/>
      <c r="AA122" s="655"/>
      <c r="AB122" s="655"/>
      <c r="AC122" s="655"/>
      <c r="AD122" s="935"/>
      <c r="AE122" s="830"/>
      <c r="AF122" s="655"/>
      <c r="AG122" s="655"/>
      <c r="AH122" s="692"/>
      <c r="AI122" s="936"/>
      <c r="AJ122" s="668"/>
      <c r="AK122" s="668"/>
      <c r="AL122" s="668"/>
      <c r="AM122" s="668"/>
      <c r="AN122" s="668"/>
    </row>
    <row r="123" ht="19.5" customHeight="1">
      <c r="A123" s="653"/>
      <c r="B123" s="669"/>
      <c r="D123" s="744"/>
      <c r="E123" s="707" t="s">
        <v>1344</v>
      </c>
      <c r="F123" s="708"/>
      <c r="G123" s="708"/>
      <c r="H123" s="708"/>
      <c r="I123" s="708"/>
      <c r="J123" s="708"/>
      <c r="K123" s="708"/>
      <c r="L123" s="708"/>
      <c r="M123" s="708"/>
      <c r="N123" s="708"/>
      <c r="O123" s="708"/>
      <c r="P123" s="708"/>
      <c r="Q123" s="729"/>
      <c r="R123" s="932"/>
      <c r="S123" s="669"/>
      <c r="U123" s="746"/>
      <c r="V123" s="707" t="s">
        <v>1345</v>
      </c>
      <c r="W123" s="708"/>
      <c r="X123" s="708"/>
      <c r="Y123" s="708"/>
      <c r="Z123" s="708"/>
      <c r="AA123" s="708"/>
      <c r="AB123" s="708"/>
      <c r="AC123" s="708"/>
      <c r="AD123" s="708"/>
      <c r="AE123" s="708"/>
      <c r="AF123" s="708"/>
      <c r="AG123" s="708"/>
      <c r="AH123" s="729"/>
      <c r="AI123" s="936"/>
      <c r="AJ123" s="668"/>
      <c r="AK123" s="668"/>
      <c r="AL123" s="668"/>
      <c r="AM123" s="668"/>
      <c r="AN123" s="668"/>
    </row>
    <row r="124" ht="25.5" customHeight="1">
      <c r="A124" s="653"/>
      <c r="B124" s="673"/>
      <c r="C124" s="674"/>
      <c r="D124" s="747"/>
      <c r="E124" s="731"/>
      <c r="F124" s="732"/>
      <c r="G124" s="732"/>
      <c r="H124" s="732"/>
      <c r="I124" s="732"/>
      <c r="J124" s="732"/>
      <c r="K124" s="732"/>
      <c r="L124" s="732"/>
      <c r="M124" s="732"/>
      <c r="N124" s="732"/>
      <c r="O124" s="732"/>
      <c r="P124" s="732"/>
      <c r="Q124" s="733"/>
      <c r="R124" s="932"/>
      <c r="S124" s="673"/>
      <c r="T124" s="674"/>
      <c r="U124" s="748"/>
      <c r="V124" s="731"/>
      <c r="W124" s="732"/>
      <c r="X124" s="732"/>
      <c r="Y124" s="732"/>
      <c r="Z124" s="732"/>
      <c r="AA124" s="732"/>
      <c r="AB124" s="732"/>
      <c r="AC124" s="732"/>
      <c r="AD124" s="732"/>
      <c r="AE124" s="732"/>
      <c r="AF124" s="732"/>
      <c r="AG124" s="732"/>
      <c r="AH124" s="733"/>
      <c r="AI124" s="936"/>
      <c r="AJ124" s="668"/>
      <c r="AK124" s="668"/>
      <c r="AL124" s="668"/>
      <c r="AM124" s="668"/>
      <c r="AN124" s="668"/>
    </row>
    <row r="125" ht="2.25" customHeight="1">
      <c r="A125" s="677"/>
      <c r="B125" s="678"/>
      <c r="C125" s="678"/>
      <c r="D125" s="678"/>
      <c r="E125" s="678"/>
      <c r="F125" s="678"/>
      <c r="G125" s="678"/>
      <c r="H125" s="678"/>
      <c r="I125" s="678"/>
      <c r="J125" s="678"/>
      <c r="K125" s="678"/>
      <c r="L125" s="678"/>
      <c r="M125" s="678"/>
      <c r="N125" s="678"/>
      <c r="O125" s="678"/>
      <c r="P125" s="678"/>
      <c r="Q125" s="678"/>
      <c r="R125" s="679"/>
      <c r="S125" s="937"/>
      <c r="T125" s="937"/>
      <c r="U125" s="937"/>
      <c r="V125" s="937"/>
      <c r="W125" s="937"/>
      <c r="X125" s="937"/>
      <c r="Y125" s="937"/>
      <c r="Z125" s="937"/>
      <c r="AA125" s="937"/>
      <c r="AB125" s="937"/>
      <c r="AC125" s="937"/>
      <c r="AD125" s="937"/>
      <c r="AE125" s="937"/>
      <c r="AF125" s="937"/>
      <c r="AG125" s="937"/>
      <c r="AH125" s="937"/>
      <c r="AI125" s="679"/>
      <c r="AJ125" s="651"/>
      <c r="AK125" s="651"/>
      <c r="AL125" s="651"/>
      <c r="AM125" s="651"/>
      <c r="AN125" s="652"/>
    </row>
  </sheetData>
  <mergeCells count="248">
    <mergeCell ref="W42:AD42"/>
    <mergeCell ref="V43:AH44"/>
    <mergeCell ref="E43:Q44"/>
    <mergeCell ref="F46:M46"/>
    <mergeCell ref="N46:Q46"/>
    <mergeCell ref="B38:D40"/>
    <mergeCell ref="B42:D44"/>
    <mergeCell ref="F42:M42"/>
    <mergeCell ref="N42:Q42"/>
    <mergeCell ref="S42:U44"/>
    <mergeCell ref="AE42:AH42"/>
    <mergeCell ref="AE46:AH46"/>
    <mergeCell ref="E51:Q52"/>
    <mergeCell ref="F54:M54"/>
    <mergeCell ref="N54:Q54"/>
    <mergeCell ref="S46:U48"/>
    <mergeCell ref="W46:AD46"/>
    <mergeCell ref="V47:AH48"/>
    <mergeCell ref="W50:AD50"/>
    <mergeCell ref="AE50:AH50"/>
    <mergeCell ref="V51:AH52"/>
    <mergeCell ref="AE54:AH54"/>
    <mergeCell ref="E59:Q60"/>
    <mergeCell ref="F62:M62"/>
    <mergeCell ref="W74:AD74"/>
    <mergeCell ref="AE74:AH74"/>
    <mergeCell ref="B46:D48"/>
    <mergeCell ref="E47:Q48"/>
    <mergeCell ref="B50:D52"/>
    <mergeCell ref="F50:M50"/>
    <mergeCell ref="N50:Q50"/>
    <mergeCell ref="S50:U52"/>
    <mergeCell ref="S54:U56"/>
    <mergeCell ref="B54:D56"/>
    <mergeCell ref="E55:Q56"/>
    <mergeCell ref="B58:D60"/>
    <mergeCell ref="F58:M58"/>
    <mergeCell ref="N58:Q58"/>
    <mergeCell ref="N62:Q62"/>
    <mergeCell ref="E63:Q64"/>
    <mergeCell ref="F66:M66"/>
    <mergeCell ref="N66:Q66"/>
    <mergeCell ref="E67:Q68"/>
    <mergeCell ref="F70:M70"/>
    <mergeCell ref="N70:Q70"/>
    <mergeCell ref="E71:Q72"/>
    <mergeCell ref="N74:Q74"/>
    <mergeCell ref="F74:M74"/>
    <mergeCell ref="E75:Q76"/>
    <mergeCell ref="F78:M78"/>
    <mergeCell ref="N78:Q78"/>
    <mergeCell ref="E79:Q80"/>
    <mergeCell ref="F82:M82"/>
    <mergeCell ref="N82:Q82"/>
    <mergeCell ref="S86:U88"/>
    <mergeCell ref="S90:U92"/>
    <mergeCell ref="S94:U96"/>
    <mergeCell ref="S98:U100"/>
    <mergeCell ref="S102:U104"/>
    <mergeCell ref="V103:AH104"/>
    <mergeCell ref="S58:U60"/>
    <mergeCell ref="S62:U64"/>
    <mergeCell ref="S66:U68"/>
    <mergeCell ref="S70:U72"/>
    <mergeCell ref="S74:U76"/>
    <mergeCell ref="S78:U80"/>
    <mergeCell ref="S82:U84"/>
    <mergeCell ref="E83:Q84"/>
    <mergeCell ref="F86:M86"/>
    <mergeCell ref="N86:Q86"/>
    <mergeCell ref="E87:Q88"/>
    <mergeCell ref="F90:M90"/>
    <mergeCell ref="N90:Q90"/>
    <mergeCell ref="E91:Q92"/>
    <mergeCell ref="F22:M22"/>
    <mergeCell ref="N22:Q22"/>
    <mergeCell ref="S22:U24"/>
    <mergeCell ref="W22:AD22"/>
    <mergeCell ref="AE22:AH22"/>
    <mergeCell ref="E23:Q24"/>
    <mergeCell ref="V23:AH24"/>
    <mergeCell ref="F26:M26"/>
    <mergeCell ref="N26:Q26"/>
    <mergeCell ref="S26:U28"/>
    <mergeCell ref="W26:AD26"/>
    <mergeCell ref="AE26:AH26"/>
    <mergeCell ref="E27:Q28"/>
    <mergeCell ref="V27:AH28"/>
    <mergeCell ref="F34:M34"/>
    <mergeCell ref="N34:Q34"/>
    <mergeCell ref="W34:AD34"/>
    <mergeCell ref="AE34:AH34"/>
    <mergeCell ref="F30:M30"/>
    <mergeCell ref="N30:Q30"/>
    <mergeCell ref="S30:U32"/>
    <mergeCell ref="W30:AD30"/>
    <mergeCell ref="AE30:AH30"/>
    <mergeCell ref="E31:Q32"/>
    <mergeCell ref="V31:AH32"/>
    <mergeCell ref="F38:M38"/>
    <mergeCell ref="E39:Q40"/>
    <mergeCell ref="B30:D32"/>
    <mergeCell ref="B34:D36"/>
    <mergeCell ref="S34:U36"/>
    <mergeCell ref="E35:Q36"/>
    <mergeCell ref="V35:AH36"/>
    <mergeCell ref="S38:U40"/>
    <mergeCell ref="AE38:AH38"/>
    <mergeCell ref="V39:AH40"/>
    <mergeCell ref="F2:M2"/>
    <mergeCell ref="N2:Q2"/>
    <mergeCell ref="S2:U4"/>
    <mergeCell ref="W2:AD2"/>
    <mergeCell ref="AE2:AH2"/>
    <mergeCell ref="E3:Q4"/>
    <mergeCell ref="V3:AH4"/>
    <mergeCell ref="F6:M6"/>
    <mergeCell ref="N6:Q6"/>
    <mergeCell ref="S6:U8"/>
    <mergeCell ref="W6:AD6"/>
    <mergeCell ref="AE6:AH6"/>
    <mergeCell ref="E7:Q8"/>
    <mergeCell ref="V7:AH8"/>
    <mergeCell ref="F10:M10"/>
    <mergeCell ref="N10:Q10"/>
    <mergeCell ref="S10:U12"/>
    <mergeCell ref="W10:AD10"/>
    <mergeCell ref="AE10:AH10"/>
    <mergeCell ref="E11:Q12"/>
    <mergeCell ref="V11:AH12"/>
    <mergeCell ref="F14:M14"/>
    <mergeCell ref="N14:Q14"/>
    <mergeCell ref="S14:U16"/>
    <mergeCell ref="W14:AD14"/>
    <mergeCell ref="AE14:AH14"/>
    <mergeCell ref="E15:Q16"/>
    <mergeCell ref="V15:AH16"/>
    <mergeCell ref="F18:M18"/>
    <mergeCell ref="N18:Q18"/>
    <mergeCell ref="S18:U20"/>
    <mergeCell ref="W18:AD18"/>
    <mergeCell ref="AE18:AH18"/>
    <mergeCell ref="E19:Q20"/>
    <mergeCell ref="V19:AH20"/>
    <mergeCell ref="N38:Q38"/>
    <mergeCell ref="W38:AD38"/>
    <mergeCell ref="B2:D4"/>
    <mergeCell ref="B6:D8"/>
    <mergeCell ref="B10:D12"/>
    <mergeCell ref="B14:D16"/>
    <mergeCell ref="B18:D20"/>
    <mergeCell ref="B22:D24"/>
    <mergeCell ref="B26:D28"/>
    <mergeCell ref="W54:AD54"/>
    <mergeCell ref="V55:AH56"/>
    <mergeCell ref="W58:AD58"/>
    <mergeCell ref="AE58:AH58"/>
    <mergeCell ref="V59:AH60"/>
    <mergeCell ref="W62:AD62"/>
    <mergeCell ref="AE62:AH62"/>
    <mergeCell ref="V63:AH64"/>
    <mergeCell ref="W66:AD66"/>
    <mergeCell ref="AE66:AH66"/>
    <mergeCell ref="V67:AH68"/>
    <mergeCell ref="W70:AD70"/>
    <mergeCell ref="AE70:AH70"/>
    <mergeCell ref="V71:AH72"/>
    <mergeCell ref="V75:AH76"/>
    <mergeCell ref="W78:AD78"/>
    <mergeCell ref="AE78:AH78"/>
    <mergeCell ref="V79:AH80"/>
    <mergeCell ref="W82:AD82"/>
    <mergeCell ref="AE82:AH82"/>
    <mergeCell ref="V83:AH84"/>
    <mergeCell ref="W86:AD86"/>
    <mergeCell ref="AE86:AH86"/>
    <mergeCell ref="V87:AH88"/>
    <mergeCell ref="W90:AD90"/>
    <mergeCell ref="AE90:AH90"/>
    <mergeCell ref="V91:AH92"/>
    <mergeCell ref="AE94:AH94"/>
    <mergeCell ref="W94:AD94"/>
    <mergeCell ref="V95:AH96"/>
    <mergeCell ref="W98:AD98"/>
    <mergeCell ref="AE98:AH98"/>
    <mergeCell ref="V99:AH100"/>
    <mergeCell ref="W102:AD102"/>
    <mergeCell ref="AE102:AH102"/>
    <mergeCell ref="W114:AD114"/>
    <mergeCell ref="V115:AH116"/>
    <mergeCell ref="W118:AD118"/>
    <mergeCell ref="AE118:AH118"/>
    <mergeCell ref="V119:AH120"/>
    <mergeCell ref="W122:AD122"/>
    <mergeCell ref="AE122:AH122"/>
    <mergeCell ref="V123:AH124"/>
    <mergeCell ref="W106:AD106"/>
    <mergeCell ref="AE106:AH106"/>
    <mergeCell ref="V107:AH108"/>
    <mergeCell ref="W110:AD110"/>
    <mergeCell ref="AE110:AH110"/>
    <mergeCell ref="V111:AH112"/>
    <mergeCell ref="AE114:AH114"/>
    <mergeCell ref="B62:D64"/>
    <mergeCell ref="B66:D68"/>
    <mergeCell ref="B70:D72"/>
    <mergeCell ref="B74:D76"/>
    <mergeCell ref="B78:D80"/>
    <mergeCell ref="B82:D84"/>
    <mergeCell ref="B86:D88"/>
    <mergeCell ref="B118:D120"/>
    <mergeCell ref="B122:D124"/>
    <mergeCell ref="B90:D92"/>
    <mergeCell ref="B94:D96"/>
    <mergeCell ref="B98:D100"/>
    <mergeCell ref="B102:D104"/>
    <mergeCell ref="B106:D108"/>
    <mergeCell ref="B110:D112"/>
    <mergeCell ref="B114:D116"/>
    <mergeCell ref="F94:M94"/>
    <mergeCell ref="N94:Q94"/>
    <mergeCell ref="E95:Q96"/>
    <mergeCell ref="F98:M98"/>
    <mergeCell ref="N98:Q98"/>
    <mergeCell ref="E99:Q100"/>
    <mergeCell ref="N102:Q102"/>
    <mergeCell ref="S106:U108"/>
    <mergeCell ref="S110:U112"/>
    <mergeCell ref="S114:U116"/>
    <mergeCell ref="S118:U120"/>
    <mergeCell ref="S122:U124"/>
    <mergeCell ref="F102:M102"/>
    <mergeCell ref="E103:Q104"/>
    <mergeCell ref="F106:M106"/>
    <mergeCell ref="N106:Q106"/>
    <mergeCell ref="E107:Q108"/>
    <mergeCell ref="F110:M110"/>
    <mergeCell ref="N110:Q110"/>
    <mergeCell ref="F122:M122"/>
    <mergeCell ref="N122:Q122"/>
    <mergeCell ref="E123:Q124"/>
    <mergeCell ref="E111:Q112"/>
    <mergeCell ref="F114:M114"/>
    <mergeCell ref="N114:Q114"/>
    <mergeCell ref="E115:Q116"/>
    <mergeCell ref="F118:M118"/>
    <mergeCell ref="N118:Q118"/>
    <mergeCell ref="E119:Q1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6"/>
    <col customWidth="1" min="2" max="2" width="3.0"/>
    <col customWidth="1" min="3" max="3" width="1.86"/>
    <col customWidth="1" min="4" max="4" width="21.57"/>
    <col customWidth="1" min="5" max="5" width="1.57"/>
    <col customWidth="1" min="6" max="16" width="7.29"/>
    <col customWidth="1" min="17" max="17" width="0.57"/>
  </cols>
  <sheetData>
    <row r="1">
      <c r="A1" s="551"/>
      <c r="B1" s="552" t="s">
        <v>1346</v>
      </c>
      <c r="C1" s="27"/>
      <c r="D1" s="27"/>
      <c r="E1" s="553"/>
      <c r="F1" s="18" t="s">
        <v>11</v>
      </c>
      <c r="G1" s="27"/>
      <c r="H1" s="27"/>
      <c r="I1" s="27"/>
      <c r="J1" s="27"/>
      <c r="K1" s="27"/>
      <c r="L1" s="27"/>
      <c r="M1" s="27"/>
      <c r="N1" s="27"/>
      <c r="O1" s="27"/>
      <c r="P1" s="28"/>
      <c r="Q1" s="554"/>
    </row>
    <row r="2" ht="3.75" customHeight="1">
      <c r="A2" s="555"/>
      <c r="B2" s="556"/>
      <c r="C2" s="168"/>
      <c r="D2" s="169"/>
      <c r="E2" s="557"/>
      <c r="F2" s="557"/>
      <c r="G2" s="557"/>
      <c r="H2" s="557"/>
      <c r="I2" s="557"/>
      <c r="J2" s="557"/>
      <c r="K2" s="557"/>
      <c r="L2" s="557"/>
      <c r="M2" s="557"/>
      <c r="N2" s="557"/>
      <c r="O2" s="557"/>
      <c r="P2" s="557"/>
      <c r="Q2" s="557"/>
    </row>
    <row r="3" ht="26.25" customHeight="1">
      <c r="A3" s="558" t="str">
        <f>Source!$B$6</f>
        <v/>
      </c>
      <c r="B3" s="559" t="str">
        <f>Source!$S$3</f>
        <v/>
      </c>
      <c r="C3" s="938" t="str">
        <f>Source!$B$7</f>
        <v/>
      </c>
      <c r="D3" s="939" t="s">
        <v>1347</v>
      </c>
      <c r="E3" s="940"/>
      <c r="F3" s="941" t="s">
        <v>1348</v>
      </c>
      <c r="G3" s="27"/>
      <c r="H3" s="27"/>
      <c r="I3" s="27"/>
      <c r="J3" s="27"/>
      <c r="K3" s="27"/>
      <c r="L3" s="27"/>
      <c r="M3" s="27"/>
      <c r="N3" s="27"/>
      <c r="O3" s="16"/>
      <c r="P3" s="565"/>
      <c r="Q3" s="31"/>
    </row>
    <row r="4" ht="26.25" customHeight="1">
      <c r="A4" s="558" t="str">
        <f>Source!$B$6</f>
        <v/>
      </c>
      <c r="B4" s="559" t="str">
        <f>Source!$S$9</f>
        <v/>
      </c>
      <c r="C4" s="942" t="str">
        <f>Source!$B$7</f>
        <v/>
      </c>
      <c r="D4" s="943" t="s">
        <v>1349</v>
      </c>
      <c r="E4" s="944"/>
      <c r="F4" s="945" t="s">
        <v>1350</v>
      </c>
      <c r="G4" s="27"/>
      <c r="H4" s="27"/>
      <c r="I4" s="27"/>
      <c r="J4" s="27"/>
      <c r="K4" s="27"/>
      <c r="L4" s="27"/>
      <c r="M4" s="565"/>
      <c r="N4" s="566"/>
      <c r="O4" s="566"/>
      <c r="P4" s="573"/>
      <c r="Q4" s="31"/>
    </row>
    <row r="5" ht="26.25" customHeight="1">
      <c r="A5" s="558" t="str">
        <f>Source!$B$6</f>
        <v/>
      </c>
      <c r="B5" s="559" t="str">
        <f>Source!$S$10</f>
        <v/>
      </c>
      <c r="C5" s="946" t="str">
        <f>Source!$B$7</f>
        <v/>
      </c>
      <c r="D5" s="947" t="s">
        <v>1351</v>
      </c>
      <c r="E5" s="948"/>
      <c r="F5" s="949" t="s">
        <v>1352</v>
      </c>
      <c r="G5" s="139"/>
      <c r="H5" s="139"/>
      <c r="I5" s="139"/>
      <c r="J5" s="139"/>
      <c r="K5" s="139"/>
      <c r="L5" s="139"/>
      <c r="M5" s="139"/>
      <c r="N5" s="139"/>
      <c r="O5" s="565"/>
      <c r="P5" s="566"/>
      <c r="Q5" s="950"/>
    </row>
    <row r="6" ht="26.25" customHeight="1">
      <c r="A6" s="558" t="str">
        <f>Source!$B$6</f>
        <v/>
      </c>
      <c r="B6" s="559" t="str">
        <f>Source!$S$12</f>
        <v/>
      </c>
      <c r="C6" s="951" t="str">
        <f>Source!$B$7</f>
        <v/>
      </c>
      <c r="D6" s="952" t="s">
        <v>1353</v>
      </c>
      <c r="E6" s="953"/>
      <c r="F6" s="954" t="s">
        <v>1354</v>
      </c>
      <c r="G6" s="27"/>
      <c r="H6" s="27"/>
      <c r="I6" s="27"/>
      <c r="J6" s="27"/>
      <c r="K6" s="27"/>
      <c r="L6" s="565"/>
      <c r="M6" s="566"/>
      <c r="N6" s="566"/>
      <c r="O6" s="566"/>
      <c r="P6" s="566"/>
      <c r="Q6" s="950"/>
    </row>
    <row r="7" ht="26.25" customHeight="1">
      <c r="A7" s="558" t="str">
        <f>Source!$B$6</f>
        <v/>
      </c>
      <c r="B7" s="559" t="str">
        <f>Source!$S$13</f>
        <v/>
      </c>
      <c r="C7" s="955" t="str">
        <f>Source!$B$7</f>
        <v/>
      </c>
      <c r="D7" s="956" t="s">
        <v>1355</v>
      </c>
      <c r="E7" s="957"/>
      <c r="F7" s="958" t="s">
        <v>1356</v>
      </c>
      <c r="G7" s="139"/>
      <c r="H7" s="139"/>
      <c r="I7" s="139"/>
      <c r="J7" s="139"/>
      <c r="K7" s="139"/>
      <c r="L7" s="139"/>
      <c r="M7" s="139"/>
      <c r="N7" s="139"/>
      <c r="O7" s="565"/>
      <c r="P7" s="566"/>
      <c r="Q7" s="950"/>
    </row>
    <row r="8" ht="26.25" customHeight="1">
      <c r="A8" s="558" t="str">
        <f>Source!$B$6</f>
        <v/>
      </c>
      <c r="B8" s="559" t="str">
        <f>Source!$S$15</f>
        <v/>
      </c>
      <c r="C8" s="959" t="str">
        <f>Source!$B$7</f>
        <v/>
      </c>
      <c r="D8" s="960" t="s">
        <v>1357</v>
      </c>
      <c r="E8" s="961"/>
      <c r="F8" s="962" t="s">
        <v>1358</v>
      </c>
      <c r="G8" s="27"/>
      <c r="H8" s="27"/>
      <c r="I8" s="27"/>
      <c r="J8" s="27"/>
      <c r="K8" s="27"/>
      <c r="L8" s="27"/>
      <c r="M8" s="565"/>
      <c r="N8" s="566"/>
      <c r="O8" s="566"/>
      <c r="P8" s="573"/>
      <c r="Q8" s="950"/>
    </row>
    <row r="9" ht="26.25" customHeight="1">
      <c r="A9" s="558" t="str">
        <f>Source!$B$6</f>
        <v/>
      </c>
      <c r="B9" s="559" t="str">
        <f>Source!$S$16</f>
        <v/>
      </c>
      <c r="C9" s="963" t="str">
        <f>Source!$B$7</f>
        <v/>
      </c>
      <c r="D9" s="964" t="s">
        <v>1359</v>
      </c>
      <c r="E9" s="965"/>
      <c r="F9" s="966" t="s">
        <v>1360</v>
      </c>
      <c r="G9" s="142"/>
      <c r="H9" s="142"/>
      <c r="I9" s="142"/>
      <c r="J9" s="142"/>
      <c r="K9" s="142"/>
      <c r="L9" s="142"/>
      <c r="M9" s="142"/>
      <c r="N9" s="142"/>
      <c r="O9" s="142"/>
      <c r="P9" s="565"/>
      <c r="Q9" s="588"/>
    </row>
    <row r="10" ht="26.25" customHeight="1">
      <c r="A10" s="558" t="str">
        <f>Source!$B$6</f>
        <v/>
      </c>
      <c r="B10" s="559" t="str">
        <f>Source!$S$24</f>
        <v/>
      </c>
      <c r="C10" s="967" t="str">
        <f>Source!$B$7</f>
        <v/>
      </c>
      <c r="D10" s="968" t="s">
        <v>1361</v>
      </c>
      <c r="E10" s="969"/>
      <c r="F10" s="970" t="s">
        <v>1362</v>
      </c>
      <c r="G10" s="139"/>
      <c r="H10" s="139"/>
      <c r="I10" s="139"/>
      <c r="J10" s="139"/>
      <c r="K10" s="139"/>
      <c r="L10" s="139"/>
      <c r="M10" s="139"/>
      <c r="N10" s="139"/>
      <c r="O10" s="139"/>
      <c r="P10" s="564"/>
      <c r="Q10" s="31"/>
    </row>
    <row r="11" ht="26.25" customHeight="1">
      <c r="A11" s="558" t="str">
        <f>Source!$B$6</f>
        <v/>
      </c>
      <c r="B11" s="559" t="str">
        <f>Source!$S$29</f>
        <v/>
      </c>
      <c r="C11" s="971" t="str">
        <f>Source!$B$7</f>
        <v/>
      </c>
      <c r="D11" s="972" t="s">
        <v>1363</v>
      </c>
      <c r="E11" s="973"/>
      <c r="F11" s="974" t="s">
        <v>1364</v>
      </c>
      <c r="G11" s="139"/>
      <c r="H11" s="139"/>
      <c r="I11" s="139"/>
      <c r="J11" s="139"/>
      <c r="K11" s="139"/>
      <c r="L11" s="139"/>
      <c r="M11" s="139"/>
      <c r="N11" s="139"/>
      <c r="O11" s="565"/>
      <c r="P11" s="566"/>
      <c r="Q11" s="950"/>
    </row>
    <row r="12" ht="26.25" customHeight="1">
      <c r="A12" s="558" t="str">
        <f>Source!$B$6</f>
        <v/>
      </c>
      <c r="B12" s="559" t="str">
        <f>Source!$S$33</f>
        <v/>
      </c>
      <c r="C12" s="975" t="str">
        <f>Source!$B$7</f>
        <v/>
      </c>
      <c r="D12" s="976" t="s">
        <v>1365</v>
      </c>
      <c r="E12" s="977"/>
      <c r="F12" s="978" t="s">
        <v>1366</v>
      </c>
      <c r="G12" s="27"/>
      <c r="H12" s="27"/>
      <c r="I12" s="27"/>
      <c r="J12" s="27"/>
      <c r="K12" s="27"/>
      <c r="L12" s="27"/>
      <c r="M12" s="27"/>
      <c r="N12" s="565"/>
      <c r="O12" s="566"/>
      <c r="P12" s="566"/>
      <c r="Q12" s="950"/>
    </row>
    <row r="13" ht="26.25" customHeight="1">
      <c r="A13" s="558" t="str">
        <f>Source!$B$6</f>
        <v/>
      </c>
      <c r="B13" s="559" t="str">
        <f>Source!$S$36</f>
        <v/>
      </c>
      <c r="C13" s="979" t="str">
        <f>Source!$B$7</f>
        <v/>
      </c>
      <c r="D13" s="980" t="s">
        <v>1367</v>
      </c>
      <c r="E13" s="981"/>
      <c r="F13" s="982" t="s">
        <v>1368</v>
      </c>
      <c r="G13" s="139"/>
      <c r="H13" s="139"/>
      <c r="I13" s="139"/>
      <c r="J13" s="139"/>
      <c r="K13" s="139"/>
      <c r="L13" s="139"/>
      <c r="M13" s="139"/>
      <c r="N13" s="139"/>
      <c r="O13" s="139"/>
      <c r="P13" s="565"/>
      <c r="Q13" s="950"/>
    </row>
    <row r="14" ht="26.25" customHeight="1">
      <c r="A14" s="558" t="str">
        <f>Source!$B$6</f>
        <v/>
      </c>
      <c r="B14" s="559" t="str">
        <f>Source!$S$7</f>
        <v/>
      </c>
      <c r="C14" s="983" t="str">
        <f>Source!$B$7</f>
        <v/>
      </c>
      <c r="D14" s="984" t="s">
        <v>1369</v>
      </c>
      <c r="E14" s="985"/>
      <c r="F14" s="986" t="s">
        <v>1370</v>
      </c>
      <c r="G14" s="27"/>
      <c r="H14" s="27"/>
      <c r="I14" s="27"/>
      <c r="J14" s="27"/>
      <c r="K14" s="27"/>
      <c r="L14" s="27"/>
      <c r="M14" s="565"/>
      <c r="N14" s="566"/>
      <c r="O14" s="566"/>
      <c r="P14" s="566"/>
      <c r="Q14" s="950"/>
    </row>
    <row r="15" ht="26.25" customHeight="1">
      <c r="A15" s="558" t="str">
        <f>Source!$B$6</f>
        <v/>
      </c>
      <c r="B15" s="559" t="str">
        <f>Source!$S$21</f>
        <v/>
      </c>
      <c r="C15" s="987" t="str">
        <f>Source!$B$7</f>
        <v/>
      </c>
      <c r="D15" s="988" t="s">
        <v>1371</v>
      </c>
      <c r="E15" s="989"/>
      <c r="F15" s="990" t="s">
        <v>1372</v>
      </c>
      <c r="G15" s="139"/>
      <c r="H15" s="139"/>
      <c r="I15" s="139"/>
      <c r="J15" s="139"/>
      <c r="K15" s="139"/>
      <c r="L15" s="139"/>
      <c r="M15" s="139"/>
      <c r="N15" s="139"/>
      <c r="O15" s="139"/>
      <c r="P15" s="565"/>
      <c r="Q15" s="950"/>
    </row>
    <row r="16" ht="26.25" customHeight="1">
      <c r="A16" s="558" t="str">
        <f>Source!$B$6</f>
        <v/>
      </c>
      <c r="B16" s="559" t="str">
        <f>Source!$S$22</f>
        <v/>
      </c>
      <c r="C16" s="991" t="str">
        <f>Source!$B$7</f>
        <v/>
      </c>
      <c r="D16" s="992" t="s">
        <v>1373</v>
      </c>
      <c r="E16" s="993"/>
      <c r="F16" s="994" t="s">
        <v>1374</v>
      </c>
      <c r="G16" s="27"/>
      <c r="H16" s="27"/>
      <c r="I16" s="27"/>
      <c r="J16" s="27"/>
      <c r="K16" s="27"/>
      <c r="L16" s="27"/>
      <c r="M16" s="27"/>
      <c r="N16" s="27"/>
      <c r="O16" s="27"/>
      <c r="P16" s="565"/>
      <c r="Q16" s="950"/>
    </row>
    <row r="17" ht="26.25" customHeight="1">
      <c r="A17" s="558" t="str">
        <f>Source!$B$6</f>
        <v/>
      </c>
      <c r="B17" s="559" t="str">
        <f>Source!$S$23</f>
        <v/>
      </c>
      <c r="C17" s="995" t="str">
        <f>Source!$B$7</f>
        <v/>
      </c>
      <c r="D17" s="996" t="s">
        <v>1375</v>
      </c>
      <c r="E17" s="997"/>
      <c r="F17" s="998" t="s">
        <v>1376</v>
      </c>
      <c r="G17" s="142"/>
      <c r="H17" s="142"/>
      <c r="I17" s="142"/>
      <c r="J17" s="142"/>
      <c r="K17" s="142"/>
      <c r="L17" s="142"/>
      <c r="M17" s="142"/>
      <c r="N17" s="142"/>
      <c r="O17" s="142"/>
      <c r="P17" s="565"/>
      <c r="Q17" s="950"/>
    </row>
    <row r="18" ht="26.25" customHeight="1">
      <c r="A18" s="558" t="str">
        <f>Source!$B$6</f>
        <v/>
      </c>
      <c r="B18" s="559" t="str">
        <f>Source!$S$34</f>
        <v/>
      </c>
      <c r="C18" s="999" t="str">
        <f>Source!$B$7</f>
        <v/>
      </c>
      <c r="D18" s="1000" t="s">
        <v>1377</v>
      </c>
      <c r="E18" s="1001"/>
      <c r="F18" s="1002" t="s">
        <v>1378</v>
      </c>
      <c r="G18" s="27"/>
      <c r="H18" s="27"/>
      <c r="I18" s="27"/>
      <c r="J18" s="27"/>
      <c r="K18" s="27"/>
      <c r="L18" s="27"/>
      <c r="M18" s="27"/>
      <c r="N18" s="27"/>
      <c r="O18" s="27"/>
      <c r="P18" s="28"/>
      <c r="Q18" s="576"/>
    </row>
    <row r="19" ht="26.25" customHeight="1">
      <c r="A19" s="558" t="str">
        <f>Source!$B$6</f>
        <v/>
      </c>
      <c r="B19" s="559" t="str">
        <f>Source!$S$31</f>
        <v/>
      </c>
      <c r="C19" s="1003" t="str">
        <f>Source!$B$7</f>
        <v/>
      </c>
      <c r="D19" s="1004" t="s">
        <v>1379</v>
      </c>
      <c r="E19" s="1005"/>
      <c r="F19" s="1006" t="s">
        <v>1378</v>
      </c>
      <c r="G19" s="142"/>
      <c r="H19" s="142"/>
      <c r="I19" s="142"/>
      <c r="J19" s="142"/>
      <c r="K19" s="142"/>
      <c r="L19" s="142"/>
      <c r="M19" s="142"/>
      <c r="N19" s="142"/>
      <c r="O19" s="142"/>
      <c r="P19" s="143"/>
      <c r="Q19" s="576"/>
    </row>
    <row r="20" ht="26.25" customHeight="1">
      <c r="A20" s="558" t="str">
        <f>Source!$B$6</f>
        <v/>
      </c>
      <c r="B20" s="559" t="str">
        <f>Source!$S$25</f>
        <v/>
      </c>
      <c r="C20" s="1007" t="str">
        <f>Source!$B$7</f>
        <v/>
      </c>
      <c r="D20" s="1008" t="s">
        <v>1380</v>
      </c>
      <c r="E20" s="1009"/>
      <c r="F20" s="1010" t="s">
        <v>1378</v>
      </c>
      <c r="G20" s="27"/>
      <c r="H20" s="27"/>
      <c r="I20" s="27"/>
      <c r="J20" s="27"/>
      <c r="K20" s="27"/>
      <c r="L20" s="27"/>
      <c r="M20" s="27"/>
      <c r="N20" s="27"/>
      <c r="O20" s="27"/>
      <c r="P20" s="28"/>
      <c r="Q20" s="576"/>
    </row>
    <row r="21" ht="26.25" customHeight="1">
      <c r="A21" s="558" t="str">
        <f>Source!$B$6</f>
        <v/>
      </c>
      <c r="B21" s="559" t="str">
        <f>Source!$S$26</f>
        <v/>
      </c>
      <c r="C21" s="1011" t="str">
        <f>Source!$B$7</f>
        <v/>
      </c>
      <c r="D21" s="1012" t="s">
        <v>1381</v>
      </c>
      <c r="E21" s="1013"/>
      <c r="F21" s="1014" t="s">
        <v>1382</v>
      </c>
      <c r="G21" s="139"/>
      <c r="H21" s="139"/>
      <c r="I21" s="139"/>
      <c r="J21" s="139"/>
      <c r="K21" s="139"/>
      <c r="L21" s="139"/>
      <c r="M21" s="139"/>
      <c r="N21" s="139"/>
      <c r="O21" s="139"/>
      <c r="P21" s="564"/>
      <c r="Q21" s="576"/>
    </row>
    <row r="22" ht="26.25" customHeight="1">
      <c r="A22" s="558" t="str">
        <f>Source!$B$6</f>
        <v/>
      </c>
      <c r="B22" s="559" t="str">
        <f>Source!$S$2</f>
        <v/>
      </c>
      <c r="C22" s="1007" t="str">
        <f>Source!$B$7</f>
        <v/>
      </c>
      <c r="D22" s="1008" t="s">
        <v>1383</v>
      </c>
      <c r="E22" s="1009"/>
      <c r="F22" s="1010" t="s">
        <v>1382</v>
      </c>
      <c r="G22" s="27"/>
      <c r="H22" s="27"/>
      <c r="I22" s="27"/>
      <c r="J22" s="27"/>
      <c r="K22" s="27"/>
      <c r="L22" s="27"/>
      <c r="M22" s="27"/>
      <c r="N22" s="27"/>
      <c r="O22" s="27"/>
      <c r="P22" s="28"/>
      <c r="Q22" s="950"/>
    </row>
    <row r="23" ht="26.25" customHeight="1">
      <c r="A23" s="558" t="str">
        <f>Source!$B$6</f>
        <v/>
      </c>
      <c r="B23" s="559" t="str">
        <f>Source!$S$17</f>
        <v/>
      </c>
      <c r="C23" s="1015" t="str">
        <f>Source!$B$7</f>
        <v/>
      </c>
      <c r="D23" s="1016" t="s">
        <v>1384</v>
      </c>
      <c r="E23" s="1017"/>
      <c r="F23" s="1018" t="s">
        <v>1382</v>
      </c>
      <c r="G23" s="142"/>
      <c r="H23" s="142"/>
      <c r="I23" s="142"/>
      <c r="J23" s="142"/>
      <c r="K23" s="142"/>
      <c r="L23" s="142"/>
      <c r="M23" s="142"/>
      <c r="N23" s="142"/>
      <c r="O23" s="142"/>
      <c r="P23" s="143"/>
      <c r="Q23" s="576"/>
    </row>
    <row r="24" ht="26.25" customHeight="1">
      <c r="A24" s="558" t="str">
        <f>Source!$B$6</f>
        <v/>
      </c>
      <c r="B24" s="559" t="str">
        <f>Source!$S$5</f>
        <v/>
      </c>
      <c r="C24" s="1019" t="str">
        <f>Source!$B$7</f>
        <v/>
      </c>
      <c r="D24" s="1020" t="s">
        <v>1385</v>
      </c>
      <c r="E24" s="1021"/>
      <c r="F24" s="1022" t="s">
        <v>1382</v>
      </c>
      <c r="G24" s="27"/>
      <c r="H24" s="27"/>
      <c r="I24" s="27"/>
      <c r="J24" s="27"/>
      <c r="K24" s="27"/>
      <c r="L24" s="27"/>
      <c r="M24" s="27"/>
      <c r="N24" s="27"/>
      <c r="O24" s="27"/>
      <c r="P24" s="28"/>
      <c r="Q24" s="576"/>
    </row>
    <row r="25" ht="26.25" customHeight="1">
      <c r="A25" s="558" t="str">
        <f>Source!$B$6</f>
        <v/>
      </c>
      <c r="B25" s="559" t="str">
        <f>Source!$S$28</f>
        <v/>
      </c>
      <c r="C25" s="1023" t="str">
        <f>Source!$B$7</f>
        <v/>
      </c>
      <c r="D25" s="1024" t="s">
        <v>1386</v>
      </c>
      <c r="E25" s="1025"/>
      <c r="F25" s="1026" t="s">
        <v>1382</v>
      </c>
      <c r="G25" s="142"/>
      <c r="H25" s="142"/>
      <c r="I25" s="142"/>
      <c r="J25" s="142"/>
      <c r="K25" s="142"/>
      <c r="L25" s="142"/>
      <c r="M25" s="142"/>
      <c r="N25" s="142"/>
      <c r="O25" s="142"/>
      <c r="P25" s="143"/>
      <c r="Q25" s="576"/>
    </row>
    <row r="26" ht="26.25" customHeight="1">
      <c r="A26" s="558" t="str">
        <f>Source!$B$6</f>
        <v/>
      </c>
      <c r="B26" s="559" t="str">
        <f>Source!$S$20</f>
        <v/>
      </c>
      <c r="C26" s="1027" t="str">
        <f>Source!$B$7</f>
        <v/>
      </c>
      <c r="D26" s="1028" t="s">
        <v>1387</v>
      </c>
      <c r="E26" s="1029"/>
      <c r="F26" s="1030" t="s">
        <v>1388</v>
      </c>
      <c r="G26" s="27"/>
      <c r="H26" s="27"/>
      <c r="I26" s="27"/>
      <c r="J26" s="27"/>
      <c r="K26" s="27"/>
      <c r="L26" s="27"/>
      <c r="M26" s="27"/>
      <c r="N26" s="27"/>
      <c r="O26" s="27"/>
      <c r="P26" s="28"/>
      <c r="Q26" s="576"/>
    </row>
    <row r="27" ht="26.25" customHeight="1">
      <c r="A27" s="558" t="str">
        <f>Source!$B$6</f>
        <v/>
      </c>
      <c r="B27" s="559" t="str">
        <f>Source!$S$18</f>
        <v/>
      </c>
      <c r="C27" s="1031" t="str">
        <f>Source!$B$7</f>
        <v/>
      </c>
      <c r="D27" s="1032" t="s">
        <v>1389</v>
      </c>
      <c r="E27" s="1033"/>
      <c r="F27" s="1034" t="s">
        <v>1388</v>
      </c>
      <c r="G27" s="142"/>
      <c r="H27" s="142"/>
      <c r="I27" s="142"/>
      <c r="J27" s="142"/>
      <c r="K27" s="142"/>
      <c r="L27" s="142"/>
      <c r="M27" s="142"/>
      <c r="N27" s="142"/>
      <c r="O27" s="142"/>
      <c r="P27" s="143"/>
      <c r="Q27" s="576"/>
    </row>
    <row r="28" ht="26.25" customHeight="1">
      <c r="A28" s="558" t="str">
        <f>Source!$B$6</f>
        <v/>
      </c>
      <c r="B28" s="559" t="str">
        <f>Source!$S$35</f>
        <v/>
      </c>
      <c r="C28" s="1035" t="str">
        <f>Source!$B$7</f>
        <v/>
      </c>
      <c r="D28" s="1036" t="s">
        <v>1390</v>
      </c>
      <c r="E28" s="1037"/>
      <c r="F28" s="1038" t="s">
        <v>1391</v>
      </c>
      <c r="G28" s="27"/>
      <c r="H28" s="27"/>
      <c r="I28" s="27"/>
      <c r="J28" s="27"/>
      <c r="K28" s="27"/>
      <c r="L28" s="27"/>
      <c r="M28" s="27"/>
      <c r="N28" s="27"/>
      <c r="O28" s="27"/>
      <c r="P28" s="28"/>
      <c r="Q28" s="576"/>
    </row>
    <row r="29" ht="3.75" customHeight="1">
      <c r="A29" s="645"/>
      <c r="B29" s="646"/>
      <c r="C29" s="646"/>
      <c r="D29" s="580"/>
      <c r="E29" s="580"/>
      <c r="F29" s="647"/>
      <c r="G29" s="647"/>
      <c r="H29" s="647"/>
      <c r="I29" s="647"/>
      <c r="J29" s="647"/>
      <c r="K29" s="647"/>
      <c r="L29" s="647"/>
      <c r="M29" s="647"/>
      <c r="N29" s="647"/>
      <c r="O29" s="580"/>
      <c r="P29" s="580"/>
      <c r="Q29" s="580"/>
    </row>
  </sheetData>
  <mergeCells count="29">
    <mergeCell ref="B1:D1"/>
    <mergeCell ref="F1:P1"/>
    <mergeCell ref="B2:D2"/>
    <mergeCell ref="F3:O3"/>
    <mergeCell ref="F4:L4"/>
    <mergeCell ref="F5:N5"/>
    <mergeCell ref="F6:K6"/>
    <mergeCell ref="F7:N7"/>
    <mergeCell ref="F8:L8"/>
    <mergeCell ref="F9:O9"/>
    <mergeCell ref="F10:P10"/>
    <mergeCell ref="F11:N11"/>
    <mergeCell ref="F12:M12"/>
    <mergeCell ref="F13:O13"/>
    <mergeCell ref="F21:P21"/>
    <mergeCell ref="F22:P22"/>
    <mergeCell ref="F23:P23"/>
    <mergeCell ref="F24:P24"/>
    <mergeCell ref="F25:P25"/>
    <mergeCell ref="F26:P26"/>
    <mergeCell ref="F27:P27"/>
    <mergeCell ref="F28:P28"/>
    <mergeCell ref="F14:L14"/>
    <mergeCell ref="F15:O15"/>
    <mergeCell ref="F16:O16"/>
    <mergeCell ref="F17:O17"/>
    <mergeCell ref="F18:P18"/>
    <mergeCell ref="F19:P19"/>
    <mergeCell ref="F20:P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4.43" defaultRowHeight="15.0"/>
  <cols>
    <col customWidth="1" min="1" max="1" width="0.86"/>
    <col customWidth="1" min="2" max="3" width="1.14"/>
    <col customWidth="1" min="4" max="4" width="1.86"/>
    <col customWidth="1" min="5" max="5" width="1.57"/>
    <col customWidth="1" min="6" max="6" width="3.86"/>
    <col customWidth="1" min="7" max="32" width="1.57"/>
    <col customWidth="1" min="33" max="33" width="1.86"/>
    <col customWidth="1" min="34" max="34" width="1.0"/>
    <col customWidth="1" min="35" max="36" width="1.14"/>
    <col customWidth="1" min="37" max="37" width="0.86"/>
  </cols>
  <sheetData>
    <row r="1" ht="3.75" customHeight="1">
      <c r="A1" s="1039"/>
      <c r="B1" s="1040"/>
      <c r="C1" s="1040"/>
      <c r="D1" s="1039"/>
      <c r="E1" s="1039"/>
      <c r="F1" s="1039"/>
      <c r="G1" s="1039"/>
      <c r="H1" s="1039"/>
      <c r="I1" s="1039"/>
      <c r="J1" s="1039"/>
      <c r="K1" s="1039"/>
      <c r="L1" s="1039"/>
      <c r="M1" s="1039"/>
      <c r="N1" s="1039"/>
      <c r="O1" s="1039"/>
      <c r="P1" s="1039"/>
      <c r="Q1" s="1039"/>
      <c r="R1" s="1039"/>
      <c r="S1" s="1039"/>
      <c r="T1" s="1039"/>
      <c r="U1" s="1039"/>
      <c r="V1" s="1039"/>
      <c r="W1" s="1039"/>
      <c r="X1" s="1039"/>
      <c r="Y1" s="1039"/>
      <c r="Z1" s="1039"/>
      <c r="AA1" s="1039"/>
      <c r="AB1" s="1039"/>
      <c r="AC1" s="1039"/>
      <c r="AD1" s="1039"/>
      <c r="AE1" s="1039"/>
      <c r="AF1" s="1039"/>
      <c r="AG1" s="1039"/>
      <c r="AH1" s="1039"/>
      <c r="AI1" s="1039"/>
      <c r="AJ1" s="1039"/>
      <c r="AK1" s="1039"/>
    </row>
    <row r="2" ht="5.25" customHeight="1">
      <c r="A2" s="1041"/>
      <c r="B2" s="1042"/>
      <c r="C2" s="1042"/>
      <c r="D2" s="1042"/>
      <c r="E2" s="1042"/>
      <c r="F2" s="1042"/>
      <c r="G2" s="1042"/>
      <c r="H2" s="1042"/>
      <c r="I2" s="1042"/>
      <c r="J2" s="1042"/>
      <c r="K2" s="1042"/>
      <c r="L2" s="1042"/>
      <c r="M2" s="1042"/>
      <c r="N2" s="1042"/>
      <c r="O2" s="1042"/>
      <c r="P2" s="1042"/>
      <c r="Q2" s="1042"/>
      <c r="R2" s="1042"/>
      <c r="S2" s="1042"/>
      <c r="T2" s="1042"/>
      <c r="U2" s="1042"/>
      <c r="V2" s="1042"/>
      <c r="W2" s="1042"/>
      <c r="X2" s="1042"/>
      <c r="Y2" s="1042"/>
      <c r="Z2" s="1042"/>
      <c r="AA2" s="1042"/>
      <c r="AB2" s="1042"/>
      <c r="AC2" s="1042"/>
      <c r="AD2" s="1042"/>
      <c r="AE2" s="1042"/>
      <c r="AF2" s="1042"/>
      <c r="AG2" s="1042"/>
      <c r="AH2" s="1042"/>
      <c r="AI2" s="1042"/>
      <c r="AJ2" s="1042"/>
      <c r="AK2" s="1039"/>
    </row>
    <row r="3" ht="5.25" customHeight="1">
      <c r="A3" s="1039"/>
      <c r="B3" s="1042"/>
      <c r="C3" s="1043"/>
      <c r="D3" s="1044"/>
      <c r="E3" s="1044"/>
      <c r="F3" s="1044"/>
      <c r="G3" s="1044"/>
      <c r="H3" s="1044"/>
      <c r="I3" s="1044"/>
      <c r="J3" s="1044"/>
      <c r="K3" s="1044"/>
      <c r="L3" s="1044"/>
      <c r="M3" s="1044"/>
      <c r="N3" s="1044"/>
      <c r="O3" s="1044"/>
      <c r="P3" s="1044"/>
      <c r="Q3" s="1044"/>
      <c r="R3" s="1044"/>
      <c r="S3" s="1044"/>
      <c r="T3" s="1044"/>
      <c r="U3" s="1044"/>
      <c r="V3" s="1044"/>
      <c r="W3" s="1044"/>
      <c r="X3" s="1044"/>
      <c r="Y3" s="1044"/>
      <c r="Z3" s="1044"/>
      <c r="AA3" s="1044"/>
      <c r="AB3" s="1044"/>
      <c r="AC3" s="1044"/>
      <c r="AD3" s="1044"/>
      <c r="AE3" s="1044"/>
      <c r="AF3" s="1044"/>
      <c r="AG3" s="1045"/>
      <c r="AH3" s="1045"/>
      <c r="AI3" s="1046"/>
      <c r="AJ3" s="1042"/>
      <c r="AK3" s="1039"/>
    </row>
    <row r="4" ht="9.0" customHeight="1">
      <c r="A4" s="1039"/>
      <c r="B4" s="1042"/>
      <c r="C4" s="1047"/>
      <c r="D4" s="1048"/>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50"/>
      <c r="AH4" s="1051"/>
      <c r="AI4" s="1052"/>
      <c r="AJ4" s="1042"/>
      <c r="AK4" s="1039"/>
    </row>
    <row r="5" ht="3.75" customHeight="1">
      <c r="A5" s="1039"/>
      <c r="B5" s="1042"/>
      <c r="C5" s="1053"/>
      <c r="D5" s="1050"/>
      <c r="E5" s="1054"/>
      <c r="F5" s="1055"/>
      <c r="G5" s="1055"/>
      <c r="H5" s="1055"/>
      <c r="I5" s="1055"/>
      <c r="J5" s="1055"/>
      <c r="K5" s="1055"/>
      <c r="L5" s="1055"/>
      <c r="M5" s="1055"/>
      <c r="N5" s="1055"/>
      <c r="O5" s="1055"/>
      <c r="P5" s="1055"/>
      <c r="Q5" s="1055"/>
      <c r="R5" s="1055"/>
      <c r="S5" s="1055"/>
      <c r="T5" s="1055"/>
      <c r="U5" s="1055"/>
      <c r="V5" s="1055"/>
      <c r="W5" s="1055"/>
      <c r="X5" s="1055"/>
      <c r="Y5" s="1055"/>
      <c r="Z5" s="1055"/>
      <c r="AA5" s="1055"/>
      <c r="AB5" s="1055"/>
      <c r="AC5" s="1055"/>
      <c r="AD5" s="1055"/>
      <c r="AE5" s="1055"/>
      <c r="AF5" s="1056"/>
      <c r="AG5" s="1057"/>
      <c r="AH5" s="1051"/>
      <c r="AI5" s="1052"/>
      <c r="AJ5" s="1042"/>
      <c r="AK5" s="1039"/>
    </row>
    <row r="6">
      <c r="A6" s="1039"/>
      <c r="B6" s="1042"/>
      <c r="C6" s="1053"/>
      <c r="D6" s="1050"/>
      <c r="E6" s="1058"/>
      <c r="F6" s="1059" t="s">
        <v>1392</v>
      </c>
      <c r="G6" s="1060"/>
      <c r="H6" s="1060"/>
      <c r="I6" s="1060"/>
      <c r="J6" s="1060"/>
      <c r="K6" s="1060"/>
      <c r="L6" s="1060"/>
      <c r="M6" s="1060"/>
      <c r="N6" s="1060"/>
      <c r="O6" s="1060"/>
      <c r="P6" s="1060"/>
      <c r="Q6" s="1060"/>
      <c r="R6" s="1060"/>
      <c r="S6" s="1060"/>
      <c r="T6" s="1060"/>
      <c r="U6" s="1060"/>
      <c r="V6" s="1060"/>
      <c r="W6" s="1060"/>
      <c r="X6" s="1060"/>
      <c r="Y6" s="1060"/>
      <c r="Z6" s="1060"/>
      <c r="AA6" s="1060"/>
      <c r="AB6" s="1060"/>
      <c r="AC6" s="1060"/>
      <c r="AD6" s="1060"/>
      <c r="AE6" s="1061"/>
      <c r="AF6" s="1062"/>
      <c r="AG6" s="1057"/>
      <c r="AH6" s="1051"/>
      <c r="AI6" s="1052"/>
      <c r="AJ6" s="1042"/>
      <c r="AK6" s="1039"/>
    </row>
    <row r="7" ht="7.5" customHeight="1">
      <c r="A7" s="1039"/>
      <c r="B7" s="1042"/>
      <c r="C7" s="1053"/>
      <c r="D7" s="1050"/>
      <c r="E7" s="1058"/>
      <c r="F7" s="1063"/>
      <c r="G7" s="1063"/>
      <c r="H7" s="1063"/>
      <c r="I7" s="1063"/>
      <c r="J7" s="1063"/>
      <c r="K7" s="1063"/>
      <c r="L7" s="1063"/>
      <c r="M7" s="1063"/>
      <c r="N7" s="1063"/>
      <c r="O7" s="1063"/>
      <c r="P7" s="1063"/>
      <c r="Q7" s="1063"/>
      <c r="R7" s="1063"/>
      <c r="S7" s="1063"/>
      <c r="T7" s="1063"/>
      <c r="U7" s="1063"/>
      <c r="V7" s="1063"/>
      <c r="W7" s="1063"/>
      <c r="X7" s="1063"/>
      <c r="Y7" s="1063"/>
      <c r="Z7" s="1063"/>
      <c r="AA7" s="1063"/>
      <c r="AB7" s="1063"/>
      <c r="AC7" s="1063"/>
      <c r="AD7" s="1063"/>
      <c r="AE7" s="1063"/>
      <c r="AF7" s="1062"/>
      <c r="AG7" s="1057"/>
      <c r="AH7" s="1051"/>
      <c r="AI7" s="1052"/>
      <c r="AJ7" s="1042"/>
      <c r="AK7" s="1039"/>
    </row>
    <row r="8" ht="18.75" customHeight="1">
      <c r="A8" s="1039"/>
      <c r="B8" s="1042"/>
      <c r="C8" s="1053"/>
      <c r="D8" s="1050"/>
      <c r="E8" s="1058"/>
      <c r="F8" s="1064" t="str">
        <f>Source!$D$13</f>
        <v/>
      </c>
      <c r="G8" s="1065" t="s">
        <v>1393</v>
      </c>
      <c r="H8" s="1060"/>
      <c r="I8" s="1060"/>
      <c r="J8" s="1060"/>
      <c r="K8" s="1060"/>
      <c r="L8" s="1060"/>
      <c r="M8" s="1060"/>
      <c r="N8" s="1060"/>
      <c r="O8" s="1060"/>
      <c r="P8" s="1060"/>
      <c r="Q8" s="1060"/>
      <c r="R8" s="1060"/>
      <c r="S8" s="1060"/>
      <c r="T8" s="1060"/>
      <c r="U8" s="1060"/>
      <c r="V8" s="1060"/>
      <c r="W8" s="1060"/>
      <c r="X8" s="1061"/>
      <c r="Y8" s="1066" t="str">
        <f>Source!$B$8</f>
        <v/>
      </c>
      <c r="Z8" s="1061"/>
      <c r="AA8" s="1067">
        <v>5000.0</v>
      </c>
      <c r="AB8" s="1060"/>
      <c r="AC8" s="1060"/>
      <c r="AD8" s="1060"/>
      <c r="AE8" s="1061"/>
      <c r="AF8" s="1062"/>
      <c r="AG8" s="1057"/>
      <c r="AH8" s="1051"/>
      <c r="AI8" s="1052"/>
      <c r="AJ8" s="1042"/>
      <c r="AK8" s="1039"/>
    </row>
    <row r="9" ht="7.5" customHeight="1">
      <c r="A9" s="1039"/>
      <c r="B9" s="1042"/>
      <c r="C9" s="1053"/>
      <c r="D9" s="1050"/>
      <c r="E9" s="1058"/>
      <c r="F9" s="1064"/>
      <c r="G9" s="1068"/>
      <c r="H9" s="1069"/>
      <c r="I9" s="1068"/>
      <c r="J9" s="1063"/>
      <c r="K9" s="1068"/>
      <c r="L9" s="1063"/>
      <c r="M9" s="1068"/>
      <c r="N9" s="1063"/>
      <c r="O9" s="1068"/>
      <c r="P9" s="1063"/>
      <c r="Q9" s="1068"/>
      <c r="R9" s="1063"/>
      <c r="S9" s="1068"/>
      <c r="T9" s="1063"/>
      <c r="U9" s="1068"/>
      <c r="V9" s="1063"/>
      <c r="W9" s="1068"/>
      <c r="X9" s="1063"/>
      <c r="Y9" s="1068"/>
      <c r="Z9" s="1063"/>
      <c r="AA9" s="1068"/>
      <c r="AB9" s="1063"/>
      <c r="AC9" s="1068"/>
      <c r="AD9" s="1063"/>
      <c r="AE9" s="1068"/>
      <c r="AF9" s="1062"/>
      <c r="AG9" s="1057"/>
      <c r="AH9" s="1051"/>
      <c r="AI9" s="1052"/>
      <c r="AJ9" s="1042"/>
      <c r="AK9" s="1039"/>
    </row>
    <row r="10" ht="18.75" customHeight="1">
      <c r="A10" s="1039"/>
      <c r="B10" s="1042"/>
      <c r="C10" s="1053"/>
      <c r="D10" s="1050"/>
      <c r="E10" s="1058"/>
      <c r="F10" s="1064" t="str">
        <f>Source!$D$18</f>
        <v/>
      </c>
      <c r="G10" s="1065" t="s">
        <v>1394</v>
      </c>
      <c r="H10" s="1060"/>
      <c r="I10" s="1060"/>
      <c r="J10" s="1060"/>
      <c r="K10" s="1060"/>
      <c r="L10" s="1060"/>
      <c r="M10" s="1060"/>
      <c r="N10" s="1060"/>
      <c r="O10" s="1060"/>
      <c r="P10" s="1060"/>
      <c r="Q10" s="1060"/>
      <c r="R10" s="1060"/>
      <c r="S10" s="1060"/>
      <c r="T10" s="1060"/>
      <c r="U10" s="1060"/>
      <c r="V10" s="1060"/>
      <c r="W10" s="1060"/>
      <c r="X10" s="1061"/>
      <c r="Y10" s="1066" t="str">
        <f>Source!$B$8</f>
        <v/>
      </c>
      <c r="Z10" s="1061"/>
      <c r="AA10" s="1067" t="s">
        <v>429</v>
      </c>
      <c r="AB10" s="1060"/>
      <c r="AC10" s="1060"/>
      <c r="AD10" s="1060"/>
      <c r="AE10" s="1061"/>
      <c r="AF10" s="1062"/>
      <c r="AG10" s="1057"/>
      <c r="AH10" s="1051"/>
      <c r="AI10" s="1052"/>
      <c r="AJ10" s="1042"/>
      <c r="AK10" s="1039"/>
    </row>
    <row r="11" ht="7.5" customHeight="1">
      <c r="A11" s="1039"/>
      <c r="B11" s="1042"/>
      <c r="C11" s="1053"/>
      <c r="D11" s="1050"/>
      <c r="E11" s="1058"/>
      <c r="F11" s="1064"/>
      <c r="G11" s="1068"/>
      <c r="H11" s="1069"/>
      <c r="I11" s="1068"/>
      <c r="J11" s="1063"/>
      <c r="K11" s="1068"/>
      <c r="L11" s="1063"/>
      <c r="M11" s="1068"/>
      <c r="N11" s="1063"/>
      <c r="O11" s="1068"/>
      <c r="P11" s="1063"/>
      <c r="Q11" s="1068"/>
      <c r="R11" s="1063"/>
      <c r="S11" s="1068"/>
      <c r="T11" s="1063"/>
      <c r="U11" s="1068"/>
      <c r="V11" s="1063"/>
      <c r="W11" s="1068"/>
      <c r="X11" s="1063"/>
      <c r="Y11" s="1068"/>
      <c r="Z11" s="1063"/>
      <c r="AA11" s="1068"/>
      <c r="AB11" s="1063"/>
      <c r="AC11" s="1068"/>
      <c r="AD11" s="1063"/>
      <c r="AE11" s="1068"/>
      <c r="AF11" s="1062"/>
      <c r="AG11" s="1057"/>
      <c r="AH11" s="1051"/>
      <c r="AI11" s="1052"/>
      <c r="AJ11" s="1042"/>
      <c r="AK11" s="1039"/>
    </row>
    <row r="12" ht="18.75" customHeight="1">
      <c r="A12" s="1039"/>
      <c r="B12" s="1042"/>
      <c r="C12" s="1053"/>
      <c r="D12" s="1050"/>
      <c r="E12" s="1058"/>
      <c r="F12" s="1064" t="str">
        <f>Source!$D$9</f>
        <v/>
      </c>
      <c r="G12" s="1065" t="s">
        <v>1395</v>
      </c>
      <c r="H12" s="1060"/>
      <c r="I12" s="1060"/>
      <c r="J12" s="1060"/>
      <c r="K12" s="1060"/>
      <c r="L12" s="1060"/>
      <c r="M12" s="1060"/>
      <c r="N12" s="1060"/>
      <c r="O12" s="1060"/>
      <c r="P12" s="1060"/>
      <c r="Q12" s="1060"/>
      <c r="R12" s="1060"/>
      <c r="S12" s="1060"/>
      <c r="T12" s="1060"/>
      <c r="U12" s="1060"/>
      <c r="V12" s="1060"/>
      <c r="W12" s="1060"/>
      <c r="X12" s="1061"/>
      <c r="Y12" s="1066" t="str">
        <f>Source!$B$8</f>
        <v/>
      </c>
      <c r="Z12" s="1061"/>
      <c r="AA12" s="1067">
        <v>5000.0</v>
      </c>
      <c r="AB12" s="1060"/>
      <c r="AC12" s="1060"/>
      <c r="AD12" s="1060"/>
      <c r="AE12" s="1061"/>
      <c r="AF12" s="1062"/>
      <c r="AG12" s="1057"/>
      <c r="AH12" s="1051"/>
      <c r="AI12" s="1052"/>
      <c r="AJ12" s="1042"/>
      <c r="AK12" s="1039"/>
    </row>
    <row r="13" ht="7.5" customHeight="1">
      <c r="A13" s="1039"/>
      <c r="B13" s="1042"/>
      <c r="C13" s="1053"/>
      <c r="D13" s="1050"/>
      <c r="E13" s="1058"/>
      <c r="F13" s="1064"/>
      <c r="G13" s="1068"/>
      <c r="H13" s="1069"/>
      <c r="I13" s="1068"/>
      <c r="J13" s="1063"/>
      <c r="K13" s="1068"/>
      <c r="L13" s="1063"/>
      <c r="M13" s="1068"/>
      <c r="N13" s="1063"/>
      <c r="O13" s="1068"/>
      <c r="P13" s="1063"/>
      <c r="Q13" s="1068"/>
      <c r="R13" s="1063"/>
      <c r="S13" s="1068"/>
      <c r="T13" s="1063"/>
      <c r="U13" s="1068"/>
      <c r="V13" s="1063"/>
      <c r="W13" s="1068"/>
      <c r="X13" s="1063"/>
      <c r="Y13" s="1068"/>
      <c r="Z13" s="1063"/>
      <c r="AA13" s="1068"/>
      <c r="AB13" s="1063"/>
      <c r="AC13" s="1068"/>
      <c r="AD13" s="1063"/>
      <c r="AE13" s="1068"/>
      <c r="AF13" s="1062"/>
      <c r="AG13" s="1057"/>
      <c r="AH13" s="1051"/>
      <c r="AI13" s="1052"/>
      <c r="AJ13" s="1042"/>
      <c r="AK13" s="1039"/>
    </row>
    <row r="14" ht="18.75" customHeight="1">
      <c r="A14" s="1039"/>
      <c r="B14" s="1042"/>
      <c r="C14" s="1053"/>
      <c r="D14" s="1050"/>
      <c r="E14" s="1058"/>
      <c r="F14" s="1064" t="str">
        <f>Source!$D$9</f>
        <v/>
      </c>
      <c r="G14" s="1065" t="s">
        <v>1396</v>
      </c>
      <c r="H14" s="1060"/>
      <c r="I14" s="1060"/>
      <c r="J14" s="1060"/>
      <c r="K14" s="1060"/>
      <c r="L14" s="1060"/>
      <c r="M14" s="1060"/>
      <c r="N14" s="1060"/>
      <c r="O14" s="1060"/>
      <c r="P14" s="1060"/>
      <c r="Q14" s="1060"/>
      <c r="R14" s="1060"/>
      <c r="S14" s="1060"/>
      <c r="T14" s="1060"/>
      <c r="U14" s="1060"/>
      <c r="V14" s="1060"/>
      <c r="W14" s="1060"/>
      <c r="X14" s="1061"/>
      <c r="Y14" s="1066" t="str">
        <f>Source!$B$8</f>
        <v/>
      </c>
      <c r="Z14" s="1061"/>
      <c r="AA14" s="1067">
        <v>5000.0</v>
      </c>
      <c r="AB14" s="1060"/>
      <c r="AC14" s="1060"/>
      <c r="AD14" s="1060"/>
      <c r="AE14" s="1061"/>
      <c r="AF14" s="1062"/>
      <c r="AG14" s="1057"/>
      <c r="AH14" s="1051"/>
      <c r="AI14" s="1052"/>
      <c r="AJ14" s="1042"/>
      <c r="AK14" s="1039"/>
    </row>
    <row r="15" ht="7.5" customHeight="1">
      <c r="A15" s="1039"/>
      <c r="B15" s="1042"/>
      <c r="C15" s="1053"/>
      <c r="D15" s="1050"/>
      <c r="E15" s="1058"/>
      <c r="F15" s="1064"/>
      <c r="G15" s="1068"/>
      <c r="H15" s="1069"/>
      <c r="I15" s="1068"/>
      <c r="J15" s="1063"/>
      <c r="K15" s="1068"/>
      <c r="L15" s="1063"/>
      <c r="M15" s="1068"/>
      <c r="N15" s="1063"/>
      <c r="O15" s="1068"/>
      <c r="P15" s="1063"/>
      <c r="Q15" s="1068"/>
      <c r="R15" s="1063"/>
      <c r="S15" s="1068"/>
      <c r="T15" s="1063"/>
      <c r="U15" s="1068"/>
      <c r="V15" s="1063"/>
      <c r="W15" s="1068"/>
      <c r="X15" s="1063"/>
      <c r="Y15" s="1068"/>
      <c r="Z15" s="1063"/>
      <c r="AA15" s="1068"/>
      <c r="AB15" s="1063"/>
      <c r="AC15" s="1068"/>
      <c r="AD15" s="1063"/>
      <c r="AE15" s="1068"/>
      <c r="AF15" s="1062"/>
      <c r="AG15" s="1057"/>
      <c r="AH15" s="1051"/>
      <c r="AI15" s="1052"/>
      <c r="AJ15" s="1042"/>
      <c r="AK15" s="1039"/>
    </row>
    <row r="16" ht="18.75" customHeight="1">
      <c r="A16" s="1039"/>
      <c r="B16" s="1042"/>
      <c r="C16" s="1053"/>
      <c r="D16" s="1050"/>
      <c r="E16" s="1058"/>
      <c r="F16" s="1064" t="str">
        <f>Source!$D$3</f>
        <v/>
      </c>
      <c r="G16" s="1065" t="s">
        <v>1397</v>
      </c>
      <c r="H16" s="1060"/>
      <c r="I16" s="1060"/>
      <c r="J16" s="1060"/>
      <c r="K16" s="1060"/>
      <c r="L16" s="1060"/>
      <c r="M16" s="1060"/>
      <c r="N16" s="1060"/>
      <c r="O16" s="1060"/>
      <c r="P16" s="1060"/>
      <c r="Q16" s="1060"/>
      <c r="R16" s="1060"/>
      <c r="S16" s="1060"/>
      <c r="T16" s="1060"/>
      <c r="U16" s="1060"/>
      <c r="V16" s="1060"/>
      <c r="W16" s="1060"/>
      <c r="X16" s="1061"/>
      <c r="Y16" s="1066" t="str">
        <f>Source!$B$8</f>
        <v/>
      </c>
      <c r="Z16" s="1061"/>
      <c r="AA16" s="1067">
        <v>5000.0</v>
      </c>
      <c r="AB16" s="1060"/>
      <c r="AC16" s="1060"/>
      <c r="AD16" s="1060"/>
      <c r="AE16" s="1061"/>
      <c r="AF16" s="1062"/>
      <c r="AG16" s="1057"/>
      <c r="AH16" s="1051"/>
      <c r="AI16" s="1052"/>
      <c r="AJ16" s="1042"/>
      <c r="AK16" s="1039"/>
    </row>
    <row r="17" ht="7.5" customHeight="1">
      <c r="A17" s="1039"/>
      <c r="B17" s="1042"/>
      <c r="C17" s="1053"/>
      <c r="D17" s="1050"/>
      <c r="E17" s="1058"/>
      <c r="F17" s="1064"/>
      <c r="G17" s="1068"/>
      <c r="H17" s="1069"/>
      <c r="I17" s="1068"/>
      <c r="J17" s="1063"/>
      <c r="K17" s="1068"/>
      <c r="L17" s="1063"/>
      <c r="M17" s="1068"/>
      <c r="N17" s="1063"/>
      <c r="O17" s="1068"/>
      <c r="P17" s="1063"/>
      <c r="Q17" s="1068"/>
      <c r="R17" s="1063"/>
      <c r="S17" s="1068"/>
      <c r="T17" s="1063"/>
      <c r="U17" s="1068"/>
      <c r="V17" s="1063"/>
      <c r="W17" s="1068"/>
      <c r="X17" s="1063"/>
      <c r="Y17" s="1068"/>
      <c r="Z17" s="1063"/>
      <c r="AA17" s="1068"/>
      <c r="AB17" s="1063"/>
      <c r="AC17" s="1068"/>
      <c r="AD17" s="1063"/>
      <c r="AE17" s="1068"/>
      <c r="AF17" s="1062"/>
      <c r="AG17" s="1057"/>
      <c r="AH17" s="1051"/>
      <c r="AI17" s="1052"/>
      <c r="AJ17" s="1042"/>
      <c r="AK17" s="1039"/>
    </row>
    <row r="18" ht="18.75" customHeight="1">
      <c r="A18" s="1039"/>
      <c r="B18" s="1042"/>
      <c r="C18" s="1053"/>
      <c r="D18" s="1050"/>
      <c r="E18" s="1058"/>
      <c r="F18" s="1064" t="str">
        <f>Source!$D$7</f>
        <v/>
      </c>
      <c r="G18" s="1065" t="s">
        <v>1398</v>
      </c>
      <c r="H18" s="1060"/>
      <c r="I18" s="1060"/>
      <c r="J18" s="1060"/>
      <c r="K18" s="1060"/>
      <c r="L18" s="1060"/>
      <c r="M18" s="1060"/>
      <c r="N18" s="1060"/>
      <c r="O18" s="1060"/>
      <c r="P18" s="1060"/>
      <c r="Q18" s="1060"/>
      <c r="R18" s="1060"/>
      <c r="S18" s="1060"/>
      <c r="T18" s="1060"/>
      <c r="U18" s="1060"/>
      <c r="V18" s="1060"/>
      <c r="W18" s="1060"/>
      <c r="X18" s="1061"/>
      <c r="Y18" s="1066" t="str">
        <f>Source!$B$8</f>
        <v/>
      </c>
      <c r="Z18" s="1061"/>
      <c r="AA18" s="1067">
        <v>5000.0</v>
      </c>
      <c r="AB18" s="1060"/>
      <c r="AC18" s="1060"/>
      <c r="AD18" s="1060"/>
      <c r="AE18" s="1061"/>
      <c r="AF18" s="1062"/>
      <c r="AG18" s="1057"/>
      <c r="AH18" s="1051"/>
      <c r="AI18" s="1052"/>
      <c r="AJ18" s="1042"/>
      <c r="AK18" s="1039"/>
    </row>
    <row r="19" ht="3.75" customHeight="1">
      <c r="A19" s="1039"/>
      <c r="B19" s="1042"/>
      <c r="C19" s="1053"/>
      <c r="D19" s="1050"/>
      <c r="E19" s="1070"/>
      <c r="F19" s="1071"/>
      <c r="G19" s="1071"/>
      <c r="H19" s="1071"/>
      <c r="I19" s="1071"/>
      <c r="J19" s="1071"/>
      <c r="K19" s="1071"/>
      <c r="L19" s="1071"/>
      <c r="M19" s="1071"/>
      <c r="N19" s="1071"/>
      <c r="O19" s="1071"/>
      <c r="P19" s="1071"/>
      <c r="Q19" s="1071"/>
      <c r="R19" s="1071"/>
      <c r="S19" s="1071"/>
      <c r="T19" s="1071"/>
      <c r="U19" s="1071"/>
      <c r="V19" s="1071"/>
      <c r="W19" s="1071"/>
      <c r="X19" s="1071"/>
      <c r="Y19" s="1071"/>
      <c r="Z19" s="1071"/>
      <c r="AA19" s="1071"/>
      <c r="AB19" s="1071"/>
      <c r="AC19" s="1071"/>
      <c r="AD19" s="1071"/>
      <c r="AE19" s="1071"/>
      <c r="AF19" s="1072"/>
      <c r="AG19" s="1057"/>
      <c r="AH19" s="1051"/>
      <c r="AI19" s="1052"/>
      <c r="AJ19" s="1042"/>
      <c r="AK19" s="1039"/>
    </row>
    <row r="20" ht="9.0" customHeight="1">
      <c r="A20" s="1039"/>
      <c r="B20" s="1042"/>
      <c r="C20" s="1073"/>
      <c r="D20" s="1049"/>
      <c r="E20" s="1074"/>
      <c r="F20" s="1074"/>
      <c r="G20" s="1074"/>
      <c r="H20" s="1074"/>
      <c r="I20" s="1074"/>
      <c r="J20" s="1074"/>
      <c r="K20" s="1074"/>
      <c r="L20" s="1074"/>
      <c r="M20" s="1074"/>
      <c r="N20" s="1074"/>
      <c r="O20" s="1074"/>
      <c r="P20" s="1074"/>
      <c r="Q20" s="1074"/>
      <c r="R20" s="1074"/>
      <c r="S20" s="1074"/>
      <c r="T20" s="1074"/>
      <c r="U20" s="1074"/>
      <c r="V20" s="1074"/>
      <c r="W20" s="1074"/>
      <c r="X20" s="1074"/>
      <c r="Y20" s="1074"/>
      <c r="Z20" s="1074"/>
      <c r="AA20" s="1074"/>
      <c r="AB20" s="1074"/>
      <c r="AC20" s="1074"/>
      <c r="AD20" s="1074"/>
      <c r="AE20" s="1074"/>
      <c r="AF20" s="1074"/>
      <c r="AG20" s="1075"/>
      <c r="AH20" s="1051"/>
      <c r="AI20" s="1076"/>
      <c r="AJ20" s="1042"/>
      <c r="AK20" s="1039"/>
    </row>
    <row r="21" ht="4.5" customHeight="1">
      <c r="A21" s="1039"/>
      <c r="B21" s="1042"/>
      <c r="C21" s="1077"/>
      <c r="D21" s="1051"/>
      <c r="E21" s="1051"/>
      <c r="F21" s="1051"/>
      <c r="G21" s="1051"/>
      <c r="H21" s="1051"/>
      <c r="I21" s="1051"/>
      <c r="J21" s="1051"/>
      <c r="K21" s="1051"/>
      <c r="L21" s="1051"/>
      <c r="M21" s="1051"/>
      <c r="N21" s="1051"/>
      <c r="O21" s="1051"/>
      <c r="P21" s="1051"/>
      <c r="Q21" s="1051"/>
      <c r="R21" s="1051"/>
      <c r="S21" s="1051"/>
      <c r="T21" s="1051"/>
      <c r="U21" s="1051"/>
      <c r="V21" s="1051"/>
      <c r="W21" s="1051"/>
      <c r="X21" s="1051"/>
      <c r="Y21" s="1051"/>
      <c r="Z21" s="1051"/>
      <c r="AA21" s="1051"/>
      <c r="AB21" s="1051"/>
      <c r="AC21" s="1051"/>
      <c r="AD21" s="1051"/>
      <c r="AE21" s="1051"/>
      <c r="AF21" s="1051"/>
      <c r="AG21" s="1051"/>
      <c r="AH21" s="1051"/>
      <c r="AI21" s="1076"/>
      <c r="AJ21" s="1042"/>
      <c r="AK21" s="1039"/>
    </row>
    <row r="22" ht="5.25" customHeight="1">
      <c r="A22" s="1039"/>
      <c r="B22" s="1042"/>
      <c r="C22" s="1042"/>
      <c r="D22" s="1042"/>
      <c r="E22" s="1042"/>
      <c r="F22" s="1042"/>
      <c r="G22" s="1042"/>
      <c r="H22" s="1042"/>
      <c r="I22" s="1042"/>
      <c r="J22" s="1042"/>
      <c r="K22" s="1042"/>
      <c r="L22" s="1042"/>
      <c r="M22" s="1042"/>
      <c r="N22" s="1042"/>
      <c r="O22" s="1042"/>
      <c r="P22" s="1042"/>
      <c r="Q22" s="1042"/>
      <c r="R22" s="1042"/>
      <c r="S22" s="1042"/>
      <c r="T22" s="1042"/>
      <c r="U22" s="1042"/>
      <c r="V22" s="1042"/>
      <c r="W22" s="1042"/>
      <c r="X22" s="1042"/>
      <c r="Y22" s="1042"/>
      <c r="Z22" s="1042"/>
      <c r="AA22" s="1042"/>
      <c r="AB22" s="1042"/>
      <c r="AC22" s="1042"/>
      <c r="AD22" s="1042"/>
      <c r="AE22" s="1042"/>
      <c r="AF22" s="1042"/>
      <c r="AG22" s="1042"/>
      <c r="AH22" s="1042"/>
      <c r="AI22" s="1042"/>
      <c r="AJ22" s="1042"/>
      <c r="AK22" s="1039"/>
    </row>
    <row r="23" ht="3.75" customHeight="1">
      <c r="A23" s="1039"/>
      <c r="B23" s="1039"/>
      <c r="C23" s="1039"/>
      <c r="D23" s="1039"/>
      <c r="E23" s="1039"/>
      <c r="F23" s="1039"/>
      <c r="G23" s="1039"/>
      <c r="H23" s="1039"/>
      <c r="I23" s="1039"/>
      <c r="J23" s="1039"/>
      <c r="K23" s="1039"/>
      <c r="L23" s="1039"/>
      <c r="M23" s="1039"/>
      <c r="N23" s="1039"/>
      <c r="O23" s="1039"/>
      <c r="P23" s="1039"/>
      <c r="Q23" s="1039"/>
      <c r="R23" s="1039"/>
      <c r="S23" s="1039"/>
      <c r="T23" s="1039"/>
      <c r="U23" s="1039"/>
      <c r="V23" s="1039"/>
      <c r="W23" s="1039"/>
      <c r="X23" s="1039"/>
      <c r="Y23" s="1039"/>
      <c r="Z23" s="1039"/>
      <c r="AA23" s="1039"/>
      <c r="AB23" s="1039"/>
      <c r="AC23" s="1039"/>
      <c r="AD23" s="1039"/>
      <c r="AE23" s="1039"/>
      <c r="AF23" s="1039"/>
      <c r="AG23" s="1039"/>
      <c r="AH23" s="1039"/>
      <c r="AI23" s="1039"/>
      <c r="AJ23" s="1039"/>
      <c r="AK23" s="1039"/>
    </row>
    <row r="24" ht="5.25" customHeight="1">
      <c r="A24" s="1041"/>
      <c r="B24" s="1042"/>
      <c r="C24" s="1042"/>
      <c r="D24" s="1042"/>
      <c r="E24" s="1042"/>
      <c r="F24" s="1042"/>
      <c r="G24" s="1042"/>
      <c r="H24" s="1042"/>
      <c r="I24" s="1042"/>
      <c r="J24" s="1042"/>
      <c r="K24" s="1042"/>
      <c r="L24" s="1042"/>
      <c r="M24" s="1042"/>
      <c r="N24" s="1042"/>
      <c r="O24" s="1042"/>
      <c r="P24" s="1042"/>
      <c r="Q24" s="1042"/>
      <c r="R24" s="1042"/>
      <c r="S24" s="1042"/>
      <c r="T24" s="1042"/>
      <c r="U24" s="1042"/>
      <c r="V24" s="1042"/>
      <c r="W24" s="1042"/>
      <c r="X24" s="1042"/>
      <c r="Y24" s="1042"/>
      <c r="Z24" s="1042"/>
      <c r="AA24" s="1042"/>
      <c r="AB24" s="1042"/>
      <c r="AC24" s="1042"/>
      <c r="AD24" s="1042"/>
      <c r="AE24" s="1042"/>
      <c r="AF24" s="1042"/>
      <c r="AG24" s="1042"/>
      <c r="AH24" s="1042"/>
      <c r="AI24" s="1042"/>
      <c r="AJ24" s="1042"/>
      <c r="AK24" s="1039"/>
    </row>
    <row r="25" ht="5.25" customHeight="1">
      <c r="A25" s="1039"/>
      <c r="B25" s="1042"/>
      <c r="C25" s="1043"/>
      <c r="D25" s="1044"/>
      <c r="E25" s="1044"/>
      <c r="F25" s="1044"/>
      <c r="G25" s="1044"/>
      <c r="H25" s="1044"/>
      <c r="I25" s="1044"/>
      <c r="J25" s="1044"/>
      <c r="K25" s="1044"/>
      <c r="L25" s="1044"/>
      <c r="M25" s="1044"/>
      <c r="N25" s="1044"/>
      <c r="O25" s="1044"/>
      <c r="P25" s="1044"/>
      <c r="Q25" s="1044"/>
      <c r="R25" s="1044"/>
      <c r="S25" s="1044"/>
      <c r="T25" s="1044"/>
      <c r="U25" s="1044"/>
      <c r="V25" s="1044"/>
      <c r="W25" s="1044"/>
      <c r="X25" s="1044"/>
      <c r="Y25" s="1044"/>
      <c r="Z25" s="1044"/>
      <c r="AA25" s="1044"/>
      <c r="AB25" s="1044"/>
      <c r="AC25" s="1044"/>
      <c r="AD25" s="1044"/>
      <c r="AE25" s="1044"/>
      <c r="AF25" s="1044"/>
      <c r="AG25" s="1045"/>
      <c r="AH25" s="1045"/>
      <c r="AI25" s="1046"/>
      <c r="AJ25" s="1042"/>
      <c r="AK25" s="1039"/>
    </row>
    <row r="26" ht="9.0" customHeight="1">
      <c r="A26" s="1039"/>
      <c r="B26" s="1042"/>
      <c r="C26" s="1047"/>
      <c r="D26" s="1048"/>
      <c r="E26" s="1049"/>
      <c r="F26" s="1049"/>
      <c r="G26" s="1049"/>
      <c r="H26" s="1049"/>
      <c r="I26" s="1049"/>
      <c r="J26" s="1049"/>
      <c r="K26" s="1049"/>
      <c r="L26" s="1049"/>
      <c r="M26" s="1049"/>
      <c r="N26" s="1049"/>
      <c r="O26" s="1049"/>
      <c r="P26" s="1049"/>
      <c r="Q26" s="1049"/>
      <c r="R26" s="1049"/>
      <c r="S26" s="1049"/>
      <c r="T26" s="1049"/>
      <c r="U26" s="1049"/>
      <c r="V26" s="1049"/>
      <c r="W26" s="1049"/>
      <c r="X26" s="1049"/>
      <c r="Y26" s="1049"/>
      <c r="Z26" s="1049"/>
      <c r="AA26" s="1049"/>
      <c r="AB26" s="1049"/>
      <c r="AC26" s="1049"/>
      <c r="AD26" s="1049"/>
      <c r="AE26" s="1049"/>
      <c r="AF26" s="1049"/>
      <c r="AG26" s="1050"/>
      <c r="AH26" s="1051"/>
      <c r="AI26" s="1052"/>
      <c r="AJ26" s="1042"/>
      <c r="AK26" s="1039"/>
    </row>
    <row r="27" ht="3.75" customHeight="1">
      <c r="A27" s="1039"/>
      <c r="B27" s="1042"/>
      <c r="C27" s="1053"/>
      <c r="D27" s="1050"/>
      <c r="E27" s="1054"/>
      <c r="F27" s="1055"/>
      <c r="G27" s="1055"/>
      <c r="H27" s="1055"/>
      <c r="I27" s="1055"/>
      <c r="J27" s="1055"/>
      <c r="K27" s="1055"/>
      <c r="L27" s="1055"/>
      <c r="M27" s="1055"/>
      <c r="N27" s="1055"/>
      <c r="O27" s="1055"/>
      <c r="P27" s="1055"/>
      <c r="Q27" s="1055"/>
      <c r="R27" s="1055"/>
      <c r="S27" s="1055"/>
      <c r="T27" s="1055"/>
      <c r="U27" s="1055"/>
      <c r="V27" s="1055"/>
      <c r="W27" s="1055"/>
      <c r="X27" s="1055"/>
      <c r="Y27" s="1055"/>
      <c r="Z27" s="1055"/>
      <c r="AA27" s="1055"/>
      <c r="AB27" s="1055"/>
      <c r="AC27" s="1055"/>
      <c r="AD27" s="1055"/>
      <c r="AE27" s="1055"/>
      <c r="AF27" s="1056"/>
      <c r="AG27" s="1057"/>
      <c r="AH27" s="1051"/>
      <c r="AI27" s="1052"/>
      <c r="AJ27" s="1042"/>
      <c r="AK27" s="1039"/>
    </row>
    <row r="28">
      <c r="A28" s="1039"/>
      <c r="B28" s="1042"/>
      <c r="C28" s="1053"/>
      <c r="D28" s="1050"/>
      <c r="E28" s="1058"/>
      <c r="F28" s="1059" t="s">
        <v>1399</v>
      </c>
      <c r="G28" s="1060"/>
      <c r="H28" s="1060"/>
      <c r="I28" s="1060"/>
      <c r="J28" s="1060"/>
      <c r="K28" s="1060"/>
      <c r="L28" s="1060"/>
      <c r="M28" s="1060"/>
      <c r="N28" s="1060"/>
      <c r="O28" s="1060"/>
      <c r="P28" s="1060"/>
      <c r="Q28" s="1060"/>
      <c r="R28" s="1060"/>
      <c r="S28" s="1060"/>
      <c r="T28" s="1060"/>
      <c r="U28" s="1060"/>
      <c r="V28" s="1060"/>
      <c r="W28" s="1060"/>
      <c r="X28" s="1060"/>
      <c r="Y28" s="1060"/>
      <c r="Z28" s="1060"/>
      <c r="AA28" s="1060"/>
      <c r="AB28" s="1060"/>
      <c r="AC28" s="1060"/>
      <c r="AD28" s="1060"/>
      <c r="AE28" s="1061"/>
      <c r="AF28" s="1062"/>
      <c r="AG28" s="1057"/>
      <c r="AH28" s="1051"/>
      <c r="AI28" s="1052"/>
      <c r="AJ28" s="1042"/>
      <c r="AK28" s="1039"/>
    </row>
    <row r="29" ht="7.5" customHeight="1">
      <c r="A29" s="1039"/>
      <c r="B29" s="1042"/>
      <c r="C29" s="1053"/>
      <c r="D29" s="1050"/>
      <c r="E29" s="1058"/>
      <c r="F29" s="1063"/>
      <c r="G29" s="1063"/>
      <c r="H29" s="1063"/>
      <c r="I29" s="1063"/>
      <c r="J29" s="1063"/>
      <c r="K29" s="1063"/>
      <c r="L29" s="1063"/>
      <c r="M29" s="1063"/>
      <c r="N29" s="1063"/>
      <c r="O29" s="1063"/>
      <c r="P29" s="1063"/>
      <c r="Q29" s="1063"/>
      <c r="R29" s="1063"/>
      <c r="S29" s="1063"/>
      <c r="T29" s="1063"/>
      <c r="U29" s="1063"/>
      <c r="V29" s="1063"/>
      <c r="W29" s="1063"/>
      <c r="X29" s="1063"/>
      <c r="Y29" s="1063"/>
      <c r="Z29" s="1063"/>
      <c r="AA29" s="1063"/>
      <c r="AB29" s="1063"/>
      <c r="AC29" s="1063"/>
      <c r="AD29" s="1063"/>
      <c r="AE29" s="1063"/>
      <c r="AF29" s="1062"/>
      <c r="AG29" s="1057"/>
      <c r="AH29" s="1051"/>
      <c r="AI29" s="1052"/>
      <c r="AJ29" s="1042"/>
      <c r="AK29" s="1039"/>
    </row>
    <row r="30" ht="18.75" customHeight="1">
      <c r="A30" s="1039"/>
      <c r="B30" s="1042"/>
      <c r="C30" s="1053"/>
      <c r="D30" s="1050"/>
      <c r="E30" s="1058"/>
      <c r="F30" s="1064" t="str">
        <f>Source!$Y$27</f>
        <v/>
      </c>
      <c r="G30" s="1065" t="s">
        <v>1400</v>
      </c>
      <c r="H30" s="1060"/>
      <c r="I30" s="1060"/>
      <c r="J30" s="1060"/>
      <c r="K30" s="1060"/>
      <c r="L30" s="1060"/>
      <c r="M30" s="1060"/>
      <c r="N30" s="1060"/>
      <c r="O30" s="1060"/>
      <c r="P30" s="1060"/>
      <c r="Q30" s="1060"/>
      <c r="R30" s="1060"/>
      <c r="S30" s="1060"/>
      <c r="T30" s="1060"/>
      <c r="U30" s="1060"/>
      <c r="V30" s="1060"/>
      <c r="W30" s="1060"/>
      <c r="X30" s="1061"/>
      <c r="Y30" s="1066" t="str">
        <f>Source!$B$8</f>
        <v/>
      </c>
      <c r="Z30" s="1061"/>
      <c r="AA30" s="1067">
        <v>1000.0</v>
      </c>
      <c r="AB30" s="1060"/>
      <c r="AC30" s="1060"/>
      <c r="AD30" s="1060"/>
      <c r="AE30" s="1061"/>
      <c r="AF30" s="1062"/>
      <c r="AG30" s="1057"/>
      <c r="AH30" s="1051"/>
      <c r="AI30" s="1052"/>
      <c r="AJ30" s="1042"/>
      <c r="AK30" s="1039"/>
    </row>
    <row r="31" ht="7.5" customHeight="1">
      <c r="A31" s="1039"/>
      <c r="B31" s="1042"/>
      <c r="C31" s="1053"/>
      <c r="D31" s="1050"/>
      <c r="E31" s="1058"/>
      <c r="F31" s="1064"/>
      <c r="G31" s="1068"/>
      <c r="H31" s="1069"/>
      <c r="I31" s="1068"/>
      <c r="J31" s="1063"/>
      <c r="K31" s="1068"/>
      <c r="L31" s="1063"/>
      <c r="M31" s="1068"/>
      <c r="N31" s="1063"/>
      <c r="O31" s="1068"/>
      <c r="P31" s="1063"/>
      <c r="Q31" s="1068"/>
      <c r="R31" s="1063"/>
      <c r="S31" s="1068"/>
      <c r="T31" s="1063"/>
      <c r="U31" s="1068"/>
      <c r="V31" s="1063"/>
      <c r="W31" s="1068"/>
      <c r="X31" s="1063"/>
      <c r="Y31" s="1068"/>
      <c r="Z31" s="1063"/>
      <c r="AA31" s="1068"/>
      <c r="AB31" s="1063"/>
      <c r="AC31" s="1068"/>
      <c r="AD31" s="1063"/>
      <c r="AE31" s="1068"/>
      <c r="AF31" s="1062"/>
      <c r="AG31" s="1057"/>
      <c r="AH31" s="1051"/>
      <c r="AI31" s="1052"/>
      <c r="AJ31" s="1042"/>
      <c r="AK31" s="1039"/>
    </row>
    <row r="32" ht="18.75" customHeight="1">
      <c r="A32" s="1039"/>
      <c r="B32" s="1042"/>
      <c r="C32" s="1053"/>
      <c r="D32" s="1050"/>
      <c r="E32" s="1058"/>
      <c r="F32" s="1064" t="str">
        <f>Source!$Y$4</f>
        <v/>
      </c>
      <c r="G32" s="1065" t="s">
        <v>1401</v>
      </c>
      <c r="H32" s="1060"/>
      <c r="I32" s="1060"/>
      <c r="J32" s="1060"/>
      <c r="K32" s="1060"/>
      <c r="L32" s="1060"/>
      <c r="M32" s="1060"/>
      <c r="N32" s="1060"/>
      <c r="O32" s="1060"/>
      <c r="P32" s="1060"/>
      <c r="Q32" s="1060"/>
      <c r="R32" s="1060"/>
      <c r="S32" s="1060"/>
      <c r="T32" s="1060"/>
      <c r="U32" s="1060"/>
      <c r="V32" s="1060"/>
      <c r="W32" s="1060"/>
      <c r="X32" s="1061"/>
      <c r="Y32" s="1066" t="str">
        <f>Source!$B$8</f>
        <v/>
      </c>
      <c r="Z32" s="1061"/>
      <c r="AA32" s="1067">
        <v>1000.0</v>
      </c>
      <c r="AB32" s="1060"/>
      <c r="AC32" s="1060"/>
      <c r="AD32" s="1060"/>
      <c r="AE32" s="1061"/>
      <c r="AF32" s="1062"/>
      <c r="AG32" s="1057"/>
      <c r="AH32" s="1051"/>
      <c r="AI32" s="1052"/>
      <c r="AJ32" s="1042"/>
      <c r="AK32" s="1039"/>
    </row>
    <row r="33" ht="7.5" customHeight="1">
      <c r="A33" s="1039"/>
      <c r="B33" s="1042"/>
      <c r="C33" s="1053"/>
      <c r="D33" s="1050"/>
      <c r="E33" s="1058"/>
      <c r="F33" s="1064"/>
      <c r="G33" s="1068"/>
      <c r="H33" s="1069"/>
      <c r="I33" s="1068"/>
      <c r="J33" s="1063"/>
      <c r="K33" s="1068"/>
      <c r="L33" s="1063"/>
      <c r="M33" s="1068"/>
      <c r="N33" s="1063"/>
      <c r="O33" s="1068"/>
      <c r="P33" s="1063"/>
      <c r="Q33" s="1068"/>
      <c r="R33" s="1063"/>
      <c r="S33" s="1068"/>
      <c r="T33" s="1063"/>
      <c r="U33" s="1068"/>
      <c r="V33" s="1063"/>
      <c r="W33" s="1068"/>
      <c r="X33" s="1063"/>
      <c r="Y33" s="1068"/>
      <c r="Z33" s="1063"/>
      <c r="AA33" s="1068"/>
      <c r="AB33" s="1063"/>
      <c r="AC33" s="1068"/>
      <c r="AD33" s="1063"/>
      <c r="AE33" s="1068"/>
      <c r="AF33" s="1062"/>
      <c r="AG33" s="1057"/>
      <c r="AH33" s="1051"/>
      <c r="AI33" s="1052"/>
      <c r="AJ33" s="1042"/>
      <c r="AK33" s="1039"/>
    </row>
    <row r="34" ht="18.75" customHeight="1">
      <c r="A34" s="1039"/>
      <c r="B34" s="1042"/>
      <c r="C34" s="1053"/>
      <c r="D34" s="1050"/>
      <c r="E34" s="1058"/>
      <c r="F34" s="1064" t="str">
        <f>Source!$Y$26</f>
        <v/>
      </c>
      <c r="G34" s="1065" t="s">
        <v>1402</v>
      </c>
      <c r="H34" s="1060"/>
      <c r="I34" s="1060"/>
      <c r="J34" s="1060"/>
      <c r="K34" s="1060"/>
      <c r="L34" s="1060"/>
      <c r="M34" s="1060"/>
      <c r="N34" s="1060"/>
      <c r="O34" s="1060"/>
      <c r="P34" s="1060"/>
      <c r="Q34" s="1060"/>
      <c r="R34" s="1060"/>
      <c r="S34" s="1060"/>
      <c r="T34" s="1060"/>
      <c r="U34" s="1060"/>
      <c r="V34" s="1060"/>
      <c r="W34" s="1060"/>
      <c r="X34" s="1061"/>
      <c r="Y34" s="1066" t="str">
        <f>Source!$B$8</f>
        <v/>
      </c>
      <c r="Z34" s="1061"/>
      <c r="AA34" s="1067">
        <v>1000.0</v>
      </c>
      <c r="AB34" s="1060"/>
      <c r="AC34" s="1060"/>
      <c r="AD34" s="1060"/>
      <c r="AE34" s="1061"/>
      <c r="AF34" s="1062"/>
      <c r="AG34" s="1057"/>
      <c r="AH34" s="1051"/>
      <c r="AI34" s="1052"/>
      <c r="AJ34" s="1042"/>
      <c r="AK34" s="1039"/>
    </row>
    <row r="35" ht="7.5" customHeight="1">
      <c r="A35" s="1039"/>
      <c r="B35" s="1042"/>
      <c r="C35" s="1053"/>
      <c r="D35" s="1050"/>
      <c r="E35" s="1058"/>
      <c r="F35" s="1064"/>
      <c r="G35" s="1068"/>
      <c r="H35" s="1069"/>
      <c r="I35" s="1068"/>
      <c r="J35" s="1063"/>
      <c r="K35" s="1068"/>
      <c r="L35" s="1063"/>
      <c r="M35" s="1068"/>
      <c r="N35" s="1063"/>
      <c r="O35" s="1068"/>
      <c r="P35" s="1063"/>
      <c r="Q35" s="1068"/>
      <c r="R35" s="1063"/>
      <c r="S35" s="1068"/>
      <c r="T35" s="1063"/>
      <c r="U35" s="1068"/>
      <c r="V35" s="1063"/>
      <c r="W35" s="1068"/>
      <c r="X35" s="1063"/>
      <c r="Y35" s="1068"/>
      <c r="Z35" s="1063"/>
      <c r="AA35" s="1068"/>
      <c r="AB35" s="1063"/>
      <c r="AC35" s="1068"/>
      <c r="AD35" s="1063"/>
      <c r="AE35" s="1068"/>
      <c r="AF35" s="1062"/>
      <c r="AG35" s="1057"/>
      <c r="AH35" s="1051"/>
      <c r="AI35" s="1052"/>
      <c r="AJ35" s="1042"/>
      <c r="AK35" s="1039"/>
    </row>
    <row r="36" ht="18.75" customHeight="1">
      <c r="A36" s="1039"/>
      <c r="B36" s="1042"/>
      <c r="C36" s="1053"/>
      <c r="D36" s="1050"/>
      <c r="E36" s="1058"/>
      <c r="F36" s="1064" t="str">
        <f>Source!$Y$33</f>
        <v/>
      </c>
      <c r="G36" s="1065" t="s">
        <v>1403</v>
      </c>
      <c r="H36" s="1060"/>
      <c r="I36" s="1060"/>
      <c r="J36" s="1060"/>
      <c r="K36" s="1060"/>
      <c r="L36" s="1060"/>
      <c r="M36" s="1060"/>
      <c r="N36" s="1060"/>
      <c r="O36" s="1060"/>
      <c r="P36" s="1060"/>
      <c r="Q36" s="1060"/>
      <c r="R36" s="1060"/>
      <c r="S36" s="1060"/>
      <c r="T36" s="1060"/>
      <c r="U36" s="1060"/>
      <c r="V36" s="1060"/>
      <c r="W36" s="1060"/>
      <c r="X36" s="1061"/>
      <c r="Y36" s="1066" t="str">
        <f>Source!$B$8</f>
        <v/>
      </c>
      <c r="Z36" s="1061"/>
      <c r="AA36" s="1067">
        <v>1000.0</v>
      </c>
      <c r="AB36" s="1060"/>
      <c r="AC36" s="1060"/>
      <c r="AD36" s="1060"/>
      <c r="AE36" s="1061"/>
      <c r="AF36" s="1062"/>
      <c r="AG36" s="1057"/>
      <c r="AH36" s="1051"/>
      <c r="AI36" s="1052"/>
      <c r="AJ36" s="1042"/>
      <c r="AK36" s="1039"/>
    </row>
    <row r="37" ht="7.5" customHeight="1">
      <c r="A37" s="1039"/>
      <c r="B37" s="1042"/>
      <c r="C37" s="1053"/>
      <c r="D37" s="1050"/>
      <c r="E37" s="1058"/>
      <c r="F37" s="1064"/>
      <c r="G37" s="1068"/>
      <c r="H37" s="1069"/>
      <c r="I37" s="1068"/>
      <c r="J37" s="1063"/>
      <c r="K37" s="1068"/>
      <c r="L37" s="1063"/>
      <c r="M37" s="1068"/>
      <c r="N37" s="1063"/>
      <c r="O37" s="1068"/>
      <c r="P37" s="1063"/>
      <c r="Q37" s="1068"/>
      <c r="R37" s="1063"/>
      <c r="S37" s="1068"/>
      <c r="T37" s="1063"/>
      <c r="U37" s="1068"/>
      <c r="V37" s="1063"/>
      <c r="W37" s="1068"/>
      <c r="X37" s="1063"/>
      <c r="Y37" s="1068"/>
      <c r="Z37" s="1063"/>
      <c r="AA37" s="1068"/>
      <c r="AB37" s="1063"/>
      <c r="AC37" s="1068"/>
      <c r="AD37" s="1063"/>
      <c r="AE37" s="1068"/>
      <c r="AF37" s="1062"/>
      <c r="AG37" s="1057"/>
      <c r="AH37" s="1051"/>
      <c r="AI37" s="1052"/>
      <c r="AJ37" s="1042"/>
      <c r="AK37" s="1039"/>
    </row>
    <row r="38" ht="18.75" customHeight="1">
      <c r="A38" s="1039"/>
      <c r="B38" s="1042"/>
      <c r="C38" s="1053"/>
      <c r="D38" s="1050"/>
      <c r="E38" s="1058"/>
      <c r="F38" s="1064" t="str">
        <f>Source!$Y$37</f>
        <v/>
      </c>
      <c r="G38" s="1065" t="s">
        <v>1404</v>
      </c>
      <c r="H38" s="1060"/>
      <c r="I38" s="1060"/>
      <c r="J38" s="1060"/>
      <c r="K38" s="1060"/>
      <c r="L38" s="1060"/>
      <c r="M38" s="1060"/>
      <c r="N38" s="1060"/>
      <c r="O38" s="1060"/>
      <c r="P38" s="1060"/>
      <c r="Q38" s="1060"/>
      <c r="R38" s="1060"/>
      <c r="S38" s="1060"/>
      <c r="T38" s="1060"/>
      <c r="U38" s="1060"/>
      <c r="V38" s="1060"/>
      <c r="W38" s="1060"/>
      <c r="X38" s="1061"/>
      <c r="Y38" s="1066" t="str">
        <f>Source!$B$8</f>
        <v/>
      </c>
      <c r="Z38" s="1061"/>
      <c r="AA38" s="1067">
        <v>1000.0</v>
      </c>
      <c r="AB38" s="1060"/>
      <c r="AC38" s="1060"/>
      <c r="AD38" s="1060"/>
      <c r="AE38" s="1061"/>
      <c r="AF38" s="1062"/>
      <c r="AG38" s="1057"/>
      <c r="AH38" s="1051"/>
      <c r="AI38" s="1052"/>
      <c r="AJ38" s="1042"/>
      <c r="AK38" s="1039"/>
    </row>
    <row r="39" ht="7.5" customHeight="1">
      <c r="A39" s="1039"/>
      <c r="B39" s="1042"/>
      <c r="C39" s="1053"/>
      <c r="D39" s="1050"/>
      <c r="E39" s="1058"/>
      <c r="F39" s="1064"/>
      <c r="G39" s="1068"/>
      <c r="H39" s="1069"/>
      <c r="I39" s="1068"/>
      <c r="J39" s="1063"/>
      <c r="K39" s="1068"/>
      <c r="L39" s="1063"/>
      <c r="M39" s="1068"/>
      <c r="N39" s="1063"/>
      <c r="O39" s="1068"/>
      <c r="P39" s="1063"/>
      <c r="Q39" s="1068"/>
      <c r="R39" s="1063"/>
      <c r="S39" s="1068"/>
      <c r="T39" s="1063"/>
      <c r="U39" s="1068"/>
      <c r="V39" s="1063"/>
      <c r="W39" s="1068"/>
      <c r="X39" s="1063"/>
      <c r="Y39" s="1068"/>
      <c r="Z39" s="1063"/>
      <c r="AA39" s="1068"/>
      <c r="AB39" s="1063"/>
      <c r="AC39" s="1068"/>
      <c r="AD39" s="1063"/>
      <c r="AE39" s="1068"/>
      <c r="AF39" s="1062"/>
      <c r="AG39" s="1057"/>
      <c r="AH39" s="1051"/>
      <c r="AI39" s="1052"/>
      <c r="AJ39" s="1042"/>
      <c r="AK39" s="1039"/>
    </row>
    <row r="40" ht="18.75" customHeight="1">
      <c r="A40" s="1039"/>
      <c r="B40" s="1042"/>
      <c r="C40" s="1053"/>
      <c r="D40" s="1050"/>
      <c r="E40" s="1058"/>
      <c r="F40" s="1064" t="str">
        <f>Source!$Y$23</f>
        <v/>
      </c>
      <c r="G40" s="1065" t="s">
        <v>1405</v>
      </c>
      <c r="H40" s="1060"/>
      <c r="I40" s="1060"/>
      <c r="J40" s="1060"/>
      <c r="K40" s="1060"/>
      <c r="L40" s="1060"/>
      <c r="M40" s="1060"/>
      <c r="N40" s="1060"/>
      <c r="O40" s="1060"/>
      <c r="P40" s="1060"/>
      <c r="Q40" s="1060"/>
      <c r="R40" s="1060"/>
      <c r="S40" s="1060"/>
      <c r="T40" s="1060"/>
      <c r="U40" s="1060"/>
      <c r="V40" s="1060"/>
      <c r="W40" s="1060"/>
      <c r="X40" s="1061"/>
      <c r="Y40" s="1066" t="str">
        <f>Source!$B$8</f>
        <v/>
      </c>
      <c r="Z40" s="1061"/>
      <c r="AA40" s="1067">
        <v>1000.0</v>
      </c>
      <c r="AB40" s="1060"/>
      <c r="AC40" s="1060"/>
      <c r="AD40" s="1060"/>
      <c r="AE40" s="1061"/>
      <c r="AF40" s="1062"/>
      <c r="AG40" s="1057"/>
      <c r="AH40" s="1051"/>
      <c r="AI40" s="1052"/>
      <c r="AJ40" s="1042"/>
      <c r="AK40" s="1039"/>
    </row>
    <row r="41" ht="7.5" customHeight="1">
      <c r="A41" s="1039"/>
      <c r="B41" s="1042"/>
      <c r="C41" s="1053"/>
      <c r="D41" s="1050"/>
      <c r="E41" s="1058"/>
      <c r="F41" s="1064"/>
      <c r="G41" s="1068"/>
      <c r="H41" s="1069"/>
      <c r="I41" s="1068"/>
      <c r="J41" s="1063"/>
      <c r="K41" s="1068"/>
      <c r="L41" s="1063"/>
      <c r="M41" s="1068"/>
      <c r="N41" s="1063"/>
      <c r="O41" s="1068"/>
      <c r="P41" s="1063"/>
      <c r="Q41" s="1068"/>
      <c r="R41" s="1063"/>
      <c r="S41" s="1068"/>
      <c r="T41" s="1063"/>
      <c r="U41" s="1068"/>
      <c r="V41" s="1063"/>
      <c r="W41" s="1068"/>
      <c r="X41" s="1063"/>
      <c r="Y41" s="1068"/>
      <c r="Z41" s="1063"/>
      <c r="AA41" s="1068"/>
      <c r="AB41" s="1063"/>
      <c r="AC41" s="1068"/>
      <c r="AD41" s="1063"/>
      <c r="AE41" s="1068"/>
      <c r="AF41" s="1062"/>
      <c r="AG41" s="1057"/>
      <c r="AH41" s="1051"/>
      <c r="AI41" s="1052"/>
      <c r="AJ41" s="1042"/>
      <c r="AK41" s="1039"/>
    </row>
    <row r="42" ht="18.75" customHeight="1">
      <c r="A42" s="1039"/>
      <c r="B42" s="1042"/>
      <c r="C42" s="1053"/>
      <c r="D42" s="1050"/>
      <c r="E42" s="1058"/>
      <c r="F42" s="1064" t="str">
        <f>Source!$Y$32</f>
        <v/>
      </c>
      <c r="G42" s="1065" t="s">
        <v>1406</v>
      </c>
      <c r="H42" s="1060"/>
      <c r="I42" s="1060"/>
      <c r="J42" s="1060"/>
      <c r="K42" s="1060"/>
      <c r="L42" s="1060"/>
      <c r="M42" s="1060"/>
      <c r="N42" s="1060"/>
      <c r="O42" s="1060"/>
      <c r="P42" s="1060"/>
      <c r="Q42" s="1060"/>
      <c r="R42" s="1060"/>
      <c r="S42" s="1060"/>
      <c r="T42" s="1060"/>
      <c r="U42" s="1060"/>
      <c r="V42" s="1060"/>
      <c r="W42" s="1060"/>
      <c r="X42" s="1061"/>
      <c r="Y42" s="1066" t="str">
        <f>Source!$B$8</f>
        <v/>
      </c>
      <c r="Z42" s="1061"/>
      <c r="AA42" s="1067">
        <v>1000.0</v>
      </c>
      <c r="AB42" s="1060"/>
      <c r="AC42" s="1060"/>
      <c r="AD42" s="1060"/>
      <c r="AE42" s="1061"/>
      <c r="AF42" s="1062"/>
      <c r="AG42" s="1057"/>
      <c r="AH42" s="1051"/>
      <c r="AI42" s="1052"/>
      <c r="AJ42" s="1042"/>
      <c r="AK42" s="1039"/>
    </row>
    <row r="43" ht="7.5" customHeight="1">
      <c r="A43" s="1039"/>
      <c r="B43" s="1042"/>
      <c r="C43" s="1053"/>
      <c r="D43" s="1050"/>
      <c r="E43" s="1058"/>
      <c r="F43" s="1064"/>
      <c r="G43" s="1068"/>
      <c r="H43" s="1069"/>
      <c r="I43" s="1068"/>
      <c r="J43" s="1063"/>
      <c r="K43" s="1068"/>
      <c r="L43" s="1063"/>
      <c r="M43" s="1068"/>
      <c r="N43" s="1063"/>
      <c r="O43" s="1068"/>
      <c r="P43" s="1063"/>
      <c r="Q43" s="1068"/>
      <c r="R43" s="1063"/>
      <c r="S43" s="1068"/>
      <c r="T43" s="1063"/>
      <c r="U43" s="1068"/>
      <c r="V43" s="1063"/>
      <c r="W43" s="1068"/>
      <c r="X43" s="1063"/>
      <c r="Y43" s="1068"/>
      <c r="Z43" s="1063"/>
      <c r="AA43" s="1068"/>
      <c r="AB43" s="1063"/>
      <c r="AC43" s="1068"/>
      <c r="AD43" s="1063"/>
      <c r="AE43" s="1068"/>
      <c r="AF43" s="1062"/>
      <c r="AG43" s="1057"/>
      <c r="AH43" s="1051"/>
      <c r="AI43" s="1052"/>
      <c r="AJ43" s="1042"/>
      <c r="AK43" s="1039"/>
    </row>
    <row r="44" ht="18.75" customHeight="1">
      <c r="A44" s="1039"/>
      <c r="B44" s="1042"/>
      <c r="C44" s="1053"/>
      <c r="D44" s="1050"/>
      <c r="E44" s="1058"/>
      <c r="F44" s="1064" t="str">
        <f>Source!$Y$6</f>
        <v/>
      </c>
      <c r="G44" s="1065" t="s">
        <v>1407</v>
      </c>
      <c r="H44" s="1060"/>
      <c r="I44" s="1060"/>
      <c r="J44" s="1060"/>
      <c r="K44" s="1060"/>
      <c r="L44" s="1060"/>
      <c r="M44" s="1060"/>
      <c r="N44" s="1060"/>
      <c r="O44" s="1060"/>
      <c r="P44" s="1060"/>
      <c r="Q44" s="1060"/>
      <c r="R44" s="1060"/>
      <c r="S44" s="1060"/>
      <c r="T44" s="1060"/>
      <c r="U44" s="1060"/>
      <c r="V44" s="1060"/>
      <c r="W44" s="1060"/>
      <c r="X44" s="1061"/>
      <c r="Y44" s="1066" t="str">
        <f>Source!$B$8</f>
        <v/>
      </c>
      <c r="Z44" s="1061"/>
      <c r="AA44" s="1067">
        <v>1000.0</v>
      </c>
      <c r="AB44" s="1060"/>
      <c r="AC44" s="1060"/>
      <c r="AD44" s="1060"/>
      <c r="AE44" s="1061"/>
      <c r="AF44" s="1062"/>
      <c r="AG44" s="1057"/>
      <c r="AH44" s="1051"/>
      <c r="AI44" s="1052"/>
      <c r="AJ44" s="1042"/>
      <c r="AK44" s="1039"/>
    </row>
    <row r="45" ht="7.5" customHeight="1">
      <c r="A45" s="1039"/>
      <c r="B45" s="1042"/>
      <c r="C45" s="1053"/>
      <c r="D45" s="1050"/>
      <c r="E45" s="1058"/>
      <c r="F45" s="1064"/>
      <c r="G45" s="1068"/>
      <c r="H45" s="1069"/>
      <c r="I45" s="1068"/>
      <c r="J45" s="1063"/>
      <c r="K45" s="1068"/>
      <c r="L45" s="1063"/>
      <c r="M45" s="1068"/>
      <c r="N45" s="1063"/>
      <c r="O45" s="1068"/>
      <c r="P45" s="1063"/>
      <c r="Q45" s="1068"/>
      <c r="R45" s="1063"/>
      <c r="S45" s="1068"/>
      <c r="T45" s="1063"/>
      <c r="U45" s="1068"/>
      <c r="V45" s="1063"/>
      <c r="W45" s="1068"/>
      <c r="X45" s="1063"/>
      <c r="Y45" s="1068"/>
      <c r="Z45" s="1063"/>
      <c r="AA45" s="1068"/>
      <c r="AB45" s="1063"/>
      <c r="AC45" s="1068"/>
      <c r="AD45" s="1063"/>
      <c r="AE45" s="1068"/>
      <c r="AF45" s="1062"/>
      <c r="AG45" s="1057"/>
      <c r="AH45" s="1051"/>
      <c r="AI45" s="1052"/>
      <c r="AJ45" s="1042"/>
      <c r="AK45" s="1039"/>
    </row>
    <row r="46" ht="18.75" customHeight="1">
      <c r="A46" s="1039"/>
      <c r="B46" s="1042"/>
      <c r="C46" s="1053"/>
      <c r="D46" s="1050"/>
      <c r="E46" s="1058"/>
      <c r="F46" s="1064" t="str">
        <f>Source!$Y$21</f>
        <v/>
      </c>
      <c r="G46" s="1065" t="s">
        <v>1408</v>
      </c>
      <c r="H46" s="1060"/>
      <c r="I46" s="1060"/>
      <c r="J46" s="1060"/>
      <c r="K46" s="1060"/>
      <c r="L46" s="1060"/>
      <c r="M46" s="1060"/>
      <c r="N46" s="1060"/>
      <c r="O46" s="1060"/>
      <c r="P46" s="1060"/>
      <c r="Q46" s="1060"/>
      <c r="R46" s="1060"/>
      <c r="S46" s="1060"/>
      <c r="T46" s="1060"/>
      <c r="U46" s="1060"/>
      <c r="V46" s="1060"/>
      <c r="W46" s="1060"/>
      <c r="X46" s="1061"/>
      <c r="Y46" s="1066" t="str">
        <f>Source!$B$8</f>
        <v/>
      </c>
      <c r="Z46" s="1061"/>
      <c r="AA46" s="1067">
        <v>1000.0</v>
      </c>
      <c r="AB46" s="1060"/>
      <c r="AC46" s="1060"/>
      <c r="AD46" s="1060"/>
      <c r="AE46" s="1061"/>
      <c r="AF46" s="1062"/>
      <c r="AG46" s="1057"/>
      <c r="AH46" s="1051"/>
      <c r="AI46" s="1052"/>
      <c r="AJ46" s="1042"/>
      <c r="AK46" s="1039"/>
    </row>
    <row r="47" ht="7.5" customHeight="1">
      <c r="A47" s="1039"/>
      <c r="B47" s="1042"/>
      <c r="C47" s="1053"/>
      <c r="D47" s="1050"/>
      <c r="E47" s="1058"/>
      <c r="F47" s="1064"/>
      <c r="G47" s="1068"/>
      <c r="H47" s="1069"/>
      <c r="I47" s="1068"/>
      <c r="J47" s="1063"/>
      <c r="K47" s="1068"/>
      <c r="L47" s="1063"/>
      <c r="M47" s="1068"/>
      <c r="N47" s="1063"/>
      <c r="O47" s="1068"/>
      <c r="P47" s="1063"/>
      <c r="Q47" s="1068"/>
      <c r="R47" s="1063"/>
      <c r="S47" s="1068"/>
      <c r="T47" s="1063"/>
      <c r="U47" s="1068"/>
      <c r="V47" s="1063"/>
      <c r="W47" s="1068"/>
      <c r="X47" s="1063"/>
      <c r="Y47" s="1068"/>
      <c r="Z47" s="1063"/>
      <c r="AA47" s="1068"/>
      <c r="AB47" s="1063"/>
      <c r="AC47" s="1068"/>
      <c r="AD47" s="1063"/>
      <c r="AE47" s="1068"/>
      <c r="AF47" s="1062"/>
      <c r="AG47" s="1057"/>
      <c r="AH47" s="1051"/>
      <c r="AI47" s="1052"/>
      <c r="AJ47" s="1042"/>
      <c r="AK47" s="1039"/>
    </row>
    <row r="48" ht="18.75" customHeight="1">
      <c r="A48" s="1039"/>
      <c r="B48" s="1042"/>
      <c r="C48" s="1053"/>
      <c r="D48" s="1050"/>
      <c r="E48" s="1058"/>
      <c r="F48" s="1064" t="str">
        <f>Source!$Y$7</f>
        <v/>
      </c>
      <c r="G48" s="1065" t="s">
        <v>1409</v>
      </c>
      <c r="H48" s="1060"/>
      <c r="I48" s="1060"/>
      <c r="J48" s="1060"/>
      <c r="K48" s="1060"/>
      <c r="L48" s="1060"/>
      <c r="M48" s="1060"/>
      <c r="N48" s="1060"/>
      <c r="O48" s="1060"/>
      <c r="P48" s="1060"/>
      <c r="Q48" s="1060"/>
      <c r="R48" s="1060"/>
      <c r="S48" s="1060"/>
      <c r="T48" s="1060"/>
      <c r="U48" s="1060"/>
      <c r="V48" s="1060"/>
      <c r="W48" s="1060"/>
      <c r="X48" s="1061"/>
      <c r="Y48" s="1066" t="str">
        <f>Source!$B$8</f>
        <v/>
      </c>
      <c r="Z48" s="1061"/>
      <c r="AA48" s="1067">
        <v>1000.0</v>
      </c>
      <c r="AB48" s="1060"/>
      <c r="AC48" s="1060"/>
      <c r="AD48" s="1060"/>
      <c r="AE48" s="1061"/>
      <c r="AF48" s="1062"/>
      <c r="AG48" s="1057"/>
      <c r="AH48" s="1051"/>
      <c r="AI48" s="1052"/>
      <c r="AJ48" s="1042"/>
      <c r="AK48" s="1039"/>
    </row>
    <row r="49" ht="7.5" customHeight="1">
      <c r="A49" s="1039"/>
      <c r="B49" s="1042"/>
      <c r="C49" s="1053"/>
      <c r="D49" s="1050"/>
      <c r="E49" s="1058"/>
      <c r="F49" s="1064"/>
      <c r="G49" s="1068"/>
      <c r="H49" s="1069"/>
      <c r="I49" s="1068"/>
      <c r="J49" s="1063"/>
      <c r="K49" s="1068"/>
      <c r="L49" s="1063"/>
      <c r="M49" s="1068"/>
      <c r="N49" s="1063"/>
      <c r="O49" s="1068"/>
      <c r="P49" s="1063"/>
      <c r="Q49" s="1068"/>
      <c r="R49" s="1063"/>
      <c r="S49" s="1068"/>
      <c r="T49" s="1063"/>
      <c r="U49" s="1068"/>
      <c r="V49" s="1063"/>
      <c r="W49" s="1068"/>
      <c r="X49" s="1063"/>
      <c r="Y49" s="1068"/>
      <c r="Z49" s="1063"/>
      <c r="AA49" s="1068"/>
      <c r="AB49" s="1063"/>
      <c r="AC49" s="1068"/>
      <c r="AD49" s="1063"/>
      <c r="AE49" s="1068"/>
      <c r="AF49" s="1062"/>
      <c r="AG49" s="1057"/>
      <c r="AH49" s="1051"/>
      <c r="AI49" s="1052"/>
      <c r="AJ49" s="1042"/>
      <c r="AK49" s="1039"/>
    </row>
    <row r="50" ht="18.75" customHeight="1">
      <c r="A50" s="1039"/>
      <c r="B50" s="1042"/>
      <c r="C50" s="1053"/>
      <c r="D50" s="1050"/>
      <c r="E50" s="1058"/>
      <c r="F50" s="1064" t="str">
        <f>Source!$Y$20</f>
        <v/>
      </c>
      <c r="G50" s="1065" t="s">
        <v>1410</v>
      </c>
      <c r="H50" s="1060"/>
      <c r="I50" s="1060"/>
      <c r="J50" s="1060"/>
      <c r="K50" s="1060"/>
      <c r="L50" s="1060"/>
      <c r="M50" s="1060"/>
      <c r="N50" s="1060"/>
      <c r="O50" s="1060"/>
      <c r="P50" s="1060"/>
      <c r="Q50" s="1060"/>
      <c r="R50" s="1060"/>
      <c r="S50" s="1060"/>
      <c r="T50" s="1060"/>
      <c r="U50" s="1060"/>
      <c r="V50" s="1060"/>
      <c r="W50" s="1060"/>
      <c r="X50" s="1061"/>
      <c r="Y50" s="1066" t="str">
        <f>Source!$B$8</f>
        <v/>
      </c>
      <c r="Z50" s="1061"/>
      <c r="AA50" s="1067">
        <v>1000.0</v>
      </c>
      <c r="AB50" s="1060"/>
      <c r="AC50" s="1060"/>
      <c r="AD50" s="1060"/>
      <c r="AE50" s="1061"/>
      <c r="AF50" s="1062"/>
      <c r="AG50" s="1057"/>
      <c r="AH50" s="1051"/>
      <c r="AI50" s="1052"/>
      <c r="AJ50" s="1042"/>
      <c r="AK50" s="1039"/>
    </row>
    <row r="51" ht="7.5" customHeight="1">
      <c r="A51" s="1039"/>
      <c r="B51" s="1042"/>
      <c r="C51" s="1053"/>
      <c r="D51" s="1050"/>
      <c r="E51" s="1058"/>
      <c r="F51" s="1064"/>
      <c r="G51" s="1068"/>
      <c r="H51" s="1069"/>
      <c r="I51" s="1068"/>
      <c r="J51" s="1063"/>
      <c r="K51" s="1068"/>
      <c r="L51" s="1063"/>
      <c r="M51" s="1068"/>
      <c r="N51" s="1063"/>
      <c r="O51" s="1068"/>
      <c r="P51" s="1063"/>
      <c r="Q51" s="1068"/>
      <c r="R51" s="1063"/>
      <c r="S51" s="1068"/>
      <c r="T51" s="1063"/>
      <c r="U51" s="1068"/>
      <c r="V51" s="1063"/>
      <c r="W51" s="1068"/>
      <c r="X51" s="1063"/>
      <c r="Y51" s="1068"/>
      <c r="Z51" s="1063"/>
      <c r="AA51" s="1068"/>
      <c r="AB51" s="1063"/>
      <c r="AC51" s="1068"/>
      <c r="AD51" s="1063"/>
      <c r="AE51" s="1068"/>
      <c r="AF51" s="1062"/>
      <c r="AG51" s="1057"/>
      <c r="AH51" s="1051"/>
      <c r="AI51" s="1052"/>
      <c r="AJ51" s="1042"/>
      <c r="AK51" s="1039"/>
    </row>
    <row r="52" ht="18.75" customHeight="1">
      <c r="A52" s="1039"/>
      <c r="B52" s="1042"/>
      <c r="C52" s="1053"/>
      <c r="D52" s="1050"/>
      <c r="E52" s="1058"/>
      <c r="F52" s="1064" t="str">
        <f>Source!$Y$13</f>
        <v/>
      </c>
      <c r="G52" s="1065" t="s">
        <v>1411</v>
      </c>
      <c r="H52" s="1060"/>
      <c r="I52" s="1060"/>
      <c r="J52" s="1060"/>
      <c r="K52" s="1060"/>
      <c r="L52" s="1060"/>
      <c r="M52" s="1060"/>
      <c r="N52" s="1060"/>
      <c r="O52" s="1060"/>
      <c r="P52" s="1060"/>
      <c r="Q52" s="1060"/>
      <c r="R52" s="1060"/>
      <c r="S52" s="1060"/>
      <c r="T52" s="1060"/>
      <c r="U52" s="1060"/>
      <c r="V52" s="1060"/>
      <c r="W52" s="1060"/>
      <c r="X52" s="1061"/>
      <c r="Y52" s="1066" t="str">
        <f>Source!$B$8</f>
        <v/>
      </c>
      <c r="Z52" s="1061"/>
      <c r="AA52" s="1067">
        <v>1000.0</v>
      </c>
      <c r="AB52" s="1060"/>
      <c r="AC52" s="1060"/>
      <c r="AD52" s="1060"/>
      <c r="AE52" s="1061"/>
      <c r="AF52" s="1062"/>
      <c r="AG52" s="1057"/>
      <c r="AH52" s="1051"/>
      <c r="AI52" s="1052"/>
      <c r="AJ52" s="1042"/>
      <c r="AK52" s="1039"/>
    </row>
    <row r="53" ht="7.5" customHeight="1">
      <c r="A53" s="1039"/>
      <c r="B53" s="1042"/>
      <c r="C53" s="1053"/>
      <c r="D53" s="1050"/>
      <c r="E53" s="1058"/>
      <c r="F53" s="1064"/>
      <c r="G53" s="1068"/>
      <c r="H53" s="1069"/>
      <c r="I53" s="1068"/>
      <c r="J53" s="1063"/>
      <c r="K53" s="1068"/>
      <c r="L53" s="1063"/>
      <c r="M53" s="1068"/>
      <c r="N53" s="1063"/>
      <c r="O53" s="1068"/>
      <c r="P53" s="1063"/>
      <c r="Q53" s="1068"/>
      <c r="R53" s="1063"/>
      <c r="S53" s="1068"/>
      <c r="T53" s="1063"/>
      <c r="U53" s="1068"/>
      <c r="V53" s="1063"/>
      <c r="W53" s="1068"/>
      <c r="X53" s="1063"/>
      <c r="Y53" s="1068"/>
      <c r="Z53" s="1063"/>
      <c r="AA53" s="1068"/>
      <c r="AB53" s="1063"/>
      <c r="AC53" s="1068"/>
      <c r="AD53" s="1063"/>
      <c r="AE53" s="1068"/>
      <c r="AF53" s="1062"/>
      <c r="AG53" s="1057"/>
      <c r="AH53" s="1051"/>
      <c r="AI53" s="1052"/>
      <c r="AJ53" s="1042"/>
      <c r="AK53" s="1039"/>
    </row>
    <row r="54" ht="18.75" customHeight="1">
      <c r="A54" s="1039"/>
      <c r="B54" s="1042"/>
      <c r="C54" s="1053"/>
      <c r="D54" s="1050"/>
      <c r="E54" s="1058"/>
      <c r="F54" s="1064" t="str">
        <f>Source!$Y$25</f>
        <v/>
      </c>
      <c r="G54" s="1065" t="s">
        <v>1412</v>
      </c>
      <c r="H54" s="1060"/>
      <c r="I54" s="1060"/>
      <c r="J54" s="1060"/>
      <c r="K54" s="1060"/>
      <c r="L54" s="1060"/>
      <c r="M54" s="1060"/>
      <c r="N54" s="1060"/>
      <c r="O54" s="1060"/>
      <c r="P54" s="1060"/>
      <c r="Q54" s="1060"/>
      <c r="R54" s="1060"/>
      <c r="S54" s="1060"/>
      <c r="T54" s="1060"/>
      <c r="U54" s="1060"/>
      <c r="V54" s="1060"/>
      <c r="W54" s="1060"/>
      <c r="X54" s="1061"/>
      <c r="Y54" s="1066" t="str">
        <f>Source!$B$8</f>
        <v/>
      </c>
      <c r="Z54" s="1061"/>
      <c r="AA54" s="1067">
        <v>1000.0</v>
      </c>
      <c r="AB54" s="1060"/>
      <c r="AC54" s="1060"/>
      <c r="AD54" s="1060"/>
      <c r="AE54" s="1061"/>
      <c r="AF54" s="1062"/>
      <c r="AG54" s="1057"/>
      <c r="AH54" s="1051"/>
      <c r="AI54" s="1052"/>
      <c r="AJ54" s="1042"/>
      <c r="AK54" s="1039"/>
    </row>
    <row r="55" ht="3.75" customHeight="1">
      <c r="A55" s="1039"/>
      <c r="B55" s="1042"/>
      <c r="C55" s="1053"/>
      <c r="D55" s="1050"/>
      <c r="E55" s="1070"/>
      <c r="F55" s="1071"/>
      <c r="G55" s="1071"/>
      <c r="H55" s="1071"/>
      <c r="I55" s="1071"/>
      <c r="J55" s="1071"/>
      <c r="K55" s="1071"/>
      <c r="L55" s="1071"/>
      <c r="M55" s="1071"/>
      <c r="N55" s="1071"/>
      <c r="O55" s="1071"/>
      <c r="P55" s="1071"/>
      <c r="Q55" s="1071"/>
      <c r="R55" s="1071"/>
      <c r="S55" s="1071"/>
      <c r="T55" s="1071"/>
      <c r="U55" s="1071"/>
      <c r="V55" s="1071"/>
      <c r="W55" s="1071"/>
      <c r="X55" s="1071"/>
      <c r="Y55" s="1071"/>
      <c r="Z55" s="1071"/>
      <c r="AA55" s="1071"/>
      <c r="AB55" s="1071"/>
      <c r="AC55" s="1071"/>
      <c r="AD55" s="1071"/>
      <c r="AE55" s="1071"/>
      <c r="AF55" s="1072"/>
      <c r="AG55" s="1057"/>
      <c r="AH55" s="1051"/>
      <c r="AI55" s="1052"/>
      <c r="AJ55" s="1042"/>
      <c r="AK55" s="1039"/>
    </row>
    <row r="56" ht="9.0" customHeight="1">
      <c r="A56" s="1039"/>
      <c r="B56" s="1042"/>
      <c r="C56" s="1073"/>
      <c r="D56" s="1049"/>
      <c r="E56" s="1074"/>
      <c r="F56" s="1074"/>
      <c r="G56" s="1074"/>
      <c r="H56" s="1074"/>
      <c r="I56" s="1074"/>
      <c r="J56" s="1074"/>
      <c r="K56" s="1074"/>
      <c r="L56" s="1074"/>
      <c r="M56" s="1074"/>
      <c r="N56" s="1074"/>
      <c r="O56" s="1074"/>
      <c r="P56" s="1074"/>
      <c r="Q56" s="1074"/>
      <c r="R56" s="1074"/>
      <c r="S56" s="1074"/>
      <c r="T56" s="1074"/>
      <c r="U56" s="1074"/>
      <c r="V56" s="1074"/>
      <c r="W56" s="1074"/>
      <c r="X56" s="1074"/>
      <c r="Y56" s="1074"/>
      <c r="Z56" s="1074"/>
      <c r="AA56" s="1074"/>
      <c r="AB56" s="1074"/>
      <c r="AC56" s="1074"/>
      <c r="AD56" s="1074"/>
      <c r="AE56" s="1074"/>
      <c r="AF56" s="1074"/>
      <c r="AG56" s="1075"/>
      <c r="AH56" s="1051"/>
      <c r="AI56" s="1076"/>
      <c r="AJ56" s="1042"/>
      <c r="AK56" s="1039"/>
    </row>
    <row r="57" ht="4.5" customHeight="1">
      <c r="A57" s="1039"/>
      <c r="B57" s="1042"/>
      <c r="C57" s="1077"/>
      <c r="D57" s="1051"/>
      <c r="E57" s="1051"/>
      <c r="F57" s="1051"/>
      <c r="G57" s="1051"/>
      <c r="H57" s="1051"/>
      <c r="I57" s="1051"/>
      <c r="J57" s="1051"/>
      <c r="K57" s="1051"/>
      <c r="L57" s="1051"/>
      <c r="M57" s="1051"/>
      <c r="N57" s="1051"/>
      <c r="O57" s="1051"/>
      <c r="P57" s="1051"/>
      <c r="Q57" s="1051"/>
      <c r="R57" s="1051"/>
      <c r="S57" s="1051"/>
      <c r="T57" s="1051"/>
      <c r="U57" s="1051"/>
      <c r="V57" s="1051"/>
      <c r="W57" s="1051"/>
      <c r="X57" s="1051"/>
      <c r="Y57" s="1051"/>
      <c r="Z57" s="1051"/>
      <c r="AA57" s="1051"/>
      <c r="AB57" s="1051"/>
      <c r="AC57" s="1051"/>
      <c r="AD57" s="1051"/>
      <c r="AE57" s="1051"/>
      <c r="AF57" s="1051"/>
      <c r="AG57" s="1051"/>
      <c r="AH57" s="1051"/>
      <c r="AI57" s="1076"/>
      <c r="AJ57" s="1042"/>
      <c r="AK57" s="1039"/>
    </row>
    <row r="58" ht="5.25" customHeight="1">
      <c r="A58" s="1039"/>
      <c r="B58" s="1042"/>
      <c r="C58" s="1042"/>
      <c r="D58" s="1042"/>
      <c r="E58" s="1042"/>
      <c r="F58" s="1042"/>
      <c r="G58" s="1042"/>
      <c r="H58" s="1042"/>
      <c r="I58" s="1042"/>
      <c r="J58" s="1042"/>
      <c r="K58" s="1042"/>
      <c r="L58" s="1042"/>
      <c r="M58" s="1042"/>
      <c r="N58" s="1042"/>
      <c r="O58" s="1042"/>
      <c r="P58" s="1042"/>
      <c r="Q58" s="1042"/>
      <c r="R58" s="1042"/>
      <c r="S58" s="1042"/>
      <c r="T58" s="1042"/>
      <c r="U58" s="1042"/>
      <c r="V58" s="1042"/>
      <c r="W58" s="1042"/>
      <c r="X58" s="1042"/>
      <c r="Y58" s="1042"/>
      <c r="Z58" s="1042"/>
      <c r="AA58" s="1042"/>
      <c r="AB58" s="1042"/>
      <c r="AC58" s="1042"/>
      <c r="AD58" s="1042"/>
      <c r="AE58" s="1042"/>
      <c r="AF58" s="1042"/>
      <c r="AG58" s="1042"/>
      <c r="AH58" s="1042"/>
      <c r="AI58" s="1042"/>
      <c r="AJ58" s="1042"/>
      <c r="AK58" s="1039"/>
    </row>
    <row r="59" ht="3.75" customHeight="1">
      <c r="A59" s="1039"/>
      <c r="B59" s="1039"/>
      <c r="C59" s="1039"/>
      <c r="D59" s="1039"/>
      <c r="E59" s="1039"/>
      <c r="F59" s="1039"/>
      <c r="G59" s="1039"/>
      <c r="H59" s="1039"/>
      <c r="I59" s="1039"/>
      <c r="J59" s="1039"/>
      <c r="K59" s="1039"/>
      <c r="L59" s="1039"/>
      <c r="M59" s="1039"/>
      <c r="N59" s="1039"/>
      <c r="O59" s="1039"/>
      <c r="P59" s="1039"/>
      <c r="Q59" s="1039"/>
      <c r="R59" s="1039"/>
      <c r="S59" s="1039"/>
      <c r="T59" s="1039"/>
      <c r="U59" s="1039"/>
      <c r="V59" s="1039"/>
      <c r="W59" s="1039"/>
      <c r="X59" s="1039"/>
      <c r="Y59" s="1039"/>
      <c r="Z59" s="1039"/>
      <c r="AA59" s="1039"/>
      <c r="AB59" s="1039"/>
      <c r="AC59" s="1039"/>
      <c r="AD59" s="1039"/>
      <c r="AE59" s="1039"/>
      <c r="AF59" s="1039"/>
      <c r="AG59" s="1039"/>
      <c r="AH59" s="1039"/>
      <c r="AI59" s="1039"/>
      <c r="AJ59" s="1039"/>
      <c r="AK59" s="1039"/>
    </row>
    <row r="60" ht="5.25" customHeight="1">
      <c r="A60" s="1041"/>
      <c r="B60" s="1042"/>
      <c r="C60" s="1042"/>
      <c r="D60" s="1042"/>
      <c r="E60" s="1042"/>
      <c r="F60" s="1042"/>
      <c r="G60" s="1042"/>
      <c r="H60" s="1042"/>
      <c r="I60" s="1042"/>
      <c r="J60" s="1042"/>
      <c r="K60" s="1042"/>
      <c r="L60" s="1042"/>
      <c r="M60" s="1042"/>
      <c r="N60" s="1042"/>
      <c r="O60" s="1042"/>
      <c r="P60" s="1042"/>
      <c r="Q60" s="1042"/>
      <c r="R60" s="1042"/>
      <c r="S60" s="1042"/>
      <c r="T60" s="1042"/>
      <c r="U60" s="1042"/>
      <c r="V60" s="1042"/>
      <c r="W60" s="1042"/>
      <c r="X60" s="1042"/>
      <c r="Y60" s="1042"/>
      <c r="Z60" s="1042"/>
      <c r="AA60" s="1042"/>
      <c r="AB60" s="1042"/>
      <c r="AC60" s="1042"/>
      <c r="AD60" s="1042"/>
      <c r="AE60" s="1042"/>
      <c r="AF60" s="1042"/>
      <c r="AG60" s="1042"/>
      <c r="AH60" s="1042"/>
      <c r="AI60" s="1042"/>
      <c r="AJ60" s="1042"/>
      <c r="AK60" s="1039"/>
    </row>
    <row r="61" ht="5.25" customHeight="1">
      <c r="A61" s="1039"/>
      <c r="B61" s="1042"/>
      <c r="C61" s="1043"/>
      <c r="D61" s="1044"/>
      <c r="E61" s="1044"/>
      <c r="F61" s="1044"/>
      <c r="G61" s="1044"/>
      <c r="H61" s="1044"/>
      <c r="I61" s="1044"/>
      <c r="J61" s="1044"/>
      <c r="K61" s="1044"/>
      <c r="L61" s="1044"/>
      <c r="M61" s="1044"/>
      <c r="N61" s="1044"/>
      <c r="O61" s="1044"/>
      <c r="P61" s="1044"/>
      <c r="Q61" s="1044"/>
      <c r="R61" s="1044"/>
      <c r="S61" s="1044"/>
      <c r="T61" s="1044"/>
      <c r="U61" s="1044"/>
      <c r="V61" s="1044"/>
      <c r="W61" s="1044"/>
      <c r="X61" s="1044"/>
      <c r="Y61" s="1044"/>
      <c r="Z61" s="1044"/>
      <c r="AA61" s="1044"/>
      <c r="AB61" s="1044"/>
      <c r="AC61" s="1044"/>
      <c r="AD61" s="1044"/>
      <c r="AE61" s="1044"/>
      <c r="AF61" s="1044"/>
      <c r="AG61" s="1045"/>
      <c r="AH61" s="1045"/>
      <c r="AI61" s="1046"/>
      <c r="AJ61" s="1042"/>
      <c r="AK61" s="1039"/>
    </row>
    <row r="62" ht="9.0" customHeight="1">
      <c r="A62" s="1039"/>
      <c r="B62" s="1042"/>
      <c r="C62" s="1047"/>
      <c r="D62" s="1048"/>
      <c r="E62" s="1049"/>
      <c r="F62" s="1049"/>
      <c r="G62" s="1049"/>
      <c r="H62" s="1049"/>
      <c r="I62" s="1049"/>
      <c r="J62" s="1049"/>
      <c r="K62" s="1049"/>
      <c r="L62" s="1049"/>
      <c r="M62" s="1049"/>
      <c r="N62" s="1049"/>
      <c r="O62" s="1049"/>
      <c r="P62" s="1049"/>
      <c r="Q62" s="1049"/>
      <c r="R62" s="1049"/>
      <c r="S62" s="1049"/>
      <c r="T62" s="1049"/>
      <c r="U62" s="1049"/>
      <c r="V62" s="1049"/>
      <c r="W62" s="1049"/>
      <c r="X62" s="1049"/>
      <c r="Y62" s="1049"/>
      <c r="Z62" s="1049"/>
      <c r="AA62" s="1049"/>
      <c r="AB62" s="1049"/>
      <c r="AC62" s="1049"/>
      <c r="AD62" s="1049"/>
      <c r="AE62" s="1049"/>
      <c r="AF62" s="1049"/>
      <c r="AG62" s="1050"/>
      <c r="AH62" s="1051"/>
      <c r="AI62" s="1052"/>
      <c r="AJ62" s="1042"/>
      <c r="AK62" s="1039"/>
    </row>
    <row r="63" ht="3.75" customHeight="1">
      <c r="A63" s="1039"/>
      <c r="B63" s="1042"/>
      <c r="C63" s="1053"/>
      <c r="D63" s="1050"/>
      <c r="E63" s="1054"/>
      <c r="F63" s="1055"/>
      <c r="G63" s="1055"/>
      <c r="H63" s="1055"/>
      <c r="I63" s="1055"/>
      <c r="J63" s="1055"/>
      <c r="K63" s="1055"/>
      <c r="L63" s="1055"/>
      <c r="M63" s="1055"/>
      <c r="N63" s="1055"/>
      <c r="O63" s="1055"/>
      <c r="P63" s="1055"/>
      <c r="Q63" s="1055"/>
      <c r="R63" s="1055"/>
      <c r="S63" s="1055"/>
      <c r="T63" s="1055"/>
      <c r="U63" s="1055"/>
      <c r="V63" s="1055"/>
      <c r="W63" s="1055"/>
      <c r="X63" s="1055"/>
      <c r="Y63" s="1055"/>
      <c r="Z63" s="1055"/>
      <c r="AA63" s="1055"/>
      <c r="AB63" s="1055"/>
      <c r="AC63" s="1055"/>
      <c r="AD63" s="1055"/>
      <c r="AE63" s="1055"/>
      <c r="AF63" s="1056"/>
      <c r="AG63" s="1057"/>
      <c r="AH63" s="1051"/>
      <c r="AI63" s="1052"/>
      <c r="AJ63" s="1042"/>
      <c r="AK63" s="1039"/>
    </row>
    <row r="64">
      <c r="A64" s="1039"/>
      <c r="B64" s="1042"/>
      <c r="C64" s="1053"/>
      <c r="D64" s="1050"/>
      <c r="E64" s="1058"/>
      <c r="F64" s="1059" t="s">
        <v>1413</v>
      </c>
      <c r="G64" s="1060"/>
      <c r="H64" s="1060"/>
      <c r="I64" s="1060"/>
      <c r="J64" s="1060"/>
      <c r="K64" s="1060"/>
      <c r="L64" s="1060"/>
      <c r="M64" s="1060"/>
      <c r="N64" s="1060"/>
      <c r="O64" s="1060"/>
      <c r="P64" s="1060"/>
      <c r="Q64" s="1060"/>
      <c r="R64" s="1060"/>
      <c r="S64" s="1060"/>
      <c r="T64" s="1060"/>
      <c r="U64" s="1060"/>
      <c r="V64" s="1060"/>
      <c r="W64" s="1060"/>
      <c r="X64" s="1060"/>
      <c r="Y64" s="1060"/>
      <c r="Z64" s="1060"/>
      <c r="AA64" s="1060"/>
      <c r="AB64" s="1060"/>
      <c r="AC64" s="1060"/>
      <c r="AD64" s="1060"/>
      <c r="AE64" s="1061"/>
      <c r="AF64" s="1062"/>
      <c r="AG64" s="1057"/>
      <c r="AH64" s="1051"/>
      <c r="AI64" s="1052"/>
      <c r="AJ64" s="1042"/>
      <c r="AK64" s="1039"/>
    </row>
    <row r="65" ht="7.5" customHeight="1">
      <c r="A65" s="1039"/>
      <c r="B65" s="1042"/>
      <c r="C65" s="1053"/>
      <c r="D65" s="1050"/>
      <c r="E65" s="1058"/>
      <c r="F65" s="1063"/>
      <c r="G65" s="1063"/>
      <c r="H65" s="1063"/>
      <c r="I65" s="1063"/>
      <c r="J65" s="1063"/>
      <c r="K65" s="1063"/>
      <c r="L65" s="1063"/>
      <c r="M65" s="1063"/>
      <c r="N65" s="1063"/>
      <c r="O65" s="1063"/>
      <c r="P65" s="1063"/>
      <c r="Q65" s="1063"/>
      <c r="R65" s="1063"/>
      <c r="S65" s="1063"/>
      <c r="T65" s="1063"/>
      <c r="U65" s="1063"/>
      <c r="V65" s="1063"/>
      <c r="W65" s="1063"/>
      <c r="X65" s="1063"/>
      <c r="Y65" s="1063"/>
      <c r="Z65" s="1063"/>
      <c r="AA65" s="1063"/>
      <c r="AB65" s="1063"/>
      <c r="AC65" s="1063"/>
      <c r="AD65" s="1063"/>
      <c r="AE65" s="1063"/>
      <c r="AF65" s="1062"/>
      <c r="AG65" s="1057"/>
      <c r="AH65" s="1051"/>
      <c r="AI65" s="1052"/>
      <c r="AJ65" s="1042"/>
      <c r="AK65" s="1039"/>
    </row>
    <row r="66" ht="18.75" customHeight="1">
      <c r="A66" s="1039"/>
      <c r="B66" s="1042"/>
      <c r="C66" s="1053"/>
      <c r="D66" s="1050"/>
      <c r="E66" s="1058"/>
      <c r="F66" s="1064" t="str">
        <f>Source!$AK$13</f>
        <v/>
      </c>
      <c r="G66" s="1065" t="s">
        <v>1414</v>
      </c>
      <c r="H66" s="1060"/>
      <c r="I66" s="1060"/>
      <c r="J66" s="1060"/>
      <c r="K66" s="1060"/>
      <c r="L66" s="1060"/>
      <c r="M66" s="1060"/>
      <c r="N66" s="1060"/>
      <c r="O66" s="1060"/>
      <c r="P66" s="1060"/>
      <c r="Q66" s="1060"/>
      <c r="R66" s="1060"/>
      <c r="S66" s="1060"/>
      <c r="T66" s="1060"/>
      <c r="U66" s="1060"/>
      <c r="V66" s="1060"/>
      <c r="W66" s="1060"/>
      <c r="X66" s="1061"/>
      <c r="Y66" s="1066" t="str">
        <f>Source!$B$8</f>
        <v/>
      </c>
      <c r="Z66" s="1061"/>
      <c r="AA66" s="1067">
        <v>3000.0</v>
      </c>
      <c r="AB66" s="1060"/>
      <c r="AC66" s="1060"/>
      <c r="AD66" s="1060"/>
      <c r="AE66" s="1061"/>
      <c r="AF66" s="1062"/>
      <c r="AG66" s="1057"/>
      <c r="AH66" s="1051"/>
      <c r="AI66" s="1052"/>
      <c r="AJ66" s="1042"/>
      <c r="AK66" s="1039"/>
    </row>
    <row r="67" ht="7.5" customHeight="1">
      <c r="A67" s="1039"/>
      <c r="B67" s="1042"/>
      <c r="C67" s="1053"/>
      <c r="D67" s="1050"/>
      <c r="E67" s="1058"/>
      <c r="F67" s="1064"/>
      <c r="G67" s="1068"/>
      <c r="H67" s="1069"/>
      <c r="I67" s="1068"/>
      <c r="J67" s="1063"/>
      <c r="K67" s="1068"/>
      <c r="L67" s="1063"/>
      <c r="M67" s="1068"/>
      <c r="N67" s="1063"/>
      <c r="O67" s="1068"/>
      <c r="P67" s="1063"/>
      <c r="Q67" s="1068"/>
      <c r="R67" s="1063"/>
      <c r="S67" s="1068"/>
      <c r="T67" s="1063"/>
      <c r="U67" s="1068"/>
      <c r="V67" s="1063"/>
      <c r="W67" s="1068"/>
      <c r="X67" s="1063"/>
      <c r="Y67" s="1068"/>
      <c r="Z67" s="1063"/>
      <c r="AA67" s="1068"/>
      <c r="AB67" s="1063"/>
      <c r="AC67" s="1068"/>
      <c r="AD67" s="1063"/>
      <c r="AE67" s="1068"/>
      <c r="AF67" s="1062"/>
      <c r="AG67" s="1057"/>
      <c r="AH67" s="1051"/>
      <c r="AI67" s="1052"/>
      <c r="AJ67" s="1042"/>
      <c r="AK67" s="1039"/>
    </row>
    <row r="68" ht="18.75" customHeight="1">
      <c r="A68" s="1039"/>
      <c r="B68" s="1042"/>
      <c r="C68" s="1053"/>
      <c r="D68" s="1050"/>
      <c r="E68" s="1058"/>
      <c r="F68" s="1064" t="str">
        <f>Source!$AK$38</f>
        <v/>
      </c>
      <c r="G68" s="1065" t="s">
        <v>1415</v>
      </c>
      <c r="H68" s="1060"/>
      <c r="I68" s="1060"/>
      <c r="J68" s="1060"/>
      <c r="K68" s="1060"/>
      <c r="L68" s="1060"/>
      <c r="M68" s="1060"/>
      <c r="N68" s="1060"/>
      <c r="O68" s="1060"/>
      <c r="P68" s="1060"/>
      <c r="Q68" s="1060"/>
      <c r="R68" s="1060"/>
      <c r="S68" s="1060"/>
      <c r="T68" s="1060"/>
      <c r="U68" s="1060"/>
      <c r="V68" s="1060"/>
      <c r="W68" s="1060"/>
      <c r="X68" s="1061"/>
      <c r="Y68" s="1066" t="str">
        <f>Source!$B$8</f>
        <v/>
      </c>
      <c r="Z68" s="1061"/>
      <c r="AA68" s="1067">
        <v>3000.0</v>
      </c>
      <c r="AB68" s="1060"/>
      <c r="AC68" s="1060"/>
      <c r="AD68" s="1060"/>
      <c r="AE68" s="1061"/>
      <c r="AF68" s="1062"/>
      <c r="AG68" s="1057"/>
      <c r="AH68" s="1051"/>
      <c r="AI68" s="1052"/>
      <c r="AJ68" s="1042"/>
      <c r="AK68" s="1039"/>
    </row>
    <row r="69" ht="7.5" customHeight="1">
      <c r="A69" s="1039"/>
      <c r="B69" s="1042"/>
      <c r="C69" s="1053"/>
      <c r="D69" s="1050"/>
      <c r="E69" s="1058"/>
      <c r="F69" s="1064"/>
      <c r="G69" s="1068"/>
      <c r="H69" s="1069"/>
      <c r="I69" s="1068"/>
      <c r="J69" s="1063"/>
      <c r="K69" s="1068"/>
      <c r="L69" s="1063"/>
      <c r="M69" s="1068"/>
      <c r="N69" s="1063"/>
      <c r="O69" s="1068"/>
      <c r="P69" s="1063"/>
      <c r="Q69" s="1068"/>
      <c r="R69" s="1063"/>
      <c r="S69" s="1068"/>
      <c r="T69" s="1063"/>
      <c r="U69" s="1068"/>
      <c r="V69" s="1063"/>
      <c r="W69" s="1068"/>
      <c r="X69" s="1063"/>
      <c r="Y69" s="1068"/>
      <c r="Z69" s="1063"/>
      <c r="AA69" s="1068"/>
      <c r="AB69" s="1063"/>
      <c r="AC69" s="1068"/>
      <c r="AD69" s="1063"/>
      <c r="AE69" s="1068"/>
      <c r="AF69" s="1062"/>
      <c r="AG69" s="1057"/>
      <c r="AH69" s="1051"/>
      <c r="AI69" s="1052"/>
      <c r="AJ69" s="1042"/>
      <c r="AK69" s="1039"/>
    </row>
    <row r="70" ht="18.75" customHeight="1">
      <c r="A70" s="1039"/>
      <c r="B70" s="1042"/>
      <c r="C70" s="1053"/>
      <c r="D70" s="1050"/>
      <c r="E70" s="1058"/>
      <c r="F70" s="1064" t="str">
        <f>Source!$AK$19</f>
        <v/>
      </c>
      <c r="G70" s="1065" t="s">
        <v>1416</v>
      </c>
      <c r="H70" s="1060"/>
      <c r="I70" s="1060"/>
      <c r="J70" s="1060"/>
      <c r="K70" s="1060"/>
      <c r="L70" s="1060"/>
      <c r="M70" s="1060"/>
      <c r="N70" s="1060"/>
      <c r="O70" s="1060"/>
      <c r="P70" s="1060"/>
      <c r="Q70" s="1060"/>
      <c r="R70" s="1060"/>
      <c r="S70" s="1060"/>
      <c r="T70" s="1060"/>
      <c r="U70" s="1060"/>
      <c r="V70" s="1060"/>
      <c r="W70" s="1060"/>
      <c r="X70" s="1061"/>
      <c r="Y70" s="1066" t="str">
        <f>Source!$B$8</f>
        <v/>
      </c>
      <c r="Z70" s="1061"/>
      <c r="AA70" s="1067">
        <v>3000.0</v>
      </c>
      <c r="AB70" s="1060"/>
      <c r="AC70" s="1060"/>
      <c r="AD70" s="1060"/>
      <c r="AE70" s="1061"/>
      <c r="AF70" s="1062"/>
      <c r="AG70" s="1057"/>
      <c r="AH70" s="1051"/>
      <c r="AI70" s="1052"/>
      <c r="AJ70" s="1042"/>
      <c r="AK70" s="1039"/>
    </row>
    <row r="71" ht="7.5" customHeight="1">
      <c r="A71" s="1039"/>
      <c r="B71" s="1042"/>
      <c r="C71" s="1053"/>
      <c r="D71" s="1050"/>
      <c r="E71" s="1058"/>
      <c r="F71" s="1064"/>
      <c r="G71" s="1068"/>
      <c r="H71" s="1069"/>
      <c r="I71" s="1068"/>
      <c r="J71" s="1063"/>
      <c r="K71" s="1068"/>
      <c r="L71" s="1063"/>
      <c r="M71" s="1068"/>
      <c r="N71" s="1063"/>
      <c r="O71" s="1068"/>
      <c r="P71" s="1063"/>
      <c r="Q71" s="1068"/>
      <c r="R71" s="1063"/>
      <c r="S71" s="1068"/>
      <c r="T71" s="1063"/>
      <c r="U71" s="1068"/>
      <c r="V71" s="1063"/>
      <c r="W71" s="1068"/>
      <c r="X71" s="1063"/>
      <c r="Y71" s="1068"/>
      <c r="Z71" s="1063"/>
      <c r="AA71" s="1068"/>
      <c r="AB71" s="1063"/>
      <c r="AC71" s="1068"/>
      <c r="AD71" s="1063"/>
      <c r="AE71" s="1068"/>
      <c r="AF71" s="1062"/>
      <c r="AG71" s="1057"/>
      <c r="AH71" s="1051"/>
      <c r="AI71" s="1052"/>
      <c r="AJ71" s="1042"/>
      <c r="AK71" s="1039"/>
    </row>
    <row r="72" ht="18.75" customHeight="1">
      <c r="A72" s="1039"/>
      <c r="B72" s="1042"/>
      <c r="C72" s="1053"/>
      <c r="D72" s="1050"/>
      <c r="E72" s="1058"/>
      <c r="F72" s="1064" t="str">
        <f>Source!$AK$40</f>
        <v/>
      </c>
      <c r="G72" s="1065" t="s">
        <v>1417</v>
      </c>
      <c r="H72" s="1060"/>
      <c r="I72" s="1060"/>
      <c r="J72" s="1060"/>
      <c r="K72" s="1060"/>
      <c r="L72" s="1060"/>
      <c r="M72" s="1060"/>
      <c r="N72" s="1060"/>
      <c r="O72" s="1060"/>
      <c r="P72" s="1060"/>
      <c r="Q72" s="1060"/>
      <c r="R72" s="1060"/>
      <c r="S72" s="1060"/>
      <c r="T72" s="1060"/>
      <c r="U72" s="1060"/>
      <c r="V72" s="1060"/>
      <c r="W72" s="1060"/>
      <c r="X72" s="1061"/>
      <c r="Y72" s="1066" t="str">
        <f>Source!$B$8</f>
        <v/>
      </c>
      <c r="Z72" s="1061"/>
      <c r="AA72" s="1067">
        <v>3000.0</v>
      </c>
      <c r="AB72" s="1060"/>
      <c r="AC72" s="1060"/>
      <c r="AD72" s="1060"/>
      <c r="AE72" s="1061"/>
      <c r="AF72" s="1062"/>
      <c r="AG72" s="1057"/>
      <c r="AH72" s="1051"/>
      <c r="AI72" s="1052"/>
      <c r="AJ72" s="1042"/>
      <c r="AK72" s="1039"/>
    </row>
    <row r="73" ht="7.5" customHeight="1">
      <c r="A73" s="1039"/>
      <c r="B73" s="1042"/>
      <c r="C73" s="1053"/>
      <c r="D73" s="1050"/>
      <c r="E73" s="1058"/>
      <c r="F73" s="1064"/>
      <c r="G73" s="1068"/>
      <c r="H73" s="1069"/>
      <c r="I73" s="1068"/>
      <c r="J73" s="1063"/>
      <c r="K73" s="1068"/>
      <c r="L73" s="1063"/>
      <c r="M73" s="1068"/>
      <c r="N73" s="1063"/>
      <c r="O73" s="1068"/>
      <c r="P73" s="1063"/>
      <c r="Q73" s="1068"/>
      <c r="R73" s="1063"/>
      <c r="S73" s="1068"/>
      <c r="T73" s="1063"/>
      <c r="U73" s="1068"/>
      <c r="V73" s="1063"/>
      <c r="W73" s="1068"/>
      <c r="X73" s="1063"/>
      <c r="Y73" s="1068"/>
      <c r="Z73" s="1063"/>
      <c r="AA73" s="1068"/>
      <c r="AB73" s="1063"/>
      <c r="AC73" s="1068"/>
      <c r="AD73" s="1063"/>
      <c r="AE73" s="1068"/>
      <c r="AF73" s="1062"/>
      <c r="AG73" s="1057"/>
      <c r="AH73" s="1051"/>
      <c r="AI73" s="1052"/>
      <c r="AJ73" s="1042"/>
      <c r="AK73" s="1039"/>
    </row>
    <row r="74" ht="18.75" customHeight="1">
      <c r="A74" s="1039"/>
      <c r="B74" s="1042"/>
      <c r="C74" s="1053"/>
      <c r="D74" s="1050"/>
      <c r="E74" s="1058"/>
      <c r="F74" s="1064" t="str">
        <f>Source!$AK$35</f>
        <v/>
      </c>
      <c r="G74" s="1065" t="s">
        <v>1418</v>
      </c>
      <c r="H74" s="1060"/>
      <c r="I74" s="1060"/>
      <c r="J74" s="1060"/>
      <c r="K74" s="1060"/>
      <c r="L74" s="1060"/>
      <c r="M74" s="1060"/>
      <c r="N74" s="1060"/>
      <c r="O74" s="1060"/>
      <c r="P74" s="1060"/>
      <c r="Q74" s="1060"/>
      <c r="R74" s="1060"/>
      <c r="S74" s="1060"/>
      <c r="T74" s="1060"/>
      <c r="U74" s="1060"/>
      <c r="V74" s="1060"/>
      <c r="W74" s="1060"/>
      <c r="X74" s="1061"/>
      <c r="Y74" s="1066" t="str">
        <f>Source!$B$8</f>
        <v/>
      </c>
      <c r="Z74" s="1061"/>
      <c r="AA74" s="1067">
        <v>3000.0</v>
      </c>
      <c r="AB74" s="1060"/>
      <c r="AC74" s="1060"/>
      <c r="AD74" s="1060"/>
      <c r="AE74" s="1061"/>
      <c r="AF74" s="1062"/>
      <c r="AG74" s="1057"/>
      <c r="AH74" s="1051"/>
      <c r="AI74" s="1052"/>
      <c r="AJ74" s="1042"/>
      <c r="AK74" s="1039"/>
    </row>
    <row r="75" ht="7.5" customHeight="1">
      <c r="A75" s="1039"/>
      <c r="B75" s="1042"/>
      <c r="C75" s="1053"/>
      <c r="D75" s="1050"/>
      <c r="E75" s="1058"/>
      <c r="F75" s="1064"/>
      <c r="G75" s="1068"/>
      <c r="H75" s="1069"/>
      <c r="I75" s="1068"/>
      <c r="J75" s="1063"/>
      <c r="K75" s="1068"/>
      <c r="L75" s="1063"/>
      <c r="M75" s="1068"/>
      <c r="N75" s="1063"/>
      <c r="O75" s="1068"/>
      <c r="P75" s="1063"/>
      <c r="Q75" s="1068"/>
      <c r="R75" s="1063"/>
      <c r="S75" s="1068"/>
      <c r="T75" s="1063"/>
      <c r="U75" s="1068"/>
      <c r="V75" s="1063"/>
      <c r="W75" s="1068"/>
      <c r="X75" s="1063"/>
      <c r="Y75" s="1068"/>
      <c r="Z75" s="1063"/>
      <c r="AA75" s="1068"/>
      <c r="AB75" s="1063"/>
      <c r="AC75" s="1068"/>
      <c r="AD75" s="1063"/>
      <c r="AE75" s="1068"/>
      <c r="AF75" s="1062"/>
      <c r="AG75" s="1057"/>
      <c r="AH75" s="1051"/>
      <c r="AI75" s="1052"/>
      <c r="AJ75" s="1042"/>
      <c r="AK75" s="1039"/>
    </row>
    <row r="76" ht="18.75" customHeight="1">
      <c r="A76" s="1039"/>
      <c r="B76" s="1042"/>
      <c r="C76" s="1053"/>
      <c r="D76" s="1050"/>
      <c r="E76" s="1058"/>
      <c r="F76" s="1064" t="str">
        <f>Source!$AK$23</f>
        <v/>
      </c>
      <c r="G76" s="1065" t="s">
        <v>1419</v>
      </c>
      <c r="H76" s="1060"/>
      <c r="I76" s="1060"/>
      <c r="J76" s="1060"/>
      <c r="K76" s="1060"/>
      <c r="L76" s="1060"/>
      <c r="M76" s="1060"/>
      <c r="N76" s="1060"/>
      <c r="O76" s="1060"/>
      <c r="P76" s="1060"/>
      <c r="Q76" s="1060"/>
      <c r="R76" s="1060"/>
      <c r="S76" s="1060"/>
      <c r="T76" s="1060"/>
      <c r="U76" s="1060"/>
      <c r="V76" s="1060"/>
      <c r="W76" s="1060"/>
      <c r="X76" s="1061"/>
      <c r="Y76" s="1066" t="str">
        <f>Source!$B$8</f>
        <v/>
      </c>
      <c r="Z76" s="1061"/>
      <c r="AA76" s="1067">
        <v>3000.0</v>
      </c>
      <c r="AB76" s="1060"/>
      <c r="AC76" s="1060"/>
      <c r="AD76" s="1060"/>
      <c r="AE76" s="1061"/>
      <c r="AF76" s="1062"/>
      <c r="AG76" s="1057"/>
      <c r="AH76" s="1051"/>
      <c r="AI76" s="1052"/>
      <c r="AJ76" s="1042"/>
      <c r="AK76" s="1039"/>
    </row>
    <row r="77" ht="7.5" customHeight="1">
      <c r="A77" s="1039"/>
      <c r="B77" s="1042"/>
      <c r="C77" s="1053"/>
      <c r="D77" s="1050"/>
      <c r="E77" s="1058"/>
      <c r="F77" s="1064"/>
      <c r="G77" s="1068"/>
      <c r="H77" s="1069"/>
      <c r="I77" s="1068"/>
      <c r="J77" s="1063"/>
      <c r="K77" s="1068"/>
      <c r="L77" s="1063"/>
      <c r="M77" s="1068"/>
      <c r="N77" s="1063"/>
      <c r="O77" s="1068"/>
      <c r="P77" s="1063"/>
      <c r="Q77" s="1068"/>
      <c r="R77" s="1063"/>
      <c r="S77" s="1068"/>
      <c r="T77" s="1063"/>
      <c r="U77" s="1068"/>
      <c r="V77" s="1063"/>
      <c r="W77" s="1068"/>
      <c r="X77" s="1063"/>
      <c r="Y77" s="1068"/>
      <c r="Z77" s="1063"/>
      <c r="AA77" s="1068"/>
      <c r="AB77" s="1063"/>
      <c r="AC77" s="1068"/>
      <c r="AD77" s="1063"/>
      <c r="AE77" s="1068"/>
      <c r="AF77" s="1062"/>
      <c r="AG77" s="1057"/>
      <c r="AH77" s="1051"/>
      <c r="AI77" s="1052"/>
      <c r="AJ77" s="1042"/>
      <c r="AK77" s="1039"/>
    </row>
    <row r="78" ht="18.75" customHeight="1">
      <c r="A78" s="1039"/>
      <c r="B78" s="1042"/>
      <c r="C78" s="1053"/>
      <c r="D78" s="1050"/>
      <c r="E78" s="1058"/>
      <c r="F78" s="1064" t="str">
        <f>Source!$AK$25</f>
        <v/>
      </c>
      <c r="G78" s="1065" t="s">
        <v>1420</v>
      </c>
      <c r="H78" s="1060"/>
      <c r="I78" s="1060"/>
      <c r="J78" s="1060"/>
      <c r="K78" s="1060"/>
      <c r="L78" s="1060"/>
      <c r="M78" s="1060"/>
      <c r="N78" s="1060"/>
      <c r="O78" s="1060"/>
      <c r="P78" s="1060"/>
      <c r="Q78" s="1060"/>
      <c r="R78" s="1060"/>
      <c r="S78" s="1060"/>
      <c r="T78" s="1060"/>
      <c r="U78" s="1060"/>
      <c r="V78" s="1060"/>
      <c r="W78" s="1060"/>
      <c r="X78" s="1061"/>
      <c r="Y78" s="1066" t="str">
        <f>Source!$B$8</f>
        <v/>
      </c>
      <c r="Z78" s="1061"/>
      <c r="AA78" s="1067">
        <v>3000.0</v>
      </c>
      <c r="AB78" s="1060"/>
      <c r="AC78" s="1060"/>
      <c r="AD78" s="1060"/>
      <c r="AE78" s="1061"/>
      <c r="AF78" s="1062"/>
      <c r="AG78" s="1057"/>
      <c r="AH78" s="1051"/>
      <c r="AI78" s="1052"/>
      <c r="AJ78" s="1042"/>
      <c r="AK78" s="1039"/>
    </row>
    <row r="79" ht="7.5" customHeight="1">
      <c r="A79" s="1039"/>
      <c r="B79" s="1042"/>
      <c r="C79" s="1053"/>
      <c r="D79" s="1050"/>
      <c r="E79" s="1058"/>
      <c r="F79" s="1064"/>
      <c r="G79" s="1068"/>
      <c r="H79" s="1069"/>
      <c r="I79" s="1068"/>
      <c r="J79" s="1063"/>
      <c r="K79" s="1068"/>
      <c r="L79" s="1063"/>
      <c r="M79" s="1068"/>
      <c r="N79" s="1063"/>
      <c r="O79" s="1068"/>
      <c r="P79" s="1063"/>
      <c r="Q79" s="1068"/>
      <c r="R79" s="1063"/>
      <c r="S79" s="1068"/>
      <c r="T79" s="1063"/>
      <c r="U79" s="1068"/>
      <c r="V79" s="1063"/>
      <c r="W79" s="1068"/>
      <c r="X79" s="1063"/>
      <c r="Y79" s="1068"/>
      <c r="Z79" s="1063"/>
      <c r="AA79" s="1068"/>
      <c r="AB79" s="1063"/>
      <c r="AC79" s="1068"/>
      <c r="AD79" s="1063"/>
      <c r="AE79" s="1068"/>
      <c r="AF79" s="1062"/>
      <c r="AG79" s="1057"/>
      <c r="AH79" s="1051"/>
      <c r="AI79" s="1052"/>
      <c r="AJ79" s="1042"/>
      <c r="AK79" s="1039"/>
    </row>
    <row r="80" ht="18.75" customHeight="1">
      <c r="A80" s="1039"/>
      <c r="B80" s="1042"/>
      <c r="C80" s="1053"/>
      <c r="D80" s="1050"/>
      <c r="E80" s="1058"/>
      <c r="F80" s="1064" t="str">
        <f>Source!$AK$17</f>
        <v/>
      </c>
      <c r="G80" s="1065" t="s">
        <v>1421</v>
      </c>
      <c r="H80" s="1060"/>
      <c r="I80" s="1060"/>
      <c r="J80" s="1060"/>
      <c r="K80" s="1060"/>
      <c r="L80" s="1060"/>
      <c r="M80" s="1060"/>
      <c r="N80" s="1060"/>
      <c r="O80" s="1060"/>
      <c r="P80" s="1060"/>
      <c r="Q80" s="1060"/>
      <c r="R80" s="1060"/>
      <c r="S80" s="1060"/>
      <c r="T80" s="1060"/>
      <c r="U80" s="1060"/>
      <c r="V80" s="1060"/>
      <c r="W80" s="1060"/>
      <c r="X80" s="1061"/>
      <c r="Y80" s="1066" t="str">
        <f>Source!$B$8</f>
        <v/>
      </c>
      <c r="Z80" s="1061"/>
      <c r="AA80" s="1067">
        <v>3000.0</v>
      </c>
      <c r="AB80" s="1060"/>
      <c r="AC80" s="1060"/>
      <c r="AD80" s="1060"/>
      <c r="AE80" s="1061"/>
      <c r="AF80" s="1062"/>
      <c r="AG80" s="1057"/>
      <c r="AH80" s="1051"/>
      <c r="AI80" s="1052"/>
      <c r="AJ80" s="1042"/>
      <c r="AK80" s="1039"/>
    </row>
    <row r="81" ht="7.5" customHeight="1">
      <c r="A81" s="1039"/>
      <c r="B81" s="1042"/>
      <c r="C81" s="1053"/>
      <c r="D81" s="1050"/>
      <c r="E81" s="1058"/>
      <c r="F81" s="1064"/>
      <c r="G81" s="1068"/>
      <c r="H81" s="1069"/>
      <c r="I81" s="1068"/>
      <c r="J81" s="1063"/>
      <c r="K81" s="1068"/>
      <c r="L81" s="1063"/>
      <c r="M81" s="1068"/>
      <c r="N81" s="1063"/>
      <c r="O81" s="1068"/>
      <c r="P81" s="1063"/>
      <c r="Q81" s="1068"/>
      <c r="R81" s="1063"/>
      <c r="S81" s="1068"/>
      <c r="T81" s="1063"/>
      <c r="U81" s="1068"/>
      <c r="V81" s="1063"/>
      <c r="W81" s="1068"/>
      <c r="X81" s="1063"/>
      <c r="Y81" s="1068"/>
      <c r="Z81" s="1063"/>
      <c r="AA81" s="1068"/>
      <c r="AB81" s="1063"/>
      <c r="AC81" s="1068"/>
      <c r="AD81" s="1063"/>
      <c r="AE81" s="1068"/>
      <c r="AF81" s="1062"/>
      <c r="AG81" s="1057"/>
      <c r="AH81" s="1051"/>
      <c r="AI81" s="1052"/>
      <c r="AJ81" s="1042"/>
      <c r="AK81" s="1039"/>
    </row>
    <row r="82" ht="18.75" customHeight="1">
      <c r="A82" s="1039"/>
      <c r="B82" s="1042"/>
      <c r="C82" s="1053"/>
      <c r="D82" s="1050"/>
      <c r="E82" s="1058"/>
      <c r="F82" s="1064" t="str">
        <f>IMAGE("https://i.ibb.co/jVdV50m/link.png",4,32,32)</f>
        <v/>
      </c>
      <c r="G82" s="1065" t="s">
        <v>1422</v>
      </c>
      <c r="H82" s="1060"/>
      <c r="I82" s="1060"/>
      <c r="J82" s="1060"/>
      <c r="K82" s="1060"/>
      <c r="L82" s="1060"/>
      <c r="M82" s="1060"/>
      <c r="N82" s="1060"/>
      <c r="O82" s="1060"/>
      <c r="P82" s="1060"/>
      <c r="Q82" s="1060"/>
      <c r="R82" s="1060"/>
      <c r="S82" s="1060"/>
      <c r="T82" s="1060"/>
      <c r="U82" s="1060"/>
      <c r="V82" s="1060"/>
      <c r="W82" s="1060"/>
      <c r="X82" s="1061"/>
      <c r="Y82" s="1066" t="str">
        <f>Source!$B$8</f>
        <v/>
      </c>
      <c r="Z82" s="1061"/>
      <c r="AA82" s="1067">
        <v>2100.0</v>
      </c>
      <c r="AB82" s="1060"/>
      <c r="AC82" s="1060"/>
      <c r="AD82" s="1060"/>
      <c r="AE82" s="1061"/>
      <c r="AF82" s="1062"/>
      <c r="AG82" s="1057"/>
      <c r="AH82" s="1051"/>
      <c r="AI82" s="1052"/>
      <c r="AJ82" s="1042"/>
      <c r="AK82" s="1039"/>
    </row>
    <row r="83" ht="7.5" customHeight="1">
      <c r="A83" s="1039"/>
      <c r="B83" s="1042"/>
      <c r="C83" s="1053"/>
      <c r="D83" s="1050"/>
      <c r="E83" s="1058"/>
      <c r="F83" s="1064"/>
      <c r="G83" s="1068"/>
      <c r="H83" s="1069"/>
      <c r="I83" s="1068"/>
      <c r="J83" s="1063"/>
      <c r="K83" s="1068"/>
      <c r="L83" s="1063"/>
      <c r="M83" s="1068"/>
      <c r="N83" s="1063"/>
      <c r="O83" s="1068"/>
      <c r="P83" s="1063"/>
      <c r="Q83" s="1068"/>
      <c r="R83" s="1063"/>
      <c r="S83" s="1068"/>
      <c r="T83" s="1063"/>
      <c r="U83" s="1068"/>
      <c r="V83" s="1063"/>
      <c r="W83" s="1068"/>
      <c r="X83" s="1063"/>
      <c r="Y83" s="1068"/>
      <c r="Z83" s="1063"/>
      <c r="AA83" s="1068"/>
      <c r="AB83" s="1063"/>
      <c r="AC83" s="1068"/>
      <c r="AD83" s="1063"/>
      <c r="AE83" s="1068"/>
      <c r="AF83" s="1062"/>
      <c r="AG83" s="1057"/>
      <c r="AH83" s="1051"/>
      <c r="AI83" s="1052"/>
      <c r="AJ83" s="1042"/>
      <c r="AK83" s="1039"/>
    </row>
    <row r="84" ht="18.75" customHeight="1">
      <c r="A84" s="1039"/>
      <c r="B84" s="1042"/>
      <c r="C84" s="1053"/>
      <c r="D84" s="1050"/>
      <c r="E84" s="1058"/>
      <c r="F84" s="1064" t="str">
        <f>Source!$AK$11</f>
        <v/>
      </c>
      <c r="G84" s="1065" t="s">
        <v>1423</v>
      </c>
      <c r="H84" s="1060"/>
      <c r="I84" s="1060"/>
      <c r="J84" s="1060"/>
      <c r="K84" s="1060"/>
      <c r="L84" s="1060"/>
      <c r="M84" s="1060"/>
      <c r="N84" s="1060"/>
      <c r="O84" s="1060"/>
      <c r="P84" s="1060"/>
      <c r="Q84" s="1060"/>
      <c r="R84" s="1060"/>
      <c r="S84" s="1060"/>
      <c r="T84" s="1060"/>
      <c r="U84" s="1060"/>
      <c r="V84" s="1060"/>
      <c r="W84" s="1060"/>
      <c r="X84" s="1061"/>
      <c r="Y84" s="1066" t="str">
        <f>Source!$B$8</f>
        <v/>
      </c>
      <c r="Z84" s="1061"/>
      <c r="AA84" s="1067">
        <v>3000.0</v>
      </c>
      <c r="AB84" s="1060"/>
      <c r="AC84" s="1060"/>
      <c r="AD84" s="1060"/>
      <c r="AE84" s="1061"/>
      <c r="AF84" s="1062"/>
      <c r="AG84" s="1057"/>
      <c r="AH84" s="1051"/>
      <c r="AI84" s="1052"/>
      <c r="AJ84" s="1042"/>
      <c r="AK84" s="1039"/>
    </row>
    <row r="85" ht="7.5" customHeight="1">
      <c r="A85" s="1039"/>
      <c r="B85" s="1042"/>
      <c r="C85" s="1053"/>
      <c r="D85" s="1050"/>
      <c r="E85" s="1058"/>
      <c r="F85" s="1064"/>
      <c r="G85" s="1068"/>
      <c r="H85" s="1069"/>
      <c r="I85" s="1068"/>
      <c r="J85" s="1063"/>
      <c r="K85" s="1068"/>
      <c r="L85" s="1063"/>
      <c r="M85" s="1068"/>
      <c r="N85" s="1063"/>
      <c r="O85" s="1068"/>
      <c r="P85" s="1063"/>
      <c r="Q85" s="1068"/>
      <c r="R85" s="1063"/>
      <c r="S85" s="1068"/>
      <c r="T85" s="1063"/>
      <c r="U85" s="1068"/>
      <c r="V85" s="1063"/>
      <c r="W85" s="1068"/>
      <c r="X85" s="1063"/>
      <c r="Y85" s="1068"/>
      <c r="Z85" s="1063"/>
      <c r="AA85" s="1068"/>
      <c r="AB85" s="1063"/>
      <c r="AC85" s="1068"/>
      <c r="AD85" s="1063"/>
      <c r="AE85" s="1068"/>
      <c r="AF85" s="1062"/>
      <c r="AG85" s="1057"/>
      <c r="AH85" s="1051"/>
      <c r="AI85" s="1052"/>
      <c r="AJ85" s="1042"/>
      <c r="AK85" s="1039"/>
    </row>
    <row r="86" ht="18.75" customHeight="1">
      <c r="A86" s="1039"/>
      <c r="B86" s="1042"/>
      <c r="C86" s="1053"/>
      <c r="D86" s="1050"/>
      <c r="E86" s="1058"/>
      <c r="F86" s="1064" t="str">
        <f>Source!$AK$6</f>
        <v/>
      </c>
      <c r="G86" s="1065" t="s">
        <v>1424</v>
      </c>
      <c r="H86" s="1060"/>
      <c r="I86" s="1060"/>
      <c r="J86" s="1060"/>
      <c r="K86" s="1060"/>
      <c r="L86" s="1060"/>
      <c r="M86" s="1060"/>
      <c r="N86" s="1060"/>
      <c r="O86" s="1060"/>
      <c r="P86" s="1060"/>
      <c r="Q86" s="1060"/>
      <c r="R86" s="1060"/>
      <c r="S86" s="1060"/>
      <c r="T86" s="1060"/>
      <c r="U86" s="1060"/>
      <c r="V86" s="1060"/>
      <c r="W86" s="1060"/>
      <c r="X86" s="1061"/>
      <c r="Y86" s="1066" t="str">
        <f>Source!$B$8</f>
        <v/>
      </c>
      <c r="Z86" s="1061"/>
      <c r="AA86" s="1067">
        <v>3000.0</v>
      </c>
      <c r="AB86" s="1060"/>
      <c r="AC86" s="1060"/>
      <c r="AD86" s="1060"/>
      <c r="AE86" s="1061"/>
      <c r="AF86" s="1062"/>
      <c r="AG86" s="1057"/>
      <c r="AH86" s="1051"/>
      <c r="AI86" s="1052"/>
      <c r="AJ86" s="1042"/>
      <c r="AK86" s="1039"/>
    </row>
    <row r="87" ht="7.5" customHeight="1">
      <c r="A87" s="1039"/>
      <c r="B87" s="1042"/>
      <c r="C87" s="1053"/>
      <c r="D87" s="1050"/>
      <c r="E87" s="1058"/>
      <c r="F87" s="1064"/>
      <c r="G87" s="1068"/>
      <c r="H87" s="1069"/>
      <c r="I87" s="1068"/>
      <c r="J87" s="1063"/>
      <c r="K87" s="1068"/>
      <c r="L87" s="1063"/>
      <c r="M87" s="1068"/>
      <c r="N87" s="1063"/>
      <c r="O87" s="1068"/>
      <c r="P87" s="1063"/>
      <c r="Q87" s="1068"/>
      <c r="R87" s="1063"/>
      <c r="S87" s="1068"/>
      <c r="T87" s="1063"/>
      <c r="U87" s="1068"/>
      <c r="V87" s="1063"/>
      <c r="W87" s="1068"/>
      <c r="X87" s="1063"/>
      <c r="Y87" s="1068"/>
      <c r="Z87" s="1063"/>
      <c r="AA87" s="1068"/>
      <c r="AB87" s="1063"/>
      <c r="AC87" s="1068"/>
      <c r="AD87" s="1063"/>
      <c r="AE87" s="1068"/>
      <c r="AF87" s="1062"/>
      <c r="AG87" s="1057"/>
      <c r="AH87" s="1051"/>
      <c r="AI87" s="1052"/>
      <c r="AJ87" s="1042"/>
      <c r="AK87" s="1039"/>
    </row>
    <row r="88" ht="18.75" customHeight="1">
      <c r="A88" s="1039"/>
      <c r="B88" s="1042"/>
      <c r="C88" s="1053"/>
      <c r="D88" s="1050"/>
      <c r="E88" s="1058"/>
      <c r="F88" s="1064" t="str">
        <f>Source!$AK$32</f>
        <v/>
      </c>
      <c r="G88" s="1065" t="s">
        <v>1425</v>
      </c>
      <c r="H88" s="1060"/>
      <c r="I88" s="1060"/>
      <c r="J88" s="1060"/>
      <c r="K88" s="1060"/>
      <c r="L88" s="1060"/>
      <c r="M88" s="1060"/>
      <c r="N88" s="1060"/>
      <c r="O88" s="1060"/>
      <c r="P88" s="1060"/>
      <c r="Q88" s="1060"/>
      <c r="R88" s="1060"/>
      <c r="S88" s="1060"/>
      <c r="T88" s="1060"/>
      <c r="U88" s="1060"/>
      <c r="V88" s="1060"/>
      <c r="W88" s="1060"/>
      <c r="X88" s="1061"/>
      <c r="Y88" s="1066" t="str">
        <f>Source!$B$8</f>
        <v/>
      </c>
      <c r="Z88" s="1061"/>
      <c r="AA88" s="1067">
        <v>3000.0</v>
      </c>
      <c r="AB88" s="1060"/>
      <c r="AC88" s="1060"/>
      <c r="AD88" s="1060"/>
      <c r="AE88" s="1061"/>
      <c r="AF88" s="1062"/>
      <c r="AG88" s="1057"/>
      <c r="AH88" s="1051"/>
      <c r="AI88" s="1052"/>
      <c r="AJ88" s="1042"/>
      <c r="AK88" s="1039"/>
    </row>
    <row r="89" ht="7.5" customHeight="1">
      <c r="A89" s="1039"/>
      <c r="B89" s="1042"/>
      <c r="C89" s="1053"/>
      <c r="D89" s="1050"/>
      <c r="E89" s="1058"/>
      <c r="F89" s="1064"/>
      <c r="G89" s="1068"/>
      <c r="H89" s="1069"/>
      <c r="I89" s="1068"/>
      <c r="J89" s="1063"/>
      <c r="K89" s="1068"/>
      <c r="L89" s="1063"/>
      <c r="M89" s="1068"/>
      <c r="N89" s="1063"/>
      <c r="O89" s="1068"/>
      <c r="P89" s="1063"/>
      <c r="Q89" s="1068"/>
      <c r="R89" s="1063"/>
      <c r="S89" s="1068"/>
      <c r="T89" s="1063"/>
      <c r="U89" s="1068"/>
      <c r="V89" s="1063"/>
      <c r="W89" s="1068"/>
      <c r="X89" s="1063"/>
      <c r="Y89" s="1068"/>
      <c r="Z89" s="1063"/>
      <c r="AA89" s="1068"/>
      <c r="AB89" s="1063"/>
      <c r="AC89" s="1068"/>
      <c r="AD89" s="1063"/>
      <c r="AE89" s="1068"/>
      <c r="AF89" s="1062"/>
      <c r="AG89" s="1057"/>
      <c r="AH89" s="1051"/>
      <c r="AI89" s="1052"/>
      <c r="AJ89" s="1042"/>
      <c r="AK89" s="1039"/>
    </row>
    <row r="90" ht="18.75" customHeight="1">
      <c r="A90" s="1039"/>
      <c r="B90" s="1042"/>
      <c r="C90" s="1053"/>
      <c r="D90" s="1050"/>
      <c r="E90" s="1058"/>
      <c r="F90" s="1064" t="str">
        <f>Source!$AN$46</f>
        <v/>
      </c>
      <c r="G90" s="1065" t="s">
        <v>1426</v>
      </c>
      <c r="H90" s="1060"/>
      <c r="I90" s="1060"/>
      <c r="J90" s="1060"/>
      <c r="K90" s="1060"/>
      <c r="L90" s="1060"/>
      <c r="M90" s="1060"/>
      <c r="N90" s="1060"/>
      <c r="O90" s="1060"/>
      <c r="P90" s="1060"/>
      <c r="Q90" s="1060"/>
      <c r="R90" s="1060"/>
      <c r="S90" s="1060"/>
      <c r="T90" s="1060"/>
      <c r="U90" s="1060"/>
      <c r="V90" s="1060"/>
      <c r="W90" s="1060"/>
      <c r="X90" s="1061"/>
      <c r="Y90" s="1066" t="str">
        <f>Source!$B$8</f>
        <v/>
      </c>
      <c r="Z90" s="1061"/>
      <c r="AA90" s="1067">
        <v>5000.0</v>
      </c>
      <c r="AB90" s="1060"/>
      <c r="AC90" s="1060"/>
      <c r="AD90" s="1060"/>
      <c r="AE90" s="1061"/>
      <c r="AF90" s="1062"/>
      <c r="AG90" s="1057"/>
      <c r="AH90" s="1051"/>
      <c r="AI90" s="1052"/>
      <c r="AJ90" s="1042"/>
      <c r="AK90" s="1039"/>
    </row>
    <row r="91" ht="7.5" customHeight="1">
      <c r="A91" s="1039"/>
      <c r="B91" s="1042"/>
      <c r="C91" s="1053"/>
      <c r="D91" s="1050"/>
      <c r="E91" s="1058"/>
      <c r="F91" s="1064"/>
      <c r="G91" s="1068"/>
      <c r="H91" s="1069"/>
      <c r="I91" s="1068"/>
      <c r="J91" s="1063"/>
      <c r="K91" s="1068"/>
      <c r="L91" s="1063"/>
      <c r="M91" s="1068"/>
      <c r="N91" s="1063"/>
      <c r="O91" s="1068"/>
      <c r="P91" s="1063"/>
      <c r="Q91" s="1068"/>
      <c r="R91" s="1063"/>
      <c r="S91" s="1068"/>
      <c r="T91" s="1063"/>
      <c r="U91" s="1068"/>
      <c r="V91" s="1063"/>
      <c r="W91" s="1068"/>
      <c r="X91" s="1063"/>
      <c r="Y91" s="1068"/>
      <c r="Z91" s="1063"/>
      <c r="AA91" s="1068"/>
      <c r="AB91" s="1063"/>
      <c r="AC91" s="1068"/>
      <c r="AD91" s="1063"/>
      <c r="AE91" s="1068"/>
      <c r="AF91" s="1062"/>
      <c r="AG91" s="1057"/>
      <c r="AH91" s="1051"/>
      <c r="AI91" s="1052"/>
      <c r="AJ91" s="1042"/>
      <c r="AK91" s="1039"/>
    </row>
    <row r="92" ht="18.75" customHeight="1">
      <c r="A92" s="1039"/>
      <c r="B92" s="1042"/>
      <c r="C92" s="1053"/>
      <c r="D92" s="1050"/>
      <c r="E92" s="1058"/>
      <c r="F92" s="1064" t="str">
        <f>Source!$AN$58</f>
        <v/>
      </c>
      <c r="G92" s="1065" t="s">
        <v>1427</v>
      </c>
      <c r="H92" s="1060"/>
      <c r="I92" s="1060"/>
      <c r="J92" s="1060"/>
      <c r="K92" s="1060"/>
      <c r="L92" s="1060"/>
      <c r="M92" s="1060"/>
      <c r="N92" s="1060"/>
      <c r="O92" s="1060"/>
      <c r="P92" s="1060"/>
      <c r="Q92" s="1060"/>
      <c r="R92" s="1060"/>
      <c r="S92" s="1060"/>
      <c r="T92" s="1060"/>
      <c r="U92" s="1060"/>
      <c r="V92" s="1060"/>
      <c r="W92" s="1060"/>
      <c r="X92" s="1061"/>
      <c r="Y92" s="1066" t="str">
        <f>Source!$B$8</f>
        <v/>
      </c>
      <c r="Z92" s="1061"/>
      <c r="AA92" s="1067">
        <v>3000.0</v>
      </c>
      <c r="AB92" s="1060"/>
      <c r="AC92" s="1060"/>
      <c r="AD92" s="1060"/>
      <c r="AE92" s="1061"/>
      <c r="AF92" s="1062"/>
      <c r="AG92" s="1057"/>
      <c r="AH92" s="1051"/>
      <c r="AI92" s="1052"/>
      <c r="AJ92" s="1042"/>
      <c r="AK92" s="1039"/>
    </row>
    <row r="93" ht="3.75" customHeight="1">
      <c r="A93" s="1039"/>
      <c r="B93" s="1042"/>
      <c r="C93" s="1053"/>
      <c r="D93" s="1050"/>
      <c r="E93" s="1070"/>
      <c r="F93" s="1071"/>
      <c r="G93" s="1071"/>
      <c r="H93" s="1071"/>
      <c r="I93" s="1071"/>
      <c r="J93" s="1071"/>
      <c r="K93" s="1071"/>
      <c r="L93" s="1071"/>
      <c r="M93" s="1071"/>
      <c r="N93" s="1071"/>
      <c r="O93" s="1071"/>
      <c r="P93" s="1071"/>
      <c r="Q93" s="1071"/>
      <c r="R93" s="1071"/>
      <c r="S93" s="1071"/>
      <c r="T93" s="1071"/>
      <c r="U93" s="1071"/>
      <c r="V93" s="1071"/>
      <c r="W93" s="1071"/>
      <c r="X93" s="1071"/>
      <c r="Y93" s="1071"/>
      <c r="Z93" s="1071"/>
      <c r="AA93" s="1071"/>
      <c r="AB93" s="1071"/>
      <c r="AC93" s="1071"/>
      <c r="AD93" s="1071"/>
      <c r="AE93" s="1071"/>
      <c r="AF93" s="1072"/>
      <c r="AG93" s="1057"/>
      <c r="AH93" s="1051"/>
      <c r="AI93" s="1052"/>
      <c r="AJ93" s="1042"/>
      <c r="AK93" s="1039"/>
    </row>
    <row r="94" ht="9.0" customHeight="1">
      <c r="A94" s="1039"/>
      <c r="B94" s="1042"/>
      <c r="C94" s="1073"/>
      <c r="D94" s="1049"/>
      <c r="E94" s="1074"/>
      <c r="F94" s="1074"/>
      <c r="G94" s="1074"/>
      <c r="H94" s="1074"/>
      <c r="I94" s="1074"/>
      <c r="J94" s="1074"/>
      <c r="K94" s="1074"/>
      <c r="L94" s="1074"/>
      <c r="M94" s="1074"/>
      <c r="N94" s="1074"/>
      <c r="O94" s="1074"/>
      <c r="P94" s="1074"/>
      <c r="Q94" s="1074"/>
      <c r="R94" s="1074"/>
      <c r="S94" s="1074"/>
      <c r="T94" s="1074"/>
      <c r="U94" s="1074"/>
      <c r="V94" s="1074"/>
      <c r="W94" s="1074"/>
      <c r="X94" s="1074"/>
      <c r="Y94" s="1074"/>
      <c r="Z94" s="1074"/>
      <c r="AA94" s="1074"/>
      <c r="AB94" s="1074"/>
      <c r="AC94" s="1074"/>
      <c r="AD94" s="1074"/>
      <c r="AE94" s="1074"/>
      <c r="AF94" s="1074"/>
      <c r="AG94" s="1075"/>
      <c r="AH94" s="1051"/>
      <c r="AI94" s="1076"/>
      <c r="AJ94" s="1042"/>
      <c r="AK94" s="1039"/>
    </row>
    <row r="95" ht="4.5" customHeight="1">
      <c r="A95" s="1039"/>
      <c r="B95" s="1042"/>
      <c r="C95" s="1077"/>
      <c r="D95" s="1051"/>
      <c r="E95" s="1051"/>
      <c r="F95" s="1051"/>
      <c r="G95" s="1051"/>
      <c r="H95" s="1051"/>
      <c r="I95" s="1051"/>
      <c r="J95" s="1051"/>
      <c r="K95" s="1051"/>
      <c r="L95" s="1051"/>
      <c r="M95" s="1051"/>
      <c r="N95" s="1051"/>
      <c r="O95" s="1051"/>
      <c r="P95" s="1051"/>
      <c r="Q95" s="1051"/>
      <c r="R95" s="1051"/>
      <c r="S95" s="1051"/>
      <c r="T95" s="1051"/>
      <c r="U95" s="1051"/>
      <c r="V95" s="1051"/>
      <c r="W95" s="1051"/>
      <c r="X95" s="1051"/>
      <c r="Y95" s="1051"/>
      <c r="Z95" s="1051"/>
      <c r="AA95" s="1051"/>
      <c r="AB95" s="1051"/>
      <c r="AC95" s="1051"/>
      <c r="AD95" s="1051"/>
      <c r="AE95" s="1051"/>
      <c r="AF95" s="1051"/>
      <c r="AG95" s="1051"/>
      <c r="AH95" s="1051"/>
      <c r="AI95" s="1076"/>
      <c r="AJ95" s="1042"/>
      <c r="AK95" s="1039"/>
    </row>
    <row r="96" ht="5.25" customHeight="1">
      <c r="A96" s="1039"/>
      <c r="B96" s="1042"/>
      <c r="C96" s="1042"/>
      <c r="D96" s="1042"/>
      <c r="E96" s="1042"/>
      <c r="F96" s="1042"/>
      <c r="G96" s="1042"/>
      <c r="H96" s="1042"/>
      <c r="I96" s="1042"/>
      <c r="J96" s="1042"/>
      <c r="K96" s="1042"/>
      <c r="L96" s="1042"/>
      <c r="M96" s="1042"/>
      <c r="N96" s="1042"/>
      <c r="O96" s="1042"/>
      <c r="P96" s="1042"/>
      <c r="Q96" s="1042"/>
      <c r="R96" s="1042"/>
      <c r="S96" s="1042"/>
      <c r="T96" s="1042"/>
      <c r="U96" s="1042"/>
      <c r="V96" s="1042"/>
      <c r="W96" s="1042"/>
      <c r="X96" s="1042"/>
      <c r="Y96" s="1042"/>
      <c r="Z96" s="1042"/>
      <c r="AA96" s="1042"/>
      <c r="AB96" s="1042"/>
      <c r="AC96" s="1042"/>
      <c r="AD96" s="1042"/>
      <c r="AE96" s="1042"/>
      <c r="AF96" s="1042"/>
      <c r="AG96" s="1042"/>
      <c r="AH96" s="1042"/>
      <c r="AI96" s="1042"/>
      <c r="AJ96" s="1042"/>
      <c r="AK96" s="1039"/>
    </row>
    <row r="97" ht="3.75" customHeight="1">
      <c r="A97" s="1039"/>
      <c r="B97" s="1039"/>
      <c r="C97" s="1039"/>
      <c r="D97" s="1039"/>
      <c r="E97" s="1039"/>
      <c r="F97" s="1039"/>
      <c r="G97" s="1039"/>
      <c r="H97" s="1039"/>
      <c r="I97" s="1039"/>
      <c r="J97" s="1039"/>
      <c r="K97" s="1039"/>
      <c r="L97" s="1039"/>
      <c r="M97" s="1039"/>
      <c r="N97" s="1039"/>
      <c r="O97" s="1039"/>
      <c r="P97" s="1039"/>
      <c r="Q97" s="1039"/>
      <c r="R97" s="1039"/>
      <c r="S97" s="1039"/>
      <c r="T97" s="1039"/>
      <c r="U97" s="1039"/>
      <c r="V97" s="1039"/>
      <c r="W97" s="1039"/>
      <c r="X97" s="1039"/>
      <c r="Y97" s="1039"/>
      <c r="Z97" s="1039"/>
      <c r="AA97" s="1039"/>
      <c r="AB97" s="1039"/>
      <c r="AC97" s="1039"/>
      <c r="AD97" s="1039"/>
      <c r="AE97" s="1039"/>
      <c r="AF97" s="1039"/>
      <c r="AG97" s="1039"/>
      <c r="AH97" s="1039"/>
      <c r="AI97" s="1039"/>
      <c r="AJ97" s="1039"/>
      <c r="AK97" s="1039"/>
    </row>
    <row r="98" ht="5.25" customHeight="1">
      <c r="A98" s="1041"/>
      <c r="B98" s="1042"/>
      <c r="C98" s="1042"/>
      <c r="D98" s="1042"/>
      <c r="E98" s="1042"/>
      <c r="F98" s="1042"/>
      <c r="G98" s="1042"/>
      <c r="H98" s="1042"/>
      <c r="I98" s="1042"/>
      <c r="J98" s="1042"/>
      <c r="K98" s="1042"/>
      <c r="L98" s="1042"/>
      <c r="M98" s="1042"/>
      <c r="N98" s="1042"/>
      <c r="O98" s="1042"/>
      <c r="P98" s="1042"/>
      <c r="Q98" s="1042"/>
      <c r="R98" s="1042"/>
      <c r="S98" s="1042"/>
      <c r="T98" s="1042"/>
      <c r="U98" s="1042"/>
      <c r="V98" s="1042"/>
      <c r="W98" s="1042"/>
      <c r="X98" s="1042"/>
      <c r="Y98" s="1042"/>
      <c r="Z98" s="1042"/>
      <c r="AA98" s="1042"/>
      <c r="AB98" s="1042"/>
      <c r="AC98" s="1042"/>
      <c r="AD98" s="1042"/>
      <c r="AE98" s="1042"/>
      <c r="AF98" s="1042"/>
      <c r="AG98" s="1042"/>
      <c r="AH98" s="1042"/>
      <c r="AI98" s="1042"/>
      <c r="AJ98" s="1042"/>
      <c r="AK98" s="1039"/>
    </row>
    <row r="99" ht="5.25" customHeight="1">
      <c r="A99" s="1039"/>
      <c r="B99" s="1042"/>
      <c r="C99" s="1043"/>
      <c r="D99" s="1044"/>
      <c r="E99" s="1044"/>
      <c r="F99" s="1044"/>
      <c r="G99" s="1044"/>
      <c r="H99" s="1044"/>
      <c r="I99" s="1044"/>
      <c r="J99" s="1044"/>
      <c r="K99" s="1044"/>
      <c r="L99" s="1044"/>
      <c r="M99" s="1044"/>
      <c r="N99" s="1044"/>
      <c r="O99" s="1044"/>
      <c r="P99" s="1044"/>
      <c r="Q99" s="1044"/>
      <c r="R99" s="1044"/>
      <c r="S99" s="1044"/>
      <c r="T99" s="1044"/>
      <c r="U99" s="1044"/>
      <c r="V99" s="1044"/>
      <c r="W99" s="1044"/>
      <c r="X99" s="1044"/>
      <c r="Y99" s="1044"/>
      <c r="Z99" s="1044"/>
      <c r="AA99" s="1044"/>
      <c r="AB99" s="1044"/>
      <c r="AC99" s="1044"/>
      <c r="AD99" s="1044"/>
      <c r="AE99" s="1044"/>
      <c r="AF99" s="1044"/>
      <c r="AG99" s="1045"/>
      <c r="AH99" s="1045"/>
      <c r="AI99" s="1046"/>
      <c r="AJ99" s="1042"/>
      <c r="AK99" s="1039"/>
    </row>
    <row r="100" ht="9.0" customHeight="1">
      <c r="A100" s="1039"/>
      <c r="B100" s="1042"/>
      <c r="C100" s="1047"/>
      <c r="D100" s="1048"/>
      <c r="E100" s="1049"/>
      <c r="F100" s="1049"/>
      <c r="G100" s="1049"/>
      <c r="H100" s="1049"/>
      <c r="I100" s="1049"/>
      <c r="J100" s="1049"/>
      <c r="K100" s="1049"/>
      <c r="L100" s="1049"/>
      <c r="M100" s="1049"/>
      <c r="N100" s="1049"/>
      <c r="O100" s="1049"/>
      <c r="P100" s="1049"/>
      <c r="Q100" s="1049"/>
      <c r="R100" s="1049"/>
      <c r="S100" s="1049"/>
      <c r="T100" s="1049"/>
      <c r="U100" s="1049"/>
      <c r="V100" s="1049"/>
      <c r="W100" s="1049"/>
      <c r="X100" s="1049"/>
      <c r="Y100" s="1049"/>
      <c r="Z100" s="1049"/>
      <c r="AA100" s="1049"/>
      <c r="AB100" s="1049"/>
      <c r="AC100" s="1049"/>
      <c r="AD100" s="1049"/>
      <c r="AE100" s="1049"/>
      <c r="AF100" s="1049"/>
      <c r="AG100" s="1050"/>
      <c r="AH100" s="1051"/>
      <c r="AI100" s="1052"/>
      <c r="AJ100" s="1042"/>
      <c r="AK100" s="1039"/>
    </row>
    <row r="101" ht="3.75" customHeight="1">
      <c r="A101" s="1039"/>
      <c r="B101" s="1042"/>
      <c r="C101" s="1053"/>
      <c r="D101" s="1050"/>
      <c r="E101" s="1054"/>
      <c r="F101" s="1055"/>
      <c r="G101" s="1055"/>
      <c r="H101" s="1055"/>
      <c r="I101" s="1055"/>
      <c r="J101" s="1055"/>
      <c r="K101" s="1055"/>
      <c r="L101" s="1055"/>
      <c r="M101" s="1055"/>
      <c r="N101" s="1055"/>
      <c r="O101" s="1055"/>
      <c r="P101" s="1055"/>
      <c r="Q101" s="1055"/>
      <c r="R101" s="1055"/>
      <c r="S101" s="1055"/>
      <c r="T101" s="1055"/>
      <c r="U101" s="1055"/>
      <c r="V101" s="1055"/>
      <c r="W101" s="1055"/>
      <c r="X101" s="1055"/>
      <c r="Y101" s="1055"/>
      <c r="Z101" s="1055"/>
      <c r="AA101" s="1055"/>
      <c r="AB101" s="1055"/>
      <c r="AC101" s="1055"/>
      <c r="AD101" s="1055"/>
      <c r="AE101" s="1055"/>
      <c r="AF101" s="1056"/>
      <c r="AG101" s="1057"/>
      <c r="AH101" s="1051"/>
      <c r="AI101" s="1052"/>
      <c r="AJ101" s="1042"/>
      <c r="AK101" s="1039"/>
    </row>
    <row r="102">
      <c r="A102" s="1039"/>
      <c r="B102" s="1042"/>
      <c r="C102" s="1053"/>
      <c r="D102" s="1050"/>
      <c r="E102" s="1058"/>
      <c r="F102" s="1059" t="s">
        <v>1428</v>
      </c>
      <c r="G102" s="1060"/>
      <c r="H102" s="1060"/>
      <c r="I102" s="1060"/>
      <c r="J102" s="1060"/>
      <c r="K102" s="1060"/>
      <c r="L102" s="1060"/>
      <c r="M102" s="1060"/>
      <c r="N102" s="1060"/>
      <c r="O102" s="1060"/>
      <c r="P102" s="1060"/>
      <c r="Q102" s="1060"/>
      <c r="R102" s="1060"/>
      <c r="S102" s="1060"/>
      <c r="T102" s="1060"/>
      <c r="U102" s="1060"/>
      <c r="V102" s="1060"/>
      <c r="W102" s="1060"/>
      <c r="X102" s="1060"/>
      <c r="Y102" s="1060"/>
      <c r="Z102" s="1060"/>
      <c r="AA102" s="1060"/>
      <c r="AB102" s="1060"/>
      <c r="AC102" s="1060"/>
      <c r="AD102" s="1060"/>
      <c r="AE102" s="1061"/>
      <c r="AF102" s="1062"/>
      <c r="AG102" s="1057"/>
      <c r="AH102" s="1051"/>
      <c r="AI102" s="1052"/>
      <c r="AJ102" s="1042"/>
      <c r="AK102" s="1039"/>
    </row>
    <row r="103" ht="7.5" customHeight="1">
      <c r="A103" s="1039"/>
      <c r="B103" s="1042"/>
      <c r="C103" s="1053"/>
      <c r="D103" s="1050"/>
      <c r="E103" s="1058"/>
      <c r="F103" s="1063"/>
      <c r="G103" s="1063"/>
      <c r="H103" s="1063"/>
      <c r="I103" s="1063"/>
      <c r="J103" s="1063"/>
      <c r="K103" s="1063"/>
      <c r="L103" s="1063"/>
      <c r="M103" s="1063"/>
      <c r="N103" s="1063"/>
      <c r="O103" s="1063"/>
      <c r="P103" s="1063"/>
      <c r="Q103" s="1063"/>
      <c r="R103" s="1063"/>
      <c r="S103" s="1063"/>
      <c r="T103" s="1063"/>
      <c r="U103" s="1063"/>
      <c r="V103" s="1063"/>
      <c r="W103" s="1063"/>
      <c r="X103" s="1063"/>
      <c r="Y103" s="1063"/>
      <c r="Z103" s="1063"/>
      <c r="AA103" s="1063"/>
      <c r="AB103" s="1063"/>
      <c r="AC103" s="1063"/>
      <c r="AD103" s="1063"/>
      <c r="AE103" s="1063"/>
      <c r="AF103" s="1062"/>
      <c r="AG103" s="1057"/>
      <c r="AH103" s="1051"/>
      <c r="AI103" s="1052"/>
      <c r="AJ103" s="1042"/>
      <c r="AK103" s="1039"/>
    </row>
    <row r="104" ht="18.75" customHeight="1">
      <c r="A104" s="1039"/>
      <c r="B104" s="1042"/>
      <c r="C104" s="1053"/>
      <c r="D104" s="1050"/>
      <c r="E104" s="1058"/>
      <c r="F104" s="1064" t="str">
        <f>Source!$AB$22</f>
        <v/>
      </c>
      <c r="G104" s="1065" t="s">
        <v>1429</v>
      </c>
      <c r="H104" s="1060"/>
      <c r="I104" s="1060"/>
      <c r="J104" s="1060"/>
      <c r="K104" s="1060"/>
      <c r="L104" s="1060"/>
      <c r="M104" s="1060"/>
      <c r="N104" s="1060"/>
      <c r="O104" s="1060"/>
      <c r="P104" s="1060"/>
      <c r="Q104" s="1060"/>
      <c r="R104" s="1060"/>
      <c r="S104" s="1060"/>
      <c r="T104" s="1060"/>
      <c r="U104" s="1060"/>
      <c r="V104" s="1060"/>
      <c r="W104" s="1060"/>
      <c r="X104" s="1061"/>
      <c r="Y104" s="1066" t="str">
        <f>Source!$B$8</f>
        <v/>
      </c>
      <c r="Z104" s="1061"/>
      <c r="AA104" s="1067" t="s">
        <v>429</v>
      </c>
      <c r="AB104" s="1060"/>
      <c r="AC104" s="1060"/>
      <c r="AD104" s="1060"/>
      <c r="AE104" s="1061"/>
      <c r="AF104" s="1062"/>
      <c r="AG104" s="1057"/>
      <c r="AH104" s="1051"/>
      <c r="AI104" s="1052"/>
      <c r="AJ104" s="1042"/>
      <c r="AK104" s="1039"/>
    </row>
    <row r="105" ht="7.5" customHeight="1">
      <c r="A105" s="1039"/>
      <c r="B105" s="1042"/>
      <c r="C105" s="1053"/>
      <c r="D105" s="1050"/>
      <c r="E105" s="1058"/>
      <c r="F105" s="1064"/>
      <c r="G105" s="1068"/>
      <c r="H105" s="1069"/>
      <c r="I105" s="1068"/>
      <c r="J105" s="1063"/>
      <c r="K105" s="1068"/>
      <c r="L105" s="1063"/>
      <c r="M105" s="1068"/>
      <c r="N105" s="1063"/>
      <c r="O105" s="1068"/>
      <c r="P105" s="1063"/>
      <c r="Q105" s="1068"/>
      <c r="R105" s="1063"/>
      <c r="S105" s="1068"/>
      <c r="T105" s="1063"/>
      <c r="U105" s="1068"/>
      <c r="V105" s="1063"/>
      <c r="W105" s="1068"/>
      <c r="X105" s="1063"/>
      <c r="Y105" s="1068"/>
      <c r="Z105" s="1063"/>
      <c r="AA105" s="1068"/>
      <c r="AB105" s="1063"/>
      <c r="AC105" s="1068"/>
      <c r="AD105" s="1063"/>
      <c r="AE105" s="1068"/>
      <c r="AF105" s="1062"/>
      <c r="AG105" s="1057"/>
      <c r="AH105" s="1051"/>
      <c r="AI105" s="1052"/>
      <c r="AJ105" s="1042"/>
      <c r="AK105" s="1039"/>
    </row>
    <row r="106" ht="18.75" customHeight="1">
      <c r="A106" s="1039"/>
      <c r="B106" s="1042"/>
      <c r="C106" s="1053"/>
      <c r="D106" s="1050"/>
      <c r="E106" s="1058"/>
      <c r="F106" s="1064" t="str">
        <f>Source!$AB$42</f>
        <v/>
      </c>
      <c r="G106" s="1065" t="s">
        <v>1430</v>
      </c>
      <c r="H106" s="1060"/>
      <c r="I106" s="1060"/>
      <c r="J106" s="1060"/>
      <c r="K106" s="1060"/>
      <c r="L106" s="1060"/>
      <c r="M106" s="1060"/>
      <c r="N106" s="1060"/>
      <c r="O106" s="1060"/>
      <c r="P106" s="1060"/>
      <c r="Q106" s="1060"/>
      <c r="R106" s="1060"/>
      <c r="S106" s="1060"/>
      <c r="T106" s="1060"/>
      <c r="U106" s="1060"/>
      <c r="V106" s="1060"/>
      <c r="W106" s="1060"/>
      <c r="X106" s="1061"/>
      <c r="Y106" s="1066" t="str">
        <f>Source!$B$8</f>
        <v/>
      </c>
      <c r="Z106" s="1061"/>
      <c r="AA106" s="1067" t="s">
        <v>429</v>
      </c>
      <c r="AB106" s="1060"/>
      <c r="AC106" s="1060"/>
      <c r="AD106" s="1060"/>
      <c r="AE106" s="1061"/>
      <c r="AF106" s="1062"/>
      <c r="AG106" s="1057"/>
      <c r="AH106" s="1051"/>
      <c r="AI106" s="1052"/>
      <c r="AJ106" s="1042"/>
      <c r="AK106" s="1039"/>
    </row>
    <row r="107" ht="7.5" customHeight="1">
      <c r="A107" s="1039"/>
      <c r="B107" s="1042"/>
      <c r="C107" s="1053"/>
      <c r="D107" s="1050"/>
      <c r="E107" s="1058"/>
      <c r="F107" s="1064"/>
      <c r="G107" s="1068"/>
      <c r="H107" s="1069"/>
      <c r="I107" s="1068"/>
      <c r="J107" s="1063"/>
      <c r="K107" s="1068"/>
      <c r="L107" s="1063"/>
      <c r="M107" s="1068"/>
      <c r="N107" s="1063"/>
      <c r="O107" s="1068"/>
      <c r="P107" s="1063"/>
      <c r="Q107" s="1068"/>
      <c r="R107" s="1063"/>
      <c r="S107" s="1068"/>
      <c r="T107" s="1063"/>
      <c r="U107" s="1068"/>
      <c r="V107" s="1063"/>
      <c r="W107" s="1068"/>
      <c r="X107" s="1063"/>
      <c r="Y107" s="1068"/>
      <c r="Z107" s="1063"/>
      <c r="AA107" s="1068"/>
      <c r="AB107" s="1063"/>
      <c r="AC107" s="1068"/>
      <c r="AD107" s="1063"/>
      <c r="AE107" s="1068"/>
      <c r="AF107" s="1062"/>
      <c r="AG107" s="1057"/>
      <c r="AH107" s="1051"/>
      <c r="AI107" s="1052"/>
      <c r="AJ107" s="1042"/>
      <c r="AK107" s="1039"/>
    </row>
    <row r="108" ht="18.75" customHeight="1">
      <c r="A108" s="1039"/>
      <c r="B108" s="1042"/>
      <c r="C108" s="1053"/>
      <c r="D108" s="1050"/>
      <c r="E108" s="1058"/>
      <c r="F108" s="1064" t="str">
        <f>Source!$AB$25</f>
        <v/>
      </c>
      <c r="G108" s="1065" t="s">
        <v>1431</v>
      </c>
      <c r="H108" s="1060"/>
      <c r="I108" s="1060"/>
      <c r="J108" s="1060"/>
      <c r="K108" s="1060"/>
      <c r="L108" s="1060"/>
      <c r="M108" s="1060"/>
      <c r="N108" s="1060"/>
      <c r="O108" s="1060"/>
      <c r="P108" s="1060"/>
      <c r="Q108" s="1060"/>
      <c r="R108" s="1060"/>
      <c r="S108" s="1060"/>
      <c r="T108" s="1060"/>
      <c r="U108" s="1060"/>
      <c r="V108" s="1060"/>
      <c r="W108" s="1060"/>
      <c r="X108" s="1061"/>
      <c r="Y108" s="1066" t="str">
        <f>Source!$B$8</f>
        <v/>
      </c>
      <c r="Z108" s="1061"/>
      <c r="AA108" s="1067" t="s">
        <v>429</v>
      </c>
      <c r="AB108" s="1060"/>
      <c r="AC108" s="1060"/>
      <c r="AD108" s="1060"/>
      <c r="AE108" s="1061"/>
      <c r="AF108" s="1062"/>
      <c r="AG108" s="1057"/>
      <c r="AH108" s="1051"/>
      <c r="AI108" s="1052"/>
      <c r="AJ108" s="1042"/>
      <c r="AK108" s="1039"/>
    </row>
    <row r="109" ht="7.5" customHeight="1">
      <c r="A109" s="1039"/>
      <c r="B109" s="1042"/>
      <c r="C109" s="1053"/>
      <c r="D109" s="1050"/>
      <c r="E109" s="1058"/>
      <c r="F109" s="1064"/>
      <c r="G109" s="1068"/>
      <c r="H109" s="1069"/>
      <c r="I109" s="1068"/>
      <c r="J109" s="1063"/>
      <c r="K109" s="1068"/>
      <c r="L109" s="1063"/>
      <c r="M109" s="1068"/>
      <c r="N109" s="1063"/>
      <c r="O109" s="1068"/>
      <c r="P109" s="1063"/>
      <c r="Q109" s="1068"/>
      <c r="R109" s="1063"/>
      <c r="S109" s="1068"/>
      <c r="T109" s="1063"/>
      <c r="U109" s="1068"/>
      <c r="V109" s="1063"/>
      <c r="W109" s="1068"/>
      <c r="X109" s="1063"/>
      <c r="Y109" s="1068"/>
      <c r="Z109" s="1063"/>
      <c r="AA109" s="1068"/>
      <c r="AB109" s="1063"/>
      <c r="AC109" s="1068"/>
      <c r="AD109" s="1063"/>
      <c r="AE109" s="1068"/>
      <c r="AF109" s="1062"/>
      <c r="AG109" s="1057"/>
      <c r="AH109" s="1051"/>
      <c r="AI109" s="1052"/>
      <c r="AJ109" s="1042"/>
      <c r="AK109" s="1039"/>
    </row>
    <row r="110" ht="18.75" customHeight="1">
      <c r="A110" s="1039"/>
      <c r="B110" s="1042"/>
      <c r="C110" s="1053"/>
      <c r="D110" s="1050"/>
      <c r="E110" s="1058"/>
      <c r="F110" s="1064" t="str">
        <f>Source!$AB$8</f>
        <v/>
      </c>
      <c r="G110" s="1065" t="s">
        <v>1432</v>
      </c>
      <c r="H110" s="1060"/>
      <c r="I110" s="1060"/>
      <c r="J110" s="1060"/>
      <c r="K110" s="1060"/>
      <c r="L110" s="1060"/>
      <c r="M110" s="1060"/>
      <c r="N110" s="1060"/>
      <c r="O110" s="1060"/>
      <c r="P110" s="1060"/>
      <c r="Q110" s="1060"/>
      <c r="R110" s="1060"/>
      <c r="S110" s="1060"/>
      <c r="T110" s="1060"/>
      <c r="U110" s="1060"/>
      <c r="V110" s="1060"/>
      <c r="W110" s="1060"/>
      <c r="X110" s="1061"/>
      <c r="Y110" s="1066" t="str">
        <f>Source!$B$8</f>
        <v/>
      </c>
      <c r="Z110" s="1061"/>
      <c r="AA110" s="1067" t="s">
        <v>429</v>
      </c>
      <c r="AB110" s="1060"/>
      <c r="AC110" s="1060"/>
      <c r="AD110" s="1060"/>
      <c r="AE110" s="1061"/>
      <c r="AF110" s="1062"/>
      <c r="AG110" s="1057"/>
      <c r="AH110" s="1051"/>
      <c r="AI110" s="1052"/>
      <c r="AJ110" s="1042"/>
      <c r="AK110" s="1039"/>
    </row>
    <row r="111" ht="7.5" customHeight="1">
      <c r="A111" s="1039"/>
      <c r="B111" s="1042"/>
      <c r="C111" s="1053"/>
      <c r="D111" s="1050"/>
      <c r="E111" s="1058"/>
      <c r="F111" s="1064"/>
      <c r="G111" s="1068"/>
      <c r="H111" s="1069"/>
      <c r="I111" s="1068"/>
      <c r="J111" s="1063"/>
      <c r="K111" s="1068"/>
      <c r="L111" s="1063"/>
      <c r="M111" s="1068"/>
      <c r="N111" s="1063"/>
      <c r="O111" s="1068"/>
      <c r="P111" s="1063"/>
      <c r="Q111" s="1068"/>
      <c r="R111" s="1063"/>
      <c r="S111" s="1068"/>
      <c r="T111" s="1063"/>
      <c r="U111" s="1068"/>
      <c r="V111" s="1063"/>
      <c r="W111" s="1068"/>
      <c r="X111" s="1063"/>
      <c r="Y111" s="1068"/>
      <c r="Z111" s="1063"/>
      <c r="AA111" s="1068"/>
      <c r="AB111" s="1063"/>
      <c r="AC111" s="1068"/>
      <c r="AD111" s="1063"/>
      <c r="AE111" s="1068"/>
      <c r="AF111" s="1062"/>
      <c r="AG111" s="1057"/>
      <c r="AH111" s="1051"/>
      <c r="AI111" s="1052"/>
      <c r="AJ111" s="1042"/>
      <c r="AK111" s="1039"/>
    </row>
    <row r="112" ht="18.75" customHeight="1">
      <c r="A112" s="1039"/>
      <c r="B112" s="1042"/>
      <c r="C112" s="1053"/>
      <c r="D112" s="1050"/>
      <c r="E112" s="1058"/>
      <c r="F112" s="1064" t="str">
        <f>Source!$AB$54</f>
        <v/>
      </c>
      <c r="G112" s="1065" t="s">
        <v>1433</v>
      </c>
      <c r="H112" s="1060"/>
      <c r="I112" s="1060"/>
      <c r="J112" s="1060"/>
      <c r="K112" s="1060"/>
      <c r="L112" s="1060"/>
      <c r="M112" s="1060"/>
      <c r="N112" s="1060"/>
      <c r="O112" s="1060"/>
      <c r="P112" s="1060"/>
      <c r="Q112" s="1060"/>
      <c r="R112" s="1060"/>
      <c r="S112" s="1060"/>
      <c r="T112" s="1060"/>
      <c r="U112" s="1060"/>
      <c r="V112" s="1060"/>
      <c r="W112" s="1060"/>
      <c r="X112" s="1061"/>
      <c r="Y112" s="1066" t="str">
        <f>Source!$B$8</f>
        <v/>
      </c>
      <c r="Z112" s="1061"/>
      <c r="AA112" s="1067" t="s">
        <v>429</v>
      </c>
      <c r="AB112" s="1060"/>
      <c r="AC112" s="1060"/>
      <c r="AD112" s="1060"/>
      <c r="AE112" s="1061"/>
      <c r="AF112" s="1062"/>
      <c r="AG112" s="1057"/>
      <c r="AH112" s="1051"/>
      <c r="AI112" s="1052"/>
      <c r="AJ112" s="1042"/>
      <c r="AK112" s="1039"/>
    </row>
    <row r="113" ht="7.5" customHeight="1">
      <c r="A113" s="1039"/>
      <c r="B113" s="1042"/>
      <c r="C113" s="1053"/>
      <c r="D113" s="1050"/>
      <c r="E113" s="1058"/>
      <c r="F113" s="1064"/>
      <c r="G113" s="1068"/>
      <c r="H113" s="1069"/>
      <c r="I113" s="1068"/>
      <c r="J113" s="1063"/>
      <c r="K113" s="1068"/>
      <c r="L113" s="1063"/>
      <c r="M113" s="1068"/>
      <c r="N113" s="1063"/>
      <c r="O113" s="1068"/>
      <c r="P113" s="1063"/>
      <c r="Q113" s="1068"/>
      <c r="R113" s="1063"/>
      <c r="S113" s="1068"/>
      <c r="T113" s="1063"/>
      <c r="U113" s="1068"/>
      <c r="V113" s="1063"/>
      <c r="W113" s="1068"/>
      <c r="X113" s="1063"/>
      <c r="Y113" s="1068"/>
      <c r="Z113" s="1063"/>
      <c r="AA113" s="1068"/>
      <c r="AB113" s="1063"/>
      <c r="AC113" s="1068"/>
      <c r="AD113" s="1063"/>
      <c r="AE113" s="1068"/>
      <c r="AF113" s="1062"/>
      <c r="AG113" s="1057"/>
      <c r="AH113" s="1051"/>
      <c r="AI113" s="1052"/>
      <c r="AJ113" s="1042"/>
      <c r="AK113" s="1039"/>
    </row>
    <row r="114" ht="18.75" customHeight="1">
      <c r="A114" s="1039"/>
      <c r="B114" s="1042"/>
      <c r="C114" s="1053"/>
      <c r="D114" s="1050"/>
      <c r="E114" s="1058"/>
      <c r="F114" s="1064" t="str">
        <f>Source!$AB$9</f>
        <v/>
      </c>
      <c r="G114" s="1065" t="s">
        <v>1434</v>
      </c>
      <c r="H114" s="1060"/>
      <c r="I114" s="1060"/>
      <c r="J114" s="1060"/>
      <c r="K114" s="1060"/>
      <c r="L114" s="1060"/>
      <c r="M114" s="1060"/>
      <c r="N114" s="1060"/>
      <c r="O114" s="1060"/>
      <c r="P114" s="1060"/>
      <c r="Q114" s="1060"/>
      <c r="R114" s="1060"/>
      <c r="S114" s="1060"/>
      <c r="T114" s="1060"/>
      <c r="U114" s="1060"/>
      <c r="V114" s="1060"/>
      <c r="W114" s="1060"/>
      <c r="X114" s="1061"/>
      <c r="Y114" s="1066" t="str">
        <f>Source!$B$8</f>
        <v/>
      </c>
      <c r="Z114" s="1061"/>
      <c r="AA114" s="1067" t="s">
        <v>429</v>
      </c>
      <c r="AB114" s="1060"/>
      <c r="AC114" s="1060"/>
      <c r="AD114" s="1060"/>
      <c r="AE114" s="1061"/>
      <c r="AF114" s="1062"/>
      <c r="AG114" s="1057"/>
      <c r="AH114" s="1051"/>
      <c r="AI114" s="1052"/>
      <c r="AJ114" s="1042"/>
      <c r="AK114" s="1039"/>
    </row>
    <row r="115" ht="3.75" customHeight="1">
      <c r="A115" s="1039"/>
      <c r="B115" s="1042"/>
      <c r="C115" s="1053"/>
      <c r="D115" s="1050"/>
      <c r="E115" s="1070"/>
      <c r="F115" s="1071"/>
      <c r="G115" s="1071"/>
      <c r="H115" s="1071"/>
      <c r="I115" s="1071"/>
      <c r="J115" s="1071"/>
      <c r="K115" s="1071"/>
      <c r="L115" s="1071"/>
      <c r="M115" s="1071"/>
      <c r="N115" s="1071"/>
      <c r="O115" s="1071"/>
      <c r="P115" s="1071"/>
      <c r="Q115" s="1071"/>
      <c r="R115" s="1071"/>
      <c r="S115" s="1071"/>
      <c r="T115" s="1071"/>
      <c r="U115" s="1071"/>
      <c r="V115" s="1071"/>
      <c r="W115" s="1071"/>
      <c r="X115" s="1071"/>
      <c r="Y115" s="1071"/>
      <c r="Z115" s="1071"/>
      <c r="AA115" s="1071"/>
      <c r="AB115" s="1071"/>
      <c r="AC115" s="1071"/>
      <c r="AD115" s="1071"/>
      <c r="AE115" s="1071"/>
      <c r="AF115" s="1072"/>
      <c r="AG115" s="1057"/>
      <c r="AH115" s="1051"/>
      <c r="AI115" s="1052"/>
      <c r="AJ115" s="1042"/>
      <c r="AK115" s="1039"/>
    </row>
    <row r="116" ht="9.0" customHeight="1">
      <c r="A116" s="1039"/>
      <c r="B116" s="1042"/>
      <c r="C116" s="1073"/>
      <c r="D116" s="1049"/>
      <c r="E116" s="1074"/>
      <c r="F116" s="1074"/>
      <c r="G116" s="1074"/>
      <c r="H116" s="1074"/>
      <c r="I116" s="1074"/>
      <c r="J116" s="1074"/>
      <c r="K116" s="1074"/>
      <c r="L116" s="1074"/>
      <c r="M116" s="1074"/>
      <c r="N116" s="1074"/>
      <c r="O116" s="1074"/>
      <c r="P116" s="1074"/>
      <c r="Q116" s="1074"/>
      <c r="R116" s="1074"/>
      <c r="S116" s="1074"/>
      <c r="T116" s="1074"/>
      <c r="U116" s="1074"/>
      <c r="V116" s="1074"/>
      <c r="W116" s="1074"/>
      <c r="X116" s="1074"/>
      <c r="Y116" s="1074"/>
      <c r="Z116" s="1074"/>
      <c r="AA116" s="1074"/>
      <c r="AB116" s="1074"/>
      <c r="AC116" s="1074"/>
      <c r="AD116" s="1074"/>
      <c r="AE116" s="1074"/>
      <c r="AF116" s="1074"/>
      <c r="AG116" s="1075"/>
      <c r="AH116" s="1051"/>
      <c r="AI116" s="1076"/>
      <c r="AJ116" s="1042"/>
      <c r="AK116" s="1039"/>
    </row>
    <row r="117" ht="4.5" customHeight="1">
      <c r="A117" s="1039"/>
      <c r="B117" s="1042"/>
      <c r="C117" s="1077"/>
      <c r="D117" s="1051"/>
      <c r="E117" s="1051"/>
      <c r="F117" s="1051"/>
      <c r="G117" s="1051"/>
      <c r="H117" s="1051"/>
      <c r="I117" s="1051"/>
      <c r="J117" s="1051"/>
      <c r="K117" s="1051"/>
      <c r="L117" s="1051"/>
      <c r="M117" s="1051"/>
      <c r="N117" s="1051"/>
      <c r="O117" s="1051"/>
      <c r="P117" s="1051"/>
      <c r="Q117" s="1051"/>
      <c r="R117" s="1051"/>
      <c r="S117" s="1051"/>
      <c r="T117" s="1051"/>
      <c r="U117" s="1051"/>
      <c r="V117" s="1051"/>
      <c r="W117" s="1051"/>
      <c r="X117" s="1051"/>
      <c r="Y117" s="1051"/>
      <c r="Z117" s="1051"/>
      <c r="AA117" s="1051"/>
      <c r="AB117" s="1051"/>
      <c r="AC117" s="1051"/>
      <c r="AD117" s="1051"/>
      <c r="AE117" s="1051"/>
      <c r="AF117" s="1051"/>
      <c r="AG117" s="1051"/>
      <c r="AH117" s="1051"/>
      <c r="AI117" s="1076"/>
      <c r="AJ117" s="1042"/>
      <c r="AK117" s="1039"/>
    </row>
    <row r="118" ht="5.25" customHeight="1">
      <c r="A118" s="1039"/>
      <c r="B118" s="1042"/>
      <c r="C118" s="1042"/>
      <c r="D118" s="1042"/>
      <c r="E118" s="1042"/>
      <c r="F118" s="1042"/>
      <c r="G118" s="1042"/>
      <c r="H118" s="1042"/>
      <c r="I118" s="1042"/>
      <c r="J118" s="1042"/>
      <c r="K118" s="1042"/>
      <c r="L118" s="1042"/>
      <c r="M118" s="1042"/>
      <c r="N118" s="1042"/>
      <c r="O118" s="1042"/>
      <c r="P118" s="1042"/>
      <c r="Q118" s="1042"/>
      <c r="R118" s="1042"/>
      <c r="S118" s="1042"/>
      <c r="T118" s="1042"/>
      <c r="U118" s="1042"/>
      <c r="V118" s="1042"/>
      <c r="W118" s="1042"/>
      <c r="X118" s="1042"/>
      <c r="Y118" s="1042"/>
      <c r="Z118" s="1042"/>
      <c r="AA118" s="1042"/>
      <c r="AB118" s="1042"/>
      <c r="AC118" s="1042"/>
      <c r="AD118" s="1042"/>
      <c r="AE118" s="1042"/>
      <c r="AF118" s="1042"/>
      <c r="AG118" s="1042"/>
      <c r="AH118" s="1042"/>
      <c r="AI118" s="1042"/>
      <c r="AJ118" s="1042"/>
      <c r="AK118" s="1039"/>
    </row>
    <row r="119" ht="3.75" customHeight="1">
      <c r="A119" s="1039"/>
      <c r="B119" s="1039"/>
      <c r="C119" s="1039"/>
      <c r="D119" s="1039"/>
      <c r="E119" s="1039"/>
      <c r="F119" s="1039"/>
      <c r="G119" s="1039"/>
      <c r="H119" s="1039"/>
      <c r="I119" s="1039"/>
      <c r="J119" s="1039"/>
      <c r="K119" s="1039"/>
      <c r="L119" s="1039"/>
      <c r="M119" s="1039"/>
      <c r="N119" s="1039"/>
      <c r="O119" s="1039"/>
      <c r="P119" s="1039"/>
      <c r="Q119" s="1039"/>
      <c r="R119" s="1039"/>
      <c r="S119" s="1039"/>
      <c r="T119" s="1039"/>
      <c r="U119" s="1039"/>
      <c r="V119" s="1039"/>
      <c r="W119" s="1039"/>
      <c r="X119" s="1039"/>
      <c r="Y119" s="1039"/>
      <c r="Z119" s="1039"/>
      <c r="AA119" s="1039"/>
      <c r="AB119" s="1039"/>
      <c r="AC119" s="1039"/>
      <c r="AD119" s="1039"/>
      <c r="AE119" s="1039"/>
      <c r="AF119" s="1039"/>
      <c r="AG119" s="1039"/>
      <c r="AH119" s="1039"/>
      <c r="AI119" s="1039"/>
      <c r="AJ119" s="1039"/>
      <c r="AK119" s="1039"/>
    </row>
    <row r="120" ht="5.25" customHeight="1">
      <c r="A120" s="1041"/>
      <c r="B120" s="1042"/>
      <c r="C120" s="1042"/>
      <c r="D120" s="1042"/>
      <c r="E120" s="1042"/>
      <c r="F120" s="1042"/>
      <c r="G120" s="1042"/>
      <c r="H120" s="1042"/>
      <c r="I120" s="1042"/>
      <c r="J120" s="1042"/>
      <c r="K120" s="1042"/>
      <c r="L120" s="1042"/>
      <c r="M120" s="1042"/>
      <c r="N120" s="1042"/>
      <c r="O120" s="1042"/>
      <c r="P120" s="1042"/>
      <c r="Q120" s="1042"/>
      <c r="R120" s="1042"/>
      <c r="S120" s="1042"/>
      <c r="T120" s="1042"/>
      <c r="U120" s="1042"/>
      <c r="V120" s="1042"/>
      <c r="W120" s="1042"/>
      <c r="X120" s="1042"/>
      <c r="Y120" s="1042"/>
      <c r="Z120" s="1042"/>
      <c r="AA120" s="1042"/>
      <c r="AB120" s="1042"/>
      <c r="AC120" s="1042"/>
      <c r="AD120" s="1042"/>
      <c r="AE120" s="1042"/>
      <c r="AF120" s="1042"/>
      <c r="AG120" s="1042"/>
      <c r="AH120" s="1042"/>
      <c r="AI120" s="1042"/>
      <c r="AJ120" s="1042"/>
      <c r="AK120" s="1039"/>
    </row>
    <row r="121" ht="5.25" customHeight="1">
      <c r="A121" s="1039"/>
      <c r="B121" s="1042"/>
      <c r="C121" s="1043"/>
      <c r="D121" s="1044"/>
      <c r="E121" s="1044"/>
      <c r="F121" s="1044"/>
      <c r="G121" s="1044"/>
      <c r="H121" s="1044"/>
      <c r="I121" s="1044"/>
      <c r="J121" s="1044"/>
      <c r="K121" s="1044"/>
      <c r="L121" s="1044"/>
      <c r="M121" s="1044"/>
      <c r="N121" s="1044"/>
      <c r="O121" s="1044"/>
      <c r="P121" s="1044"/>
      <c r="Q121" s="1044"/>
      <c r="R121" s="1044"/>
      <c r="S121" s="1044"/>
      <c r="T121" s="1044"/>
      <c r="U121" s="1044"/>
      <c r="V121" s="1044"/>
      <c r="W121" s="1044"/>
      <c r="X121" s="1044"/>
      <c r="Y121" s="1044"/>
      <c r="Z121" s="1044"/>
      <c r="AA121" s="1044"/>
      <c r="AB121" s="1044"/>
      <c r="AC121" s="1044"/>
      <c r="AD121" s="1044"/>
      <c r="AE121" s="1044"/>
      <c r="AF121" s="1044"/>
      <c r="AG121" s="1045"/>
      <c r="AH121" s="1045"/>
      <c r="AI121" s="1046"/>
      <c r="AJ121" s="1042"/>
      <c r="AK121" s="1039"/>
    </row>
    <row r="122" ht="9.0" customHeight="1">
      <c r="A122" s="1039"/>
      <c r="B122" s="1042"/>
      <c r="C122" s="1047"/>
      <c r="D122" s="1048"/>
      <c r="E122" s="1049"/>
      <c r="F122" s="1049"/>
      <c r="G122" s="1049"/>
      <c r="H122" s="1049"/>
      <c r="I122" s="1049"/>
      <c r="J122" s="1049"/>
      <c r="K122" s="1049"/>
      <c r="L122" s="1049"/>
      <c r="M122" s="1049"/>
      <c r="N122" s="1049"/>
      <c r="O122" s="1049"/>
      <c r="P122" s="1049"/>
      <c r="Q122" s="1049"/>
      <c r="R122" s="1049"/>
      <c r="S122" s="1049"/>
      <c r="T122" s="1049"/>
      <c r="U122" s="1049"/>
      <c r="V122" s="1049"/>
      <c r="W122" s="1049"/>
      <c r="X122" s="1049"/>
      <c r="Y122" s="1049"/>
      <c r="Z122" s="1049"/>
      <c r="AA122" s="1049"/>
      <c r="AB122" s="1049"/>
      <c r="AC122" s="1049"/>
      <c r="AD122" s="1049"/>
      <c r="AE122" s="1049"/>
      <c r="AF122" s="1049"/>
      <c r="AG122" s="1050"/>
      <c r="AH122" s="1051"/>
      <c r="AI122" s="1052"/>
      <c r="AJ122" s="1042"/>
      <c r="AK122" s="1039"/>
    </row>
    <row r="123" ht="3.75" customHeight="1">
      <c r="A123" s="1039"/>
      <c r="B123" s="1042"/>
      <c r="C123" s="1053"/>
      <c r="D123" s="1050"/>
      <c r="E123" s="1054"/>
      <c r="F123" s="1055"/>
      <c r="G123" s="1055"/>
      <c r="H123" s="1055"/>
      <c r="I123" s="1055"/>
      <c r="J123" s="1055"/>
      <c r="K123" s="1055"/>
      <c r="L123" s="1055"/>
      <c r="M123" s="1055"/>
      <c r="N123" s="1055"/>
      <c r="O123" s="1055"/>
      <c r="P123" s="1055"/>
      <c r="Q123" s="1055"/>
      <c r="R123" s="1055"/>
      <c r="S123" s="1055"/>
      <c r="T123" s="1055"/>
      <c r="U123" s="1055"/>
      <c r="V123" s="1055"/>
      <c r="W123" s="1055"/>
      <c r="X123" s="1055"/>
      <c r="Y123" s="1055"/>
      <c r="Z123" s="1055"/>
      <c r="AA123" s="1055"/>
      <c r="AB123" s="1055"/>
      <c r="AC123" s="1055"/>
      <c r="AD123" s="1055"/>
      <c r="AE123" s="1055"/>
      <c r="AF123" s="1056"/>
      <c r="AG123" s="1057"/>
      <c r="AH123" s="1051"/>
      <c r="AI123" s="1052"/>
      <c r="AJ123" s="1042"/>
      <c r="AK123" s="1039"/>
    </row>
    <row r="124">
      <c r="A124" s="1039"/>
      <c r="B124" s="1042"/>
      <c r="C124" s="1053"/>
      <c r="D124" s="1050"/>
      <c r="E124" s="1058"/>
      <c r="F124" s="1078" t="s">
        <v>1435</v>
      </c>
      <c r="G124" s="1060"/>
      <c r="H124" s="1060"/>
      <c r="I124" s="1060"/>
      <c r="J124" s="1060"/>
      <c r="K124" s="1060"/>
      <c r="L124" s="1060"/>
      <c r="M124" s="1060"/>
      <c r="N124" s="1060"/>
      <c r="O124" s="1060"/>
      <c r="P124" s="1060"/>
      <c r="Q124" s="1060"/>
      <c r="R124" s="1060"/>
      <c r="S124" s="1060"/>
      <c r="T124" s="1060"/>
      <c r="U124" s="1060"/>
      <c r="V124" s="1060"/>
      <c r="W124" s="1060"/>
      <c r="X124" s="1060"/>
      <c r="Y124" s="1060"/>
      <c r="Z124" s="1060"/>
      <c r="AA124" s="1060"/>
      <c r="AB124" s="1060"/>
      <c r="AC124" s="1060"/>
      <c r="AD124" s="1060"/>
      <c r="AE124" s="1061"/>
      <c r="AF124" s="1062"/>
      <c r="AG124" s="1057"/>
      <c r="AH124" s="1051"/>
      <c r="AI124" s="1052"/>
      <c r="AJ124" s="1042"/>
      <c r="AK124" s="1039"/>
    </row>
    <row r="125" ht="7.5" customHeight="1">
      <c r="A125" s="1039"/>
      <c r="B125" s="1042"/>
      <c r="C125" s="1053"/>
      <c r="D125" s="1050"/>
      <c r="E125" s="1058"/>
      <c r="F125" s="1063"/>
      <c r="G125" s="1063"/>
      <c r="H125" s="1063"/>
      <c r="I125" s="1063"/>
      <c r="J125" s="1063"/>
      <c r="K125" s="1063"/>
      <c r="L125" s="1063"/>
      <c r="M125" s="1063"/>
      <c r="N125" s="1063"/>
      <c r="O125" s="1063"/>
      <c r="P125" s="1063"/>
      <c r="Q125" s="1063"/>
      <c r="R125" s="1063"/>
      <c r="S125" s="1063"/>
      <c r="T125" s="1063"/>
      <c r="U125" s="1063"/>
      <c r="V125" s="1063"/>
      <c r="W125" s="1063"/>
      <c r="X125" s="1063"/>
      <c r="Y125" s="1063"/>
      <c r="Z125" s="1063"/>
      <c r="AA125" s="1063"/>
      <c r="AB125" s="1063"/>
      <c r="AC125" s="1063"/>
      <c r="AD125" s="1063"/>
      <c r="AE125" s="1063"/>
      <c r="AF125" s="1062"/>
      <c r="AG125" s="1057"/>
      <c r="AH125" s="1051"/>
      <c r="AI125" s="1052"/>
      <c r="AJ125" s="1042"/>
      <c r="AK125" s="1039"/>
    </row>
    <row r="126" ht="18.75" customHeight="1">
      <c r="A126" s="1039"/>
      <c r="B126" s="1042"/>
      <c r="C126" s="1053"/>
      <c r="D126" s="1050"/>
      <c r="E126" s="1058"/>
      <c r="F126" s="1064" t="str">
        <f>Source!$AB$16</f>
        <v/>
      </c>
      <c r="G126" s="1065" t="s">
        <v>1436</v>
      </c>
      <c r="H126" s="1060"/>
      <c r="I126" s="1060"/>
      <c r="J126" s="1060"/>
      <c r="K126" s="1060"/>
      <c r="L126" s="1060"/>
      <c r="M126" s="1060"/>
      <c r="N126" s="1060"/>
      <c r="O126" s="1060"/>
      <c r="P126" s="1060"/>
      <c r="Q126" s="1060"/>
      <c r="R126" s="1060"/>
      <c r="S126" s="1060"/>
      <c r="T126" s="1060"/>
      <c r="U126" s="1060"/>
      <c r="V126" s="1060"/>
      <c r="W126" s="1060"/>
      <c r="X126" s="1061"/>
      <c r="Y126" s="1066" t="str">
        <f>Source!$B$8</f>
        <v/>
      </c>
      <c r="Z126" s="1061"/>
      <c r="AA126" s="1067">
        <v>200.0</v>
      </c>
      <c r="AB126" s="1060"/>
      <c r="AC126" s="1060"/>
      <c r="AD126" s="1060"/>
      <c r="AE126" s="1061"/>
      <c r="AF126" s="1062"/>
      <c r="AG126" s="1057"/>
      <c r="AH126" s="1051"/>
      <c r="AI126" s="1052"/>
      <c r="AJ126" s="1042"/>
      <c r="AK126" s="1039"/>
    </row>
    <row r="127" ht="7.5" customHeight="1">
      <c r="A127" s="1039"/>
      <c r="B127" s="1042"/>
      <c r="C127" s="1053"/>
      <c r="D127" s="1050"/>
      <c r="E127" s="1058"/>
      <c r="F127" s="1064"/>
      <c r="G127" s="1068"/>
      <c r="H127" s="1069"/>
      <c r="I127" s="1068"/>
      <c r="J127" s="1063"/>
      <c r="K127" s="1068"/>
      <c r="L127" s="1063"/>
      <c r="M127" s="1068"/>
      <c r="N127" s="1063"/>
      <c r="O127" s="1068"/>
      <c r="P127" s="1063"/>
      <c r="Q127" s="1068"/>
      <c r="R127" s="1063"/>
      <c r="S127" s="1068"/>
      <c r="T127" s="1063"/>
      <c r="U127" s="1068"/>
      <c r="V127" s="1063"/>
      <c r="W127" s="1068"/>
      <c r="X127" s="1063"/>
      <c r="Y127" s="1068"/>
      <c r="Z127" s="1063"/>
      <c r="AA127" s="1068"/>
      <c r="AB127" s="1063"/>
      <c r="AC127" s="1068"/>
      <c r="AD127" s="1063"/>
      <c r="AE127" s="1068"/>
      <c r="AF127" s="1062"/>
      <c r="AG127" s="1057"/>
      <c r="AH127" s="1051"/>
      <c r="AI127" s="1052"/>
      <c r="AJ127" s="1042"/>
      <c r="AK127" s="1039"/>
    </row>
    <row r="128" ht="18.75" customHeight="1">
      <c r="A128" s="1039"/>
      <c r="B128" s="1042"/>
      <c r="C128" s="1053"/>
      <c r="D128" s="1050"/>
      <c r="E128" s="1058"/>
      <c r="F128" s="1064" t="str">
        <f>Source!$AB$50</f>
        <v/>
      </c>
      <c r="G128" s="1065" t="s">
        <v>1437</v>
      </c>
      <c r="H128" s="1060"/>
      <c r="I128" s="1060"/>
      <c r="J128" s="1060"/>
      <c r="K128" s="1060"/>
      <c r="L128" s="1060"/>
      <c r="M128" s="1060"/>
      <c r="N128" s="1060"/>
      <c r="O128" s="1060"/>
      <c r="P128" s="1060"/>
      <c r="Q128" s="1060"/>
      <c r="R128" s="1060"/>
      <c r="S128" s="1060"/>
      <c r="T128" s="1060"/>
      <c r="U128" s="1060"/>
      <c r="V128" s="1060"/>
      <c r="W128" s="1060"/>
      <c r="X128" s="1061"/>
      <c r="Y128" s="1066" t="str">
        <f>Source!$B$8</f>
        <v/>
      </c>
      <c r="Z128" s="1061"/>
      <c r="AA128" s="1067">
        <v>300.0</v>
      </c>
      <c r="AB128" s="1060"/>
      <c r="AC128" s="1060"/>
      <c r="AD128" s="1060"/>
      <c r="AE128" s="1061"/>
      <c r="AF128" s="1062"/>
      <c r="AG128" s="1057"/>
      <c r="AH128" s="1051"/>
      <c r="AI128" s="1052"/>
      <c r="AJ128" s="1042"/>
      <c r="AK128" s="1039"/>
    </row>
    <row r="129" ht="7.5" customHeight="1">
      <c r="A129" s="1039"/>
      <c r="B129" s="1042"/>
      <c r="C129" s="1053"/>
      <c r="D129" s="1050"/>
      <c r="E129" s="1058"/>
      <c r="F129" s="1064"/>
      <c r="G129" s="1068"/>
      <c r="H129" s="1069"/>
      <c r="I129" s="1068"/>
      <c r="J129" s="1063"/>
      <c r="K129" s="1068"/>
      <c r="L129" s="1063"/>
      <c r="M129" s="1068"/>
      <c r="N129" s="1063"/>
      <c r="O129" s="1068"/>
      <c r="P129" s="1063"/>
      <c r="Q129" s="1068"/>
      <c r="R129" s="1063"/>
      <c r="S129" s="1068"/>
      <c r="T129" s="1063"/>
      <c r="U129" s="1068"/>
      <c r="V129" s="1063"/>
      <c r="W129" s="1068"/>
      <c r="X129" s="1063"/>
      <c r="Y129" s="1068"/>
      <c r="Z129" s="1063"/>
      <c r="AA129" s="1068"/>
      <c r="AB129" s="1063"/>
      <c r="AC129" s="1068"/>
      <c r="AD129" s="1063"/>
      <c r="AE129" s="1068"/>
      <c r="AF129" s="1062"/>
      <c r="AG129" s="1057"/>
      <c r="AH129" s="1051"/>
      <c r="AI129" s="1052"/>
      <c r="AJ129" s="1042"/>
      <c r="AK129" s="1039"/>
    </row>
    <row r="130" ht="18.75" customHeight="1">
      <c r="A130" s="1039"/>
      <c r="B130" s="1042"/>
      <c r="C130" s="1053"/>
      <c r="D130" s="1050"/>
      <c r="E130" s="1058"/>
      <c r="F130" s="1064" t="str">
        <f>Source!$AB$27</f>
        <v/>
      </c>
      <c r="G130" s="1065" t="s">
        <v>1438</v>
      </c>
      <c r="H130" s="1060"/>
      <c r="I130" s="1060"/>
      <c r="J130" s="1060"/>
      <c r="K130" s="1060"/>
      <c r="L130" s="1060"/>
      <c r="M130" s="1060"/>
      <c r="N130" s="1060"/>
      <c r="O130" s="1060"/>
      <c r="P130" s="1060"/>
      <c r="Q130" s="1060"/>
      <c r="R130" s="1060"/>
      <c r="S130" s="1060"/>
      <c r="T130" s="1060"/>
      <c r="U130" s="1060"/>
      <c r="V130" s="1060"/>
      <c r="W130" s="1060"/>
      <c r="X130" s="1061"/>
      <c r="Y130" s="1066" t="str">
        <f>Source!$B$8</f>
        <v/>
      </c>
      <c r="Z130" s="1061"/>
      <c r="AA130" s="1067">
        <v>350.0</v>
      </c>
      <c r="AB130" s="1060"/>
      <c r="AC130" s="1060"/>
      <c r="AD130" s="1060"/>
      <c r="AE130" s="1061"/>
      <c r="AF130" s="1062"/>
      <c r="AG130" s="1057"/>
      <c r="AH130" s="1051"/>
      <c r="AI130" s="1052"/>
      <c r="AJ130" s="1042"/>
      <c r="AK130" s="1039"/>
    </row>
    <row r="131" ht="3.75" customHeight="1">
      <c r="A131" s="1039"/>
      <c r="B131" s="1042"/>
      <c r="C131" s="1053"/>
      <c r="D131" s="1050"/>
      <c r="E131" s="1070"/>
      <c r="F131" s="1071"/>
      <c r="G131" s="1071"/>
      <c r="H131" s="1071"/>
      <c r="I131" s="1071"/>
      <c r="J131" s="1071"/>
      <c r="K131" s="1071"/>
      <c r="L131" s="1071"/>
      <c r="M131" s="1071"/>
      <c r="N131" s="1071"/>
      <c r="O131" s="1071"/>
      <c r="P131" s="1071"/>
      <c r="Q131" s="1071"/>
      <c r="R131" s="1071"/>
      <c r="S131" s="1071"/>
      <c r="T131" s="1071"/>
      <c r="U131" s="1071"/>
      <c r="V131" s="1071"/>
      <c r="W131" s="1071"/>
      <c r="X131" s="1071"/>
      <c r="Y131" s="1071"/>
      <c r="Z131" s="1071"/>
      <c r="AA131" s="1071"/>
      <c r="AB131" s="1071"/>
      <c r="AC131" s="1071"/>
      <c r="AD131" s="1071"/>
      <c r="AE131" s="1071"/>
      <c r="AF131" s="1072"/>
      <c r="AG131" s="1057"/>
      <c r="AH131" s="1051"/>
      <c r="AI131" s="1052"/>
      <c r="AJ131" s="1042"/>
      <c r="AK131" s="1039"/>
    </row>
    <row r="132" ht="9.0" customHeight="1">
      <c r="A132" s="1039"/>
      <c r="B132" s="1042"/>
      <c r="C132" s="1073"/>
      <c r="D132" s="1049"/>
      <c r="E132" s="1074"/>
      <c r="F132" s="1074"/>
      <c r="G132" s="1074"/>
      <c r="H132" s="1074"/>
      <c r="I132" s="1074"/>
      <c r="J132" s="1074"/>
      <c r="K132" s="1074"/>
      <c r="L132" s="1074"/>
      <c r="M132" s="1074"/>
      <c r="N132" s="1074"/>
      <c r="O132" s="1074"/>
      <c r="P132" s="1074"/>
      <c r="Q132" s="1074"/>
      <c r="R132" s="1074"/>
      <c r="S132" s="1074"/>
      <c r="T132" s="1074"/>
      <c r="U132" s="1074"/>
      <c r="V132" s="1074"/>
      <c r="W132" s="1074"/>
      <c r="X132" s="1074"/>
      <c r="Y132" s="1074"/>
      <c r="Z132" s="1074"/>
      <c r="AA132" s="1074"/>
      <c r="AB132" s="1074"/>
      <c r="AC132" s="1074"/>
      <c r="AD132" s="1074"/>
      <c r="AE132" s="1074"/>
      <c r="AF132" s="1074"/>
      <c r="AG132" s="1075"/>
      <c r="AH132" s="1051"/>
      <c r="AI132" s="1076"/>
      <c r="AJ132" s="1042"/>
      <c r="AK132" s="1039"/>
    </row>
    <row r="133" ht="4.5" customHeight="1">
      <c r="A133" s="1039"/>
      <c r="B133" s="1042"/>
      <c r="C133" s="1077"/>
      <c r="D133" s="1051"/>
      <c r="E133" s="1051"/>
      <c r="F133" s="1051"/>
      <c r="G133" s="1051"/>
      <c r="H133" s="1051"/>
      <c r="I133" s="1051"/>
      <c r="J133" s="1051"/>
      <c r="K133" s="1051"/>
      <c r="L133" s="1051"/>
      <c r="M133" s="1051"/>
      <c r="N133" s="1051"/>
      <c r="O133" s="1051"/>
      <c r="P133" s="1051"/>
      <c r="Q133" s="1051"/>
      <c r="R133" s="1051"/>
      <c r="S133" s="1051"/>
      <c r="T133" s="1051"/>
      <c r="U133" s="1051"/>
      <c r="V133" s="1051"/>
      <c r="W133" s="1051"/>
      <c r="X133" s="1051"/>
      <c r="Y133" s="1051"/>
      <c r="Z133" s="1051"/>
      <c r="AA133" s="1051"/>
      <c r="AB133" s="1051"/>
      <c r="AC133" s="1051"/>
      <c r="AD133" s="1051"/>
      <c r="AE133" s="1051"/>
      <c r="AF133" s="1051"/>
      <c r="AG133" s="1051"/>
      <c r="AH133" s="1051"/>
      <c r="AI133" s="1076"/>
      <c r="AJ133" s="1042"/>
      <c r="AK133" s="1039"/>
    </row>
    <row r="134" ht="5.25" customHeight="1">
      <c r="A134" s="1039"/>
      <c r="B134" s="1042"/>
      <c r="C134" s="1042"/>
      <c r="D134" s="1042"/>
      <c r="E134" s="1042"/>
      <c r="F134" s="1042"/>
      <c r="G134" s="1042"/>
      <c r="H134" s="1042"/>
      <c r="I134" s="1042"/>
      <c r="J134" s="1042"/>
      <c r="K134" s="1042"/>
      <c r="L134" s="1042"/>
      <c r="M134" s="1042"/>
      <c r="N134" s="1042"/>
      <c r="O134" s="1042"/>
      <c r="P134" s="1042"/>
      <c r="Q134" s="1042"/>
      <c r="R134" s="1042"/>
      <c r="S134" s="1042"/>
      <c r="T134" s="1042"/>
      <c r="U134" s="1042"/>
      <c r="V134" s="1042"/>
      <c r="W134" s="1042"/>
      <c r="X134" s="1042"/>
      <c r="Y134" s="1042"/>
      <c r="Z134" s="1042"/>
      <c r="AA134" s="1042"/>
      <c r="AB134" s="1042"/>
      <c r="AC134" s="1042"/>
      <c r="AD134" s="1042"/>
      <c r="AE134" s="1042"/>
      <c r="AF134" s="1042"/>
      <c r="AG134" s="1042"/>
      <c r="AH134" s="1042"/>
      <c r="AI134" s="1042"/>
      <c r="AJ134" s="1042"/>
      <c r="AK134" s="1039"/>
    </row>
    <row r="135" ht="3.75" customHeight="1">
      <c r="A135" s="1039"/>
      <c r="B135" s="1039"/>
      <c r="C135" s="1039"/>
      <c r="D135" s="1039"/>
      <c r="E135" s="1039"/>
      <c r="F135" s="1039"/>
      <c r="G135" s="1039"/>
      <c r="H135" s="1039"/>
      <c r="I135" s="1039"/>
      <c r="J135" s="1039"/>
      <c r="K135" s="1039"/>
      <c r="L135" s="1039"/>
      <c r="M135" s="1039"/>
      <c r="N135" s="1039"/>
      <c r="O135" s="1039"/>
      <c r="P135" s="1039"/>
      <c r="Q135" s="1039"/>
      <c r="R135" s="1039"/>
      <c r="S135" s="1039"/>
      <c r="T135" s="1039"/>
      <c r="U135" s="1039"/>
      <c r="V135" s="1039"/>
      <c r="W135" s="1039"/>
      <c r="X135" s="1039"/>
      <c r="Y135" s="1039"/>
      <c r="Z135" s="1039"/>
      <c r="AA135" s="1039"/>
      <c r="AB135" s="1039"/>
      <c r="AC135" s="1039"/>
      <c r="AD135" s="1039"/>
      <c r="AE135" s="1039"/>
      <c r="AF135" s="1039"/>
      <c r="AG135" s="1039"/>
      <c r="AH135" s="1039"/>
      <c r="AI135" s="1039"/>
      <c r="AJ135" s="1039"/>
      <c r="AK135" s="1039"/>
    </row>
    <row r="136" ht="5.25" customHeight="1">
      <c r="A136" s="1041"/>
      <c r="B136" s="1042"/>
      <c r="C136" s="1042"/>
      <c r="D136" s="1042"/>
      <c r="E136" s="1042"/>
      <c r="F136" s="1042"/>
      <c r="G136" s="1042"/>
      <c r="H136" s="1042"/>
      <c r="I136" s="1042"/>
      <c r="J136" s="1042"/>
      <c r="K136" s="1042"/>
      <c r="L136" s="1042"/>
      <c r="M136" s="1042"/>
      <c r="N136" s="1042"/>
      <c r="O136" s="1042"/>
      <c r="P136" s="1042"/>
      <c r="Q136" s="1042"/>
      <c r="R136" s="1042"/>
      <c r="S136" s="1042"/>
      <c r="T136" s="1042"/>
      <c r="U136" s="1042"/>
      <c r="V136" s="1042"/>
      <c r="W136" s="1042"/>
      <c r="X136" s="1042"/>
      <c r="Y136" s="1042"/>
      <c r="Z136" s="1042"/>
      <c r="AA136" s="1042"/>
      <c r="AB136" s="1042"/>
      <c r="AC136" s="1042"/>
      <c r="AD136" s="1042"/>
      <c r="AE136" s="1042"/>
      <c r="AF136" s="1042"/>
      <c r="AG136" s="1042"/>
      <c r="AH136" s="1042"/>
      <c r="AI136" s="1042"/>
      <c r="AJ136" s="1042"/>
      <c r="AK136" s="1039"/>
    </row>
    <row r="137" ht="5.25" customHeight="1">
      <c r="A137" s="1039"/>
      <c r="B137" s="1042"/>
      <c r="C137" s="1043"/>
      <c r="D137" s="1044"/>
      <c r="E137" s="1044"/>
      <c r="F137" s="1044"/>
      <c r="G137" s="1044"/>
      <c r="H137" s="1044"/>
      <c r="I137" s="1044"/>
      <c r="J137" s="1044"/>
      <c r="K137" s="1044"/>
      <c r="L137" s="1044"/>
      <c r="M137" s="1044"/>
      <c r="N137" s="1044"/>
      <c r="O137" s="1044"/>
      <c r="P137" s="1044"/>
      <c r="Q137" s="1044"/>
      <c r="R137" s="1044"/>
      <c r="S137" s="1044"/>
      <c r="T137" s="1044"/>
      <c r="U137" s="1044"/>
      <c r="V137" s="1044"/>
      <c r="W137" s="1044"/>
      <c r="X137" s="1044"/>
      <c r="Y137" s="1044"/>
      <c r="Z137" s="1044"/>
      <c r="AA137" s="1044"/>
      <c r="AB137" s="1044"/>
      <c r="AC137" s="1044"/>
      <c r="AD137" s="1044"/>
      <c r="AE137" s="1044"/>
      <c r="AF137" s="1044"/>
      <c r="AG137" s="1045"/>
      <c r="AH137" s="1045"/>
      <c r="AI137" s="1046"/>
      <c r="AJ137" s="1042"/>
      <c r="AK137" s="1039"/>
    </row>
    <row r="138" ht="9.0" customHeight="1">
      <c r="A138" s="1039"/>
      <c r="B138" s="1042"/>
      <c r="C138" s="1047"/>
      <c r="D138" s="1048"/>
      <c r="E138" s="1049"/>
      <c r="F138" s="1049"/>
      <c r="G138" s="1049"/>
      <c r="H138" s="1049"/>
      <c r="I138" s="1049"/>
      <c r="J138" s="1049"/>
      <c r="K138" s="1049"/>
      <c r="L138" s="1049"/>
      <c r="M138" s="1049"/>
      <c r="N138" s="1049"/>
      <c r="O138" s="1049"/>
      <c r="P138" s="1049"/>
      <c r="Q138" s="1049"/>
      <c r="R138" s="1049"/>
      <c r="S138" s="1049"/>
      <c r="T138" s="1049"/>
      <c r="U138" s="1049"/>
      <c r="V138" s="1049"/>
      <c r="W138" s="1049"/>
      <c r="X138" s="1049"/>
      <c r="Y138" s="1049"/>
      <c r="Z138" s="1049"/>
      <c r="AA138" s="1049"/>
      <c r="AB138" s="1049"/>
      <c r="AC138" s="1049"/>
      <c r="AD138" s="1049"/>
      <c r="AE138" s="1049"/>
      <c r="AF138" s="1049"/>
      <c r="AG138" s="1050"/>
      <c r="AH138" s="1051"/>
      <c r="AI138" s="1052"/>
      <c r="AJ138" s="1042"/>
      <c r="AK138" s="1039"/>
    </row>
    <row r="139" ht="3.75" customHeight="1">
      <c r="A139" s="1039"/>
      <c r="B139" s="1042"/>
      <c r="C139" s="1053"/>
      <c r="D139" s="1050"/>
      <c r="E139" s="1054"/>
      <c r="F139" s="1055"/>
      <c r="G139" s="1055"/>
      <c r="H139" s="1055"/>
      <c r="I139" s="1055"/>
      <c r="J139" s="1055"/>
      <c r="K139" s="1055"/>
      <c r="L139" s="1055"/>
      <c r="M139" s="1055"/>
      <c r="N139" s="1055"/>
      <c r="O139" s="1055"/>
      <c r="P139" s="1055"/>
      <c r="Q139" s="1055"/>
      <c r="R139" s="1055"/>
      <c r="S139" s="1055"/>
      <c r="T139" s="1055"/>
      <c r="U139" s="1055"/>
      <c r="V139" s="1055"/>
      <c r="W139" s="1055"/>
      <c r="X139" s="1055"/>
      <c r="Y139" s="1055"/>
      <c r="Z139" s="1055"/>
      <c r="AA139" s="1055"/>
      <c r="AB139" s="1055"/>
      <c r="AC139" s="1055"/>
      <c r="AD139" s="1055"/>
      <c r="AE139" s="1055"/>
      <c r="AF139" s="1056"/>
      <c r="AG139" s="1057"/>
      <c r="AH139" s="1051"/>
      <c r="AI139" s="1052"/>
      <c r="AJ139" s="1042"/>
      <c r="AK139" s="1039"/>
    </row>
    <row r="140">
      <c r="A140" s="1039"/>
      <c r="B140" s="1042"/>
      <c r="C140" s="1053"/>
      <c r="D140" s="1050"/>
      <c r="E140" s="1058"/>
      <c r="F140" s="1059" t="s">
        <v>1439</v>
      </c>
      <c r="G140" s="1060"/>
      <c r="H140" s="1060"/>
      <c r="I140" s="1060"/>
      <c r="J140" s="1060"/>
      <c r="K140" s="1060"/>
      <c r="L140" s="1060"/>
      <c r="M140" s="1060"/>
      <c r="N140" s="1060"/>
      <c r="O140" s="1060"/>
      <c r="P140" s="1060"/>
      <c r="Q140" s="1060"/>
      <c r="R140" s="1060"/>
      <c r="S140" s="1060"/>
      <c r="T140" s="1060"/>
      <c r="U140" s="1060"/>
      <c r="V140" s="1060"/>
      <c r="W140" s="1060"/>
      <c r="X140" s="1060"/>
      <c r="Y140" s="1060"/>
      <c r="Z140" s="1060"/>
      <c r="AA140" s="1060"/>
      <c r="AB140" s="1060"/>
      <c r="AC140" s="1060"/>
      <c r="AD140" s="1060"/>
      <c r="AE140" s="1061"/>
      <c r="AF140" s="1062"/>
      <c r="AG140" s="1057"/>
      <c r="AH140" s="1051"/>
      <c r="AI140" s="1052"/>
      <c r="AJ140" s="1042"/>
      <c r="AK140" s="1039"/>
    </row>
    <row r="141" ht="7.5" customHeight="1">
      <c r="A141" s="1039"/>
      <c r="B141" s="1042"/>
      <c r="C141" s="1053"/>
      <c r="D141" s="1050"/>
      <c r="E141" s="1058"/>
      <c r="F141" s="1063"/>
      <c r="G141" s="1063"/>
      <c r="H141" s="1063"/>
      <c r="I141" s="1063"/>
      <c r="J141" s="1063"/>
      <c r="K141" s="1063"/>
      <c r="L141" s="1063"/>
      <c r="M141" s="1063"/>
      <c r="N141" s="1063"/>
      <c r="O141" s="1063"/>
      <c r="P141" s="1063"/>
      <c r="Q141" s="1063"/>
      <c r="R141" s="1063"/>
      <c r="S141" s="1063"/>
      <c r="T141" s="1063"/>
      <c r="U141" s="1063"/>
      <c r="V141" s="1063"/>
      <c r="W141" s="1063"/>
      <c r="X141" s="1063"/>
      <c r="Y141" s="1063"/>
      <c r="Z141" s="1063"/>
      <c r="AA141" s="1063"/>
      <c r="AB141" s="1063"/>
      <c r="AC141" s="1063"/>
      <c r="AD141" s="1063"/>
      <c r="AE141" s="1063"/>
      <c r="AF141" s="1062"/>
      <c r="AG141" s="1057"/>
      <c r="AH141" s="1051"/>
      <c r="AI141" s="1052"/>
      <c r="AJ141" s="1042"/>
      <c r="AK141" s="1039"/>
    </row>
    <row r="142" ht="18.75" customHeight="1">
      <c r="A142" s="1039"/>
      <c r="B142" s="1042"/>
      <c r="C142" s="1053"/>
      <c r="D142" s="1050"/>
      <c r="E142" s="1058"/>
      <c r="F142" s="1064" t="str">
        <f>Source!$D$15</f>
        <v/>
      </c>
      <c r="G142" s="1065" t="s">
        <v>1440</v>
      </c>
      <c r="H142" s="1060"/>
      <c r="I142" s="1060"/>
      <c r="J142" s="1060"/>
      <c r="K142" s="1060"/>
      <c r="L142" s="1060"/>
      <c r="M142" s="1060"/>
      <c r="N142" s="1060"/>
      <c r="O142" s="1060"/>
      <c r="P142" s="1060"/>
      <c r="Q142" s="1060"/>
      <c r="R142" s="1060"/>
      <c r="S142" s="1060"/>
      <c r="T142" s="1060"/>
      <c r="U142" s="1060"/>
      <c r="V142" s="1060"/>
      <c r="W142" s="1060"/>
      <c r="X142" s="1061"/>
      <c r="Y142" s="1066" t="str">
        <f>Source!$B$8</f>
        <v/>
      </c>
      <c r="Z142" s="1061"/>
      <c r="AA142" s="1067" t="s">
        <v>1441</v>
      </c>
      <c r="AB142" s="1060"/>
      <c r="AC142" s="1060"/>
      <c r="AD142" s="1060"/>
      <c r="AE142" s="1061"/>
      <c r="AF142" s="1062"/>
      <c r="AG142" s="1057"/>
      <c r="AH142" s="1051"/>
      <c r="AI142" s="1052"/>
      <c r="AJ142" s="1042"/>
      <c r="AK142" s="1039"/>
    </row>
    <row r="143" ht="7.5" customHeight="1">
      <c r="A143" s="1039"/>
      <c r="B143" s="1042"/>
      <c r="C143" s="1053"/>
      <c r="D143" s="1050"/>
      <c r="E143" s="1058"/>
      <c r="F143" s="1064"/>
      <c r="G143" s="1068"/>
      <c r="H143" s="1069"/>
      <c r="I143" s="1068"/>
      <c r="J143" s="1063"/>
      <c r="K143" s="1068"/>
      <c r="L143" s="1063"/>
      <c r="M143" s="1068"/>
      <c r="N143" s="1063"/>
      <c r="O143" s="1068"/>
      <c r="P143" s="1063"/>
      <c r="Q143" s="1068"/>
      <c r="R143" s="1063"/>
      <c r="S143" s="1068"/>
      <c r="T143" s="1063"/>
      <c r="U143" s="1068"/>
      <c r="V143" s="1063"/>
      <c r="W143" s="1068"/>
      <c r="X143" s="1063"/>
      <c r="Y143" s="1068"/>
      <c r="Z143" s="1063"/>
      <c r="AA143" s="1068"/>
      <c r="AB143" s="1063"/>
      <c r="AC143" s="1068"/>
      <c r="AD143" s="1063"/>
      <c r="AE143" s="1068"/>
      <c r="AF143" s="1062"/>
      <c r="AG143" s="1057"/>
      <c r="AH143" s="1051"/>
      <c r="AI143" s="1052"/>
      <c r="AJ143" s="1042"/>
      <c r="AK143" s="1039"/>
    </row>
    <row r="144" ht="18.75" customHeight="1">
      <c r="A144" s="1039"/>
      <c r="B144" s="1042"/>
      <c r="C144" s="1053"/>
      <c r="D144" s="1050"/>
      <c r="E144" s="1058"/>
      <c r="F144" s="1064" t="str">
        <f>Source!$D$13</f>
        <v/>
      </c>
      <c r="G144" s="1079" t="s">
        <v>1442</v>
      </c>
      <c r="H144" s="1060"/>
      <c r="I144" s="1060"/>
      <c r="J144" s="1060"/>
      <c r="K144" s="1060"/>
      <c r="L144" s="1060"/>
      <c r="M144" s="1060"/>
      <c r="N144" s="1060"/>
      <c r="O144" s="1060"/>
      <c r="P144" s="1060"/>
      <c r="Q144" s="1060"/>
      <c r="R144" s="1060"/>
      <c r="S144" s="1060"/>
      <c r="T144" s="1060"/>
      <c r="U144" s="1060"/>
      <c r="V144" s="1060"/>
      <c r="W144" s="1060"/>
      <c r="X144" s="1061"/>
      <c r="Y144" s="1066" t="str">
        <f>Source!$B$8</f>
        <v/>
      </c>
      <c r="Z144" s="1061"/>
      <c r="AA144" s="1067" t="s">
        <v>1443</v>
      </c>
      <c r="AB144" s="1060"/>
      <c r="AC144" s="1060"/>
      <c r="AD144" s="1060"/>
      <c r="AE144" s="1061"/>
      <c r="AF144" s="1062"/>
      <c r="AG144" s="1057"/>
      <c r="AH144" s="1051"/>
      <c r="AI144" s="1052"/>
      <c r="AJ144" s="1042"/>
      <c r="AK144" s="1039"/>
    </row>
    <row r="145" ht="7.5" customHeight="1">
      <c r="A145" s="1039"/>
      <c r="B145" s="1042"/>
      <c r="C145" s="1053"/>
      <c r="D145" s="1050"/>
      <c r="E145" s="1058"/>
      <c r="F145" s="1064"/>
      <c r="G145" s="1068"/>
      <c r="H145" s="1069"/>
      <c r="I145" s="1068"/>
      <c r="J145" s="1063"/>
      <c r="K145" s="1068"/>
      <c r="L145" s="1063"/>
      <c r="M145" s="1068"/>
      <c r="N145" s="1063"/>
      <c r="O145" s="1068"/>
      <c r="P145" s="1063"/>
      <c r="Q145" s="1068"/>
      <c r="R145" s="1063"/>
      <c r="S145" s="1068"/>
      <c r="T145" s="1063"/>
      <c r="U145" s="1068"/>
      <c r="V145" s="1063"/>
      <c r="W145" s="1068"/>
      <c r="X145" s="1063"/>
      <c r="Y145" s="1068"/>
      <c r="Z145" s="1063"/>
      <c r="AA145" s="1068"/>
      <c r="AB145" s="1063"/>
      <c r="AC145" s="1068"/>
      <c r="AD145" s="1063"/>
      <c r="AE145" s="1068"/>
      <c r="AF145" s="1062"/>
      <c r="AG145" s="1057"/>
      <c r="AH145" s="1051"/>
      <c r="AI145" s="1052"/>
      <c r="AJ145" s="1042"/>
      <c r="AK145" s="1039"/>
    </row>
    <row r="146" ht="18.75" customHeight="1">
      <c r="A146" s="1039"/>
      <c r="B146" s="1042"/>
      <c r="C146" s="1053"/>
      <c r="D146" s="1050"/>
      <c r="E146" s="1058"/>
      <c r="F146" s="1064" t="str">
        <f>Source!$D$16</f>
        <v/>
      </c>
      <c r="G146" s="1079" t="s">
        <v>1444</v>
      </c>
      <c r="H146" s="1060"/>
      <c r="I146" s="1060"/>
      <c r="J146" s="1060"/>
      <c r="K146" s="1060"/>
      <c r="L146" s="1060"/>
      <c r="M146" s="1060"/>
      <c r="N146" s="1060"/>
      <c r="O146" s="1060"/>
      <c r="P146" s="1060"/>
      <c r="Q146" s="1060"/>
      <c r="R146" s="1060"/>
      <c r="S146" s="1060"/>
      <c r="T146" s="1060"/>
      <c r="U146" s="1060"/>
      <c r="V146" s="1060"/>
      <c r="W146" s="1060"/>
      <c r="X146" s="1061"/>
      <c r="Y146" s="1066" t="str">
        <f>Source!$B$8</f>
        <v/>
      </c>
      <c r="Z146" s="1061"/>
      <c r="AA146" s="1067" t="s">
        <v>1441</v>
      </c>
      <c r="AB146" s="1060"/>
      <c r="AC146" s="1060"/>
      <c r="AD146" s="1060"/>
      <c r="AE146" s="1061"/>
      <c r="AF146" s="1062"/>
      <c r="AG146" s="1057"/>
      <c r="AH146" s="1051"/>
      <c r="AI146" s="1052"/>
      <c r="AJ146" s="1042"/>
      <c r="AK146" s="1039"/>
    </row>
    <row r="147" ht="7.5" customHeight="1">
      <c r="A147" s="1039"/>
      <c r="B147" s="1042"/>
      <c r="C147" s="1053"/>
      <c r="D147" s="1050"/>
      <c r="E147" s="1058"/>
      <c r="F147" s="1064"/>
      <c r="G147" s="1068"/>
      <c r="H147" s="1069"/>
      <c r="I147" s="1068"/>
      <c r="J147" s="1063"/>
      <c r="K147" s="1068"/>
      <c r="L147" s="1063"/>
      <c r="M147" s="1068"/>
      <c r="N147" s="1063"/>
      <c r="O147" s="1068"/>
      <c r="P147" s="1063"/>
      <c r="Q147" s="1068"/>
      <c r="R147" s="1063"/>
      <c r="S147" s="1068"/>
      <c r="T147" s="1063"/>
      <c r="U147" s="1068"/>
      <c r="V147" s="1063"/>
      <c r="W147" s="1068"/>
      <c r="X147" s="1063"/>
      <c r="Y147" s="1068"/>
      <c r="Z147" s="1063"/>
      <c r="AA147" s="1068"/>
      <c r="AB147" s="1063"/>
      <c r="AC147" s="1068"/>
      <c r="AD147" s="1063"/>
      <c r="AE147" s="1068"/>
      <c r="AF147" s="1062"/>
      <c r="AG147" s="1057"/>
      <c r="AH147" s="1051"/>
      <c r="AI147" s="1052"/>
      <c r="AJ147" s="1042"/>
      <c r="AK147" s="1039"/>
    </row>
    <row r="148" ht="18.75" customHeight="1">
      <c r="A148" s="1039"/>
      <c r="B148" s="1042"/>
      <c r="C148" s="1053"/>
      <c r="D148" s="1050"/>
      <c r="E148" s="1058"/>
      <c r="F148" s="1064" t="str">
        <f>Source!$D$14</f>
        <v/>
      </c>
      <c r="G148" s="1079" t="s">
        <v>1445</v>
      </c>
      <c r="H148" s="1060"/>
      <c r="I148" s="1060"/>
      <c r="J148" s="1060"/>
      <c r="K148" s="1060"/>
      <c r="L148" s="1060"/>
      <c r="M148" s="1060"/>
      <c r="N148" s="1060"/>
      <c r="O148" s="1060"/>
      <c r="P148" s="1060"/>
      <c r="Q148" s="1060"/>
      <c r="R148" s="1060"/>
      <c r="S148" s="1060"/>
      <c r="T148" s="1060"/>
      <c r="U148" s="1060"/>
      <c r="V148" s="1060"/>
      <c r="W148" s="1060"/>
      <c r="X148" s="1061"/>
      <c r="Y148" s="1066" t="str">
        <f>Source!$B$8</f>
        <v/>
      </c>
      <c r="Z148" s="1061"/>
      <c r="AA148" s="1067" t="s">
        <v>1446</v>
      </c>
      <c r="AB148" s="1060"/>
      <c r="AC148" s="1060"/>
      <c r="AD148" s="1060"/>
      <c r="AE148" s="1061"/>
      <c r="AF148" s="1062"/>
      <c r="AG148" s="1057"/>
      <c r="AH148" s="1051"/>
      <c r="AI148" s="1052"/>
      <c r="AJ148" s="1042"/>
      <c r="AK148" s="1039"/>
    </row>
    <row r="149" ht="7.5" customHeight="1">
      <c r="A149" s="1039"/>
      <c r="B149" s="1042"/>
      <c r="C149" s="1053"/>
      <c r="D149" s="1050"/>
      <c r="E149" s="1058"/>
      <c r="F149" s="1064"/>
      <c r="G149" s="1068"/>
      <c r="H149" s="1069"/>
      <c r="I149" s="1068"/>
      <c r="J149" s="1063"/>
      <c r="K149" s="1068"/>
      <c r="L149" s="1063"/>
      <c r="M149" s="1068"/>
      <c r="N149" s="1063"/>
      <c r="O149" s="1068"/>
      <c r="P149" s="1063"/>
      <c r="Q149" s="1068"/>
      <c r="R149" s="1063"/>
      <c r="S149" s="1068"/>
      <c r="T149" s="1063"/>
      <c r="U149" s="1068"/>
      <c r="V149" s="1063"/>
      <c r="W149" s="1068"/>
      <c r="X149" s="1063"/>
      <c r="Y149" s="1068"/>
      <c r="Z149" s="1063"/>
      <c r="AA149" s="1068"/>
      <c r="AB149" s="1063"/>
      <c r="AC149" s="1068"/>
      <c r="AD149" s="1063"/>
      <c r="AE149" s="1068"/>
      <c r="AF149" s="1062"/>
      <c r="AG149" s="1057"/>
      <c r="AH149" s="1051"/>
      <c r="AI149" s="1052"/>
      <c r="AJ149" s="1042"/>
      <c r="AK149" s="1039"/>
    </row>
    <row r="150" ht="18.75" customHeight="1">
      <c r="A150" s="1039"/>
      <c r="B150" s="1042"/>
      <c r="C150" s="1053"/>
      <c r="D150" s="1050"/>
      <c r="E150" s="1058"/>
      <c r="F150" s="1064" t="str">
        <f>Source!$D$14</f>
        <v/>
      </c>
      <c r="G150" s="1079" t="s">
        <v>1447</v>
      </c>
      <c r="H150" s="1060"/>
      <c r="I150" s="1060"/>
      <c r="J150" s="1060"/>
      <c r="K150" s="1060"/>
      <c r="L150" s="1060"/>
      <c r="M150" s="1060"/>
      <c r="N150" s="1060"/>
      <c r="O150" s="1060"/>
      <c r="P150" s="1060"/>
      <c r="Q150" s="1060"/>
      <c r="R150" s="1060"/>
      <c r="S150" s="1060"/>
      <c r="T150" s="1060"/>
      <c r="U150" s="1060"/>
      <c r="V150" s="1060"/>
      <c r="W150" s="1060"/>
      <c r="X150" s="1061"/>
      <c r="Y150" s="1066" t="str">
        <f>Source!$B$8</f>
        <v/>
      </c>
      <c r="Z150" s="1061"/>
      <c r="AA150" s="1067" t="s">
        <v>1446</v>
      </c>
      <c r="AB150" s="1060"/>
      <c r="AC150" s="1060"/>
      <c r="AD150" s="1060"/>
      <c r="AE150" s="1061"/>
      <c r="AF150" s="1062"/>
      <c r="AG150" s="1057"/>
      <c r="AH150" s="1051"/>
      <c r="AI150" s="1052"/>
      <c r="AJ150" s="1042"/>
      <c r="AK150" s="1039"/>
    </row>
    <row r="151" ht="7.5" customHeight="1">
      <c r="A151" s="1039"/>
      <c r="B151" s="1042"/>
      <c r="C151" s="1053"/>
      <c r="D151" s="1050"/>
      <c r="E151" s="1058"/>
      <c r="F151" s="1064"/>
      <c r="G151" s="1068"/>
      <c r="H151" s="1069"/>
      <c r="I151" s="1068"/>
      <c r="J151" s="1063"/>
      <c r="K151" s="1068"/>
      <c r="L151" s="1063"/>
      <c r="M151" s="1068"/>
      <c r="N151" s="1063"/>
      <c r="O151" s="1068"/>
      <c r="P151" s="1063"/>
      <c r="Q151" s="1068"/>
      <c r="R151" s="1063"/>
      <c r="S151" s="1068"/>
      <c r="T151" s="1063"/>
      <c r="U151" s="1068"/>
      <c r="V151" s="1063"/>
      <c r="W151" s="1068"/>
      <c r="X151" s="1063"/>
      <c r="Y151" s="1068"/>
      <c r="Z151" s="1063"/>
      <c r="AA151" s="1068"/>
      <c r="AB151" s="1063"/>
      <c r="AC151" s="1068"/>
      <c r="AD151" s="1063"/>
      <c r="AE151" s="1068"/>
      <c r="AF151" s="1062"/>
      <c r="AG151" s="1057"/>
      <c r="AH151" s="1051"/>
      <c r="AI151" s="1052"/>
      <c r="AJ151" s="1042"/>
      <c r="AK151" s="1039"/>
    </row>
    <row r="152" ht="18.75" customHeight="1">
      <c r="A152" s="1039"/>
      <c r="B152" s="1042"/>
      <c r="C152" s="1053"/>
      <c r="D152" s="1050"/>
      <c r="E152" s="1058"/>
      <c r="F152" s="1064" t="str">
        <f>Source!$D$5</f>
        <v/>
      </c>
      <c r="G152" s="1079" t="s">
        <v>1448</v>
      </c>
      <c r="H152" s="1060"/>
      <c r="I152" s="1060"/>
      <c r="J152" s="1060"/>
      <c r="K152" s="1060"/>
      <c r="L152" s="1060"/>
      <c r="M152" s="1060"/>
      <c r="N152" s="1060"/>
      <c r="O152" s="1060"/>
      <c r="P152" s="1060"/>
      <c r="Q152" s="1060"/>
      <c r="R152" s="1060"/>
      <c r="S152" s="1060"/>
      <c r="T152" s="1060"/>
      <c r="U152" s="1060"/>
      <c r="V152" s="1060"/>
      <c r="W152" s="1060"/>
      <c r="X152" s="1061"/>
      <c r="Y152" s="1066" t="str">
        <f>Source!$B$8</f>
        <v/>
      </c>
      <c r="Z152" s="1061"/>
      <c r="AA152" s="1067" t="s">
        <v>1443</v>
      </c>
      <c r="AB152" s="1060"/>
      <c r="AC152" s="1060"/>
      <c r="AD152" s="1060"/>
      <c r="AE152" s="1061"/>
      <c r="AF152" s="1062"/>
      <c r="AG152" s="1057"/>
      <c r="AH152" s="1051"/>
      <c r="AI152" s="1052"/>
      <c r="AJ152" s="1042"/>
      <c r="AK152" s="1039"/>
    </row>
    <row r="153" ht="7.5" customHeight="1">
      <c r="A153" s="1039"/>
      <c r="B153" s="1042"/>
      <c r="C153" s="1053"/>
      <c r="D153" s="1050"/>
      <c r="E153" s="1058"/>
      <c r="F153" s="1064"/>
      <c r="G153" s="1068"/>
      <c r="H153" s="1069"/>
      <c r="I153" s="1068"/>
      <c r="J153" s="1063"/>
      <c r="K153" s="1068"/>
      <c r="L153" s="1063"/>
      <c r="M153" s="1068"/>
      <c r="N153" s="1063"/>
      <c r="O153" s="1068"/>
      <c r="P153" s="1063"/>
      <c r="Q153" s="1068"/>
      <c r="R153" s="1063"/>
      <c r="S153" s="1068"/>
      <c r="T153" s="1063"/>
      <c r="U153" s="1068"/>
      <c r="V153" s="1063"/>
      <c r="W153" s="1068"/>
      <c r="X153" s="1063"/>
      <c r="Y153" s="1068"/>
      <c r="Z153" s="1063"/>
      <c r="AA153" s="1068"/>
      <c r="AB153" s="1063"/>
      <c r="AC153" s="1068"/>
      <c r="AD153" s="1063"/>
      <c r="AE153" s="1068"/>
      <c r="AF153" s="1062"/>
      <c r="AG153" s="1057"/>
      <c r="AH153" s="1051"/>
      <c r="AI153" s="1052"/>
      <c r="AJ153" s="1042"/>
      <c r="AK153" s="1039"/>
    </row>
    <row r="154" ht="18.75" customHeight="1">
      <c r="A154" s="1039"/>
      <c r="B154" s="1042"/>
      <c r="C154" s="1053"/>
      <c r="D154" s="1050"/>
      <c r="E154" s="1058"/>
      <c r="F154" s="1064" t="str">
        <f>Source!$D$16</f>
        <v/>
      </c>
      <c r="G154" s="1079" t="s">
        <v>1449</v>
      </c>
      <c r="H154" s="1060"/>
      <c r="I154" s="1060"/>
      <c r="J154" s="1060"/>
      <c r="K154" s="1060"/>
      <c r="L154" s="1060"/>
      <c r="M154" s="1060"/>
      <c r="N154" s="1060"/>
      <c r="O154" s="1060"/>
      <c r="P154" s="1060"/>
      <c r="Q154" s="1060"/>
      <c r="R154" s="1060"/>
      <c r="S154" s="1060"/>
      <c r="T154" s="1060"/>
      <c r="U154" s="1060"/>
      <c r="V154" s="1060"/>
      <c r="W154" s="1060"/>
      <c r="X154" s="1061"/>
      <c r="Y154" s="1066" t="str">
        <f>Source!$B$8</f>
        <v/>
      </c>
      <c r="Z154" s="1061"/>
      <c r="AA154" s="1067" t="s">
        <v>1446</v>
      </c>
      <c r="AB154" s="1060"/>
      <c r="AC154" s="1060"/>
      <c r="AD154" s="1060"/>
      <c r="AE154" s="1061"/>
      <c r="AF154" s="1062"/>
      <c r="AG154" s="1057"/>
      <c r="AH154" s="1051"/>
      <c r="AI154" s="1052"/>
      <c r="AJ154" s="1042"/>
      <c r="AK154" s="1039"/>
    </row>
    <row r="155" ht="7.5" customHeight="1">
      <c r="A155" s="1039"/>
      <c r="B155" s="1042"/>
      <c r="C155" s="1053"/>
      <c r="D155" s="1050"/>
      <c r="E155" s="1058"/>
      <c r="F155" s="1064"/>
      <c r="G155" s="1068"/>
      <c r="H155" s="1069"/>
      <c r="I155" s="1068"/>
      <c r="J155" s="1063"/>
      <c r="K155" s="1068"/>
      <c r="L155" s="1063"/>
      <c r="M155" s="1068"/>
      <c r="N155" s="1063"/>
      <c r="O155" s="1068"/>
      <c r="P155" s="1063"/>
      <c r="Q155" s="1068"/>
      <c r="R155" s="1063"/>
      <c r="S155" s="1068"/>
      <c r="T155" s="1063"/>
      <c r="U155" s="1068"/>
      <c r="V155" s="1063"/>
      <c r="W155" s="1068"/>
      <c r="X155" s="1063"/>
      <c r="Y155" s="1068"/>
      <c r="Z155" s="1063"/>
      <c r="AA155" s="1068"/>
      <c r="AB155" s="1063"/>
      <c r="AC155" s="1068"/>
      <c r="AD155" s="1063"/>
      <c r="AE155" s="1068"/>
      <c r="AF155" s="1062"/>
      <c r="AG155" s="1057"/>
      <c r="AH155" s="1051"/>
      <c r="AI155" s="1052"/>
      <c r="AJ155" s="1042"/>
      <c r="AK155" s="1039"/>
    </row>
    <row r="156" ht="18.75" customHeight="1">
      <c r="A156" s="1039"/>
      <c r="B156" s="1042"/>
      <c r="C156" s="1053"/>
      <c r="D156" s="1050"/>
      <c r="E156" s="1058"/>
      <c r="F156" s="1064" t="str">
        <f>Source!$D$8</f>
        <v/>
      </c>
      <c r="G156" s="1079" t="s">
        <v>1450</v>
      </c>
      <c r="H156" s="1060"/>
      <c r="I156" s="1060"/>
      <c r="J156" s="1060"/>
      <c r="K156" s="1060"/>
      <c r="L156" s="1060"/>
      <c r="M156" s="1060"/>
      <c r="N156" s="1060"/>
      <c r="O156" s="1060"/>
      <c r="P156" s="1060"/>
      <c r="Q156" s="1060"/>
      <c r="R156" s="1060"/>
      <c r="S156" s="1060"/>
      <c r="T156" s="1060"/>
      <c r="U156" s="1060"/>
      <c r="V156" s="1060"/>
      <c r="W156" s="1060"/>
      <c r="X156" s="1061"/>
      <c r="Y156" s="1066" t="str">
        <f>Source!$B$8</f>
        <v/>
      </c>
      <c r="Z156" s="1061"/>
      <c r="AA156" s="1067" t="s">
        <v>1443</v>
      </c>
      <c r="AB156" s="1060"/>
      <c r="AC156" s="1060"/>
      <c r="AD156" s="1060"/>
      <c r="AE156" s="1061"/>
      <c r="AF156" s="1062"/>
      <c r="AG156" s="1057"/>
      <c r="AH156" s="1051"/>
      <c r="AI156" s="1052"/>
      <c r="AJ156" s="1042"/>
      <c r="AK156" s="1039"/>
    </row>
    <row r="157" ht="7.5" customHeight="1">
      <c r="A157" s="1039"/>
      <c r="B157" s="1042"/>
      <c r="C157" s="1053"/>
      <c r="D157" s="1050"/>
      <c r="E157" s="1058"/>
      <c r="F157" s="1064"/>
      <c r="G157" s="1068"/>
      <c r="H157" s="1069"/>
      <c r="I157" s="1068"/>
      <c r="J157" s="1063"/>
      <c r="K157" s="1068"/>
      <c r="L157" s="1063"/>
      <c r="M157" s="1068"/>
      <c r="N157" s="1063"/>
      <c r="O157" s="1068"/>
      <c r="P157" s="1063"/>
      <c r="Q157" s="1068"/>
      <c r="R157" s="1063"/>
      <c r="S157" s="1068"/>
      <c r="T157" s="1063"/>
      <c r="U157" s="1068"/>
      <c r="V157" s="1063"/>
      <c r="W157" s="1068"/>
      <c r="X157" s="1063"/>
      <c r="Y157" s="1068"/>
      <c r="Z157" s="1063"/>
      <c r="AA157" s="1068"/>
      <c r="AB157" s="1063"/>
      <c r="AC157" s="1068"/>
      <c r="AD157" s="1063"/>
      <c r="AE157" s="1068"/>
      <c r="AF157" s="1062"/>
      <c r="AG157" s="1057"/>
      <c r="AH157" s="1051"/>
      <c r="AI157" s="1052"/>
      <c r="AJ157" s="1042"/>
      <c r="AK157" s="1039"/>
    </row>
    <row r="158" ht="18.75" customHeight="1">
      <c r="A158" s="1039"/>
      <c r="B158" s="1042"/>
      <c r="C158" s="1053"/>
      <c r="D158" s="1050"/>
      <c r="E158" s="1058"/>
      <c r="F158" s="1064" t="str">
        <f>Source!$D$11</f>
        <v/>
      </c>
      <c r="G158" s="1079" t="s">
        <v>1451</v>
      </c>
      <c r="H158" s="1060"/>
      <c r="I158" s="1060"/>
      <c r="J158" s="1060"/>
      <c r="K158" s="1060"/>
      <c r="L158" s="1060"/>
      <c r="M158" s="1060"/>
      <c r="N158" s="1060"/>
      <c r="O158" s="1060"/>
      <c r="P158" s="1060"/>
      <c r="Q158" s="1060"/>
      <c r="R158" s="1060"/>
      <c r="S158" s="1060"/>
      <c r="T158" s="1060"/>
      <c r="U158" s="1060"/>
      <c r="V158" s="1060"/>
      <c r="W158" s="1060"/>
      <c r="X158" s="1061"/>
      <c r="Y158" s="1066" t="str">
        <f>Source!$B$8</f>
        <v/>
      </c>
      <c r="Z158" s="1061"/>
      <c r="AA158" s="1067" t="s">
        <v>1452</v>
      </c>
      <c r="AB158" s="1060"/>
      <c r="AC158" s="1060"/>
      <c r="AD158" s="1060"/>
      <c r="AE158" s="1061"/>
      <c r="AF158" s="1062"/>
      <c r="AG158" s="1057"/>
      <c r="AH158" s="1051"/>
      <c r="AI158" s="1052"/>
      <c r="AJ158" s="1042"/>
      <c r="AK158" s="1039"/>
    </row>
    <row r="159" ht="7.5" customHeight="1">
      <c r="A159" s="1039"/>
      <c r="B159" s="1042"/>
      <c r="C159" s="1053"/>
      <c r="D159" s="1050"/>
      <c r="E159" s="1058"/>
      <c r="F159" s="1064"/>
      <c r="G159" s="1068"/>
      <c r="H159" s="1069"/>
      <c r="I159" s="1068"/>
      <c r="J159" s="1063"/>
      <c r="K159" s="1068"/>
      <c r="L159" s="1063"/>
      <c r="M159" s="1068"/>
      <c r="N159" s="1063"/>
      <c r="O159" s="1068"/>
      <c r="P159" s="1063"/>
      <c r="Q159" s="1068"/>
      <c r="R159" s="1063"/>
      <c r="S159" s="1068"/>
      <c r="T159" s="1063"/>
      <c r="U159" s="1068"/>
      <c r="V159" s="1063"/>
      <c r="W159" s="1068"/>
      <c r="X159" s="1063"/>
      <c r="Y159" s="1068"/>
      <c r="Z159" s="1063"/>
      <c r="AA159" s="1068"/>
      <c r="AB159" s="1063"/>
      <c r="AC159" s="1068"/>
      <c r="AD159" s="1063"/>
      <c r="AE159" s="1068"/>
      <c r="AF159" s="1062"/>
      <c r="AG159" s="1057"/>
      <c r="AH159" s="1051"/>
      <c r="AI159" s="1052"/>
      <c r="AJ159" s="1042"/>
      <c r="AK159" s="1039"/>
    </row>
    <row r="160" ht="18.75" customHeight="1">
      <c r="A160" s="1039"/>
      <c r="B160" s="1042"/>
      <c r="C160" s="1053"/>
      <c r="D160" s="1050"/>
      <c r="E160" s="1058"/>
      <c r="F160" s="1064" t="str">
        <f>Source!$D$9</f>
        <v/>
      </c>
      <c r="G160" s="1065" t="s">
        <v>1453</v>
      </c>
      <c r="H160" s="1060"/>
      <c r="I160" s="1060"/>
      <c r="J160" s="1060"/>
      <c r="K160" s="1060"/>
      <c r="L160" s="1060"/>
      <c r="M160" s="1060"/>
      <c r="N160" s="1060"/>
      <c r="O160" s="1060"/>
      <c r="P160" s="1060"/>
      <c r="Q160" s="1060"/>
      <c r="R160" s="1060"/>
      <c r="S160" s="1060"/>
      <c r="T160" s="1060"/>
      <c r="U160" s="1060"/>
      <c r="V160" s="1060"/>
      <c r="W160" s="1060"/>
      <c r="X160" s="1061"/>
      <c r="Y160" s="1066" t="str">
        <f>Source!$B$8</f>
        <v/>
      </c>
      <c r="Z160" s="1061"/>
      <c r="AA160" s="1067" t="s">
        <v>1441</v>
      </c>
      <c r="AB160" s="1060"/>
      <c r="AC160" s="1060"/>
      <c r="AD160" s="1060"/>
      <c r="AE160" s="1061"/>
      <c r="AF160" s="1062"/>
      <c r="AG160" s="1057"/>
      <c r="AH160" s="1051"/>
      <c r="AI160" s="1052"/>
      <c r="AJ160" s="1042"/>
      <c r="AK160" s="1039"/>
    </row>
    <row r="161" ht="7.5" customHeight="1">
      <c r="A161" s="1039"/>
      <c r="B161" s="1042"/>
      <c r="C161" s="1053"/>
      <c r="D161" s="1050"/>
      <c r="E161" s="1058"/>
      <c r="F161" s="1064"/>
      <c r="G161" s="1068"/>
      <c r="H161" s="1069"/>
      <c r="I161" s="1068"/>
      <c r="J161" s="1063"/>
      <c r="K161" s="1068"/>
      <c r="L161" s="1063"/>
      <c r="M161" s="1068"/>
      <c r="N161" s="1063"/>
      <c r="O161" s="1068"/>
      <c r="P161" s="1063"/>
      <c r="Q161" s="1068"/>
      <c r="R161" s="1063"/>
      <c r="S161" s="1068"/>
      <c r="T161" s="1063"/>
      <c r="U161" s="1068"/>
      <c r="V161" s="1063"/>
      <c r="W161" s="1068"/>
      <c r="X161" s="1063"/>
      <c r="Y161" s="1068"/>
      <c r="Z161" s="1063"/>
      <c r="AA161" s="1068"/>
      <c r="AB161" s="1063"/>
      <c r="AC161" s="1068"/>
      <c r="AD161" s="1063"/>
      <c r="AE161" s="1068"/>
      <c r="AF161" s="1062"/>
      <c r="AG161" s="1057"/>
      <c r="AH161" s="1051"/>
      <c r="AI161" s="1052"/>
      <c r="AJ161" s="1042"/>
      <c r="AK161" s="1039"/>
    </row>
    <row r="162" ht="18.75" customHeight="1">
      <c r="A162" s="1039"/>
      <c r="B162" s="1042"/>
      <c r="C162" s="1053"/>
      <c r="D162" s="1050"/>
      <c r="E162" s="1058"/>
      <c r="F162" s="1064" t="str">
        <f>Source!$D$14</f>
        <v/>
      </c>
      <c r="G162" s="1080" t="s">
        <v>1454</v>
      </c>
      <c r="H162" s="1060"/>
      <c r="I162" s="1060"/>
      <c r="J162" s="1060"/>
      <c r="K162" s="1060"/>
      <c r="L162" s="1060"/>
      <c r="M162" s="1060"/>
      <c r="N162" s="1060"/>
      <c r="O162" s="1060"/>
      <c r="P162" s="1060"/>
      <c r="Q162" s="1060"/>
      <c r="R162" s="1060"/>
      <c r="S162" s="1060"/>
      <c r="T162" s="1060"/>
      <c r="U162" s="1060"/>
      <c r="V162" s="1060"/>
      <c r="W162" s="1060"/>
      <c r="X162" s="1061"/>
      <c r="Y162" s="1066" t="str">
        <f>Source!$B$8</f>
        <v/>
      </c>
      <c r="Z162" s="1061"/>
      <c r="AA162" s="1067" t="s">
        <v>1446</v>
      </c>
      <c r="AB162" s="1060"/>
      <c r="AC162" s="1060"/>
      <c r="AD162" s="1060"/>
      <c r="AE162" s="1061"/>
      <c r="AF162" s="1062"/>
      <c r="AG162" s="1057"/>
      <c r="AH162" s="1051"/>
      <c r="AI162" s="1052"/>
      <c r="AJ162" s="1042"/>
      <c r="AK162" s="1039"/>
    </row>
    <row r="163" ht="7.5" customHeight="1">
      <c r="A163" s="1039"/>
      <c r="B163" s="1042"/>
      <c r="C163" s="1053"/>
      <c r="D163" s="1050"/>
      <c r="E163" s="1058"/>
      <c r="F163" s="1064"/>
      <c r="G163" s="1068"/>
      <c r="H163" s="1069"/>
      <c r="I163" s="1068"/>
      <c r="J163" s="1063"/>
      <c r="K163" s="1068"/>
      <c r="L163" s="1063"/>
      <c r="M163" s="1068"/>
      <c r="N163" s="1063"/>
      <c r="O163" s="1068"/>
      <c r="P163" s="1063"/>
      <c r="Q163" s="1068"/>
      <c r="R163" s="1063"/>
      <c r="S163" s="1068"/>
      <c r="T163" s="1063"/>
      <c r="U163" s="1068"/>
      <c r="V163" s="1063"/>
      <c r="W163" s="1068"/>
      <c r="X163" s="1063"/>
      <c r="Y163" s="1068"/>
      <c r="Z163" s="1063"/>
      <c r="AA163" s="1068"/>
      <c r="AB163" s="1063"/>
      <c r="AC163" s="1068"/>
      <c r="AD163" s="1063"/>
      <c r="AE163" s="1068"/>
      <c r="AF163" s="1062"/>
      <c r="AG163" s="1057"/>
      <c r="AH163" s="1051"/>
      <c r="AI163" s="1052"/>
      <c r="AJ163" s="1042"/>
      <c r="AK163" s="1039"/>
    </row>
    <row r="164" ht="18.75" customHeight="1">
      <c r="A164" s="1039"/>
      <c r="B164" s="1042"/>
      <c r="C164" s="1053"/>
      <c r="D164" s="1050"/>
      <c r="E164" s="1058"/>
      <c r="F164" s="1064" t="str">
        <f>Source!$D$10</f>
        <v/>
      </c>
      <c r="G164" s="1079" t="s">
        <v>1455</v>
      </c>
      <c r="H164" s="1060"/>
      <c r="I164" s="1060"/>
      <c r="J164" s="1060"/>
      <c r="K164" s="1060"/>
      <c r="L164" s="1060"/>
      <c r="M164" s="1060"/>
      <c r="N164" s="1060"/>
      <c r="O164" s="1060"/>
      <c r="P164" s="1060"/>
      <c r="Q164" s="1060"/>
      <c r="R164" s="1060"/>
      <c r="S164" s="1060"/>
      <c r="T164" s="1060"/>
      <c r="U164" s="1060"/>
      <c r="V164" s="1060"/>
      <c r="W164" s="1060"/>
      <c r="X164" s="1061"/>
      <c r="Y164" s="1066" t="str">
        <f>Source!$B$8</f>
        <v/>
      </c>
      <c r="Z164" s="1061"/>
      <c r="AA164" s="1067" t="s">
        <v>1452</v>
      </c>
      <c r="AB164" s="1060"/>
      <c r="AC164" s="1060"/>
      <c r="AD164" s="1060"/>
      <c r="AE164" s="1061"/>
      <c r="AF164" s="1062"/>
      <c r="AG164" s="1057"/>
      <c r="AH164" s="1051"/>
      <c r="AI164" s="1052"/>
      <c r="AJ164" s="1042"/>
      <c r="AK164" s="1039"/>
    </row>
    <row r="165" ht="7.5" customHeight="1">
      <c r="A165" s="1039"/>
      <c r="B165" s="1042"/>
      <c r="C165" s="1053"/>
      <c r="D165" s="1050"/>
      <c r="E165" s="1058"/>
      <c r="F165" s="1064"/>
      <c r="G165" s="1068"/>
      <c r="H165" s="1069"/>
      <c r="I165" s="1068"/>
      <c r="J165" s="1063"/>
      <c r="K165" s="1068"/>
      <c r="L165" s="1063"/>
      <c r="M165" s="1068"/>
      <c r="N165" s="1063"/>
      <c r="O165" s="1068"/>
      <c r="P165" s="1063"/>
      <c r="Q165" s="1068"/>
      <c r="R165" s="1063"/>
      <c r="S165" s="1068"/>
      <c r="T165" s="1063"/>
      <c r="U165" s="1068"/>
      <c r="V165" s="1063"/>
      <c r="W165" s="1068"/>
      <c r="X165" s="1063"/>
      <c r="Y165" s="1068"/>
      <c r="Z165" s="1063"/>
      <c r="AA165" s="1068"/>
      <c r="AB165" s="1063"/>
      <c r="AC165" s="1068"/>
      <c r="AD165" s="1063"/>
      <c r="AE165" s="1068"/>
      <c r="AF165" s="1062"/>
      <c r="AG165" s="1057"/>
      <c r="AH165" s="1051"/>
      <c r="AI165" s="1052"/>
      <c r="AJ165" s="1042"/>
      <c r="AK165" s="1039"/>
    </row>
    <row r="166" ht="18.75" customHeight="1">
      <c r="A166" s="1039"/>
      <c r="B166" s="1042"/>
      <c r="C166" s="1053"/>
      <c r="D166" s="1050"/>
      <c r="E166" s="1058"/>
      <c r="F166" s="1064" t="str">
        <f>Source!$D$18</f>
        <v/>
      </c>
      <c r="G166" s="1080" t="s">
        <v>1456</v>
      </c>
      <c r="H166" s="1060"/>
      <c r="I166" s="1060"/>
      <c r="J166" s="1060"/>
      <c r="K166" s="1060"/>
      <c r="L166" s="1060"/>
      <c r="M166" s="1060"/>
      <c r="N166" s="1060"/>
      <c r="O166" s="1060"/>
      <c r="P166" s="1060"/>
      <c r="Q166" s="1060"/>
      <c r="R166" s="1060"/>
      <c r="S166" s="1060"/>
      <c r="T166" s="1060"/>
      <c r="U166" s="1060"/>
      <c r="V166" s="1060"/>
      <c r="W166" s="1060"/>
      <c r="X166" s="1061"/>
      <c r="Y166" s="1066" t="str">
        <f>Source!$B$8</f>
        <v/>
      </c>
      <c r="Z166" s="1061"/>
      <c r="AA166" s="1067" t="s">
        <v>1457</v>
      </c>
      <c r="AB166" s="1060"/>
      <c r="AC166" s="1060"/>
      <c r="AD166" s="1060"/>
      <c r="AE166" s="1061"/>
      <c r="AF166" s="1062"/>
      <c r="AG166" s="1057"/>
      <c r="AH166" s="1051"/>
      <c r="AI166" s="1052"/>
      <c r="AJ166" s="1042"/>
      <c r="AK166" s="1039"/>
    </row>
    <row r="167" ht="7.5" customHeight="1">
      <c r="A167" s="1039"/>
      <c r="B167" s="1042"/>
      <c r="C167" s="1053"/>
      <c r="D167" s="1050"/>
      <c r="E167" s="1058"/>
      <c r="F167" s="1064"/>
      <c r="G167" s="1068"/>
      <c r="H167" s="1069"/>
      <c r="I167" s="1068"/>
      <c r="J167" s="1063"/>
      <c r="K167" s="1068"/>
      <c r="L167" s="1063"/>
      <c r="M167" s="1068"/>
      <c r="N167" s="1063"/>
      <c r="O167" s="1068"/>
      <c r="P167" s="1063"/>
      <c r="Q167" s="1068"/>
      <c r="R167" s="1063"/>
      <c r="S167" s="1068"/>
      <c r="T167" s="1063"/>
      <c r="U167" s="1068"/>
      <c r="V167" s="1063"/>
      <c r="W167" s="1068"/>
      <c r="X167" s="1063"/>
      <c r="Y167" s="1068"/>
      <c r="Z167" s="1063"/>
      <c r="AA167" s="1068"/>
      <c r="AB167" s="1063"/>
      <c r="AC167" s="1068"/>
      <c r="AD167" s="1063"/>
      <c r="AE167" s="1068"/>
      <c r="AF167" s="1062"/>
      <c r="AG167" s="1057"/>
      <c r="AH167" s="1051"/>
      <c r="AI167" s="1052"/>
      <c r="AJ167" s="1042"/>
      <c r="AK167" s="1039"/>
    </row>
    <row r="168" ht="18.75" customHeight="1">
      <c r="A168" s="1039"/>
      <c r="B168" s="1042"/>
      <c r="C168" s="1053"/>
      <c r="D168" s="1050"/>
      <c r="E168" s="1058"/>
      <c r="F168" s="1064" t="str">
        <f>Source!$D$3</f>
        <v/>
      </c>
      <c r="G168" s="1065" t="s">
        <v>1458</v>
      </c>
      <c r="H168" s="1060"/>
      <c r="I168" s="1060"/>
      <c r="J168" s="1060"/>
      <c r="K168" s="1060"/>
      <c r="L168" s="1060"/>
      <c r="M168" s="1060"/>
      <c r="N168" s="1060"/>
      <c r="O168" s="1060"/>
      <c r="P168" s="1060"/>
      <c r="Q168" s="1060"/>
      <c r="R168" s="1060"/>
      <c r="S168" s="1060"/>
      <c r="T168" s="1060"/>
      <c r="U168" s="1060"/>
      <c r="V168" s="1060"/>
      <c r="W168" s="1060"/>
      <c r="X168" s="1061"/>
      <c r="Y168" s="1066" t="str">
        <f>Source!$B$8</f>
        <v/>
      </c>
      <c r="Z168" s="1061"/>
      <c r="AA168" s="1067" t="s">
        <v>1457</v>
      </c>
      <c r="AB168" s="1060"/>
      <c r="AC168" s="1060"/>
      <c r="AD168" s="1060"/>
      <c r="AE168" s="1061"/>
      <c r="AF168" s="1062"/>
      <c r="AG168" s="1057"/>
      <c r="AH168" s="1051"/>
      <c r="AI168" s="1052"/>
      <c r="AJ168" s="1042"/>
      <c r="AK168" s="1039"/>
    </row>
    <row r="169" ht="7.5" customHeight="1">
      <c r="A169" s="1039"/>
      <c r="B169" s="1042"/>
      <c r="C169" s="1053"/>
      <c r="D169" s="1050"/>
      <c r="E169" s="1058"/>
      <c r="F169" s="1064"/>
      <c r="G169" s="1068"/>
      <c r="H169" s="1069"/>
      <c r="I169" s="1068"/>
      <c r="J169" s="1063"/>
      <c r="K169" s="1068"/>
      <c r="L169" s="1063"/>
      <c r="M169" s="1068"/>
      <c r="N169" s="1063"/>
      <c r="O169" s="1068"/>
      <c r="P169" s="1063"/>
      <c r="Q169" s="1068"/>
      <c r="R169" s="1063"/>
      <c r="S169" s="1068"/>
      <c r="T169" s="1063"/>
      <c r="U169" s="1068"/>
      <c r="V169" s="1063"/>
      <c r="W169" s="1068"/>
      <c r="X169" s="1063"/>
      <c r="Y169" s="1068"/>
      <c r="Z169" s="1063"/>
      <c r="AA169" s="1068"/>
      <c r="AB169" s="1063"/>
      <c r="AC169" s="1068"/>
      <c r="AD169" s="1063"/>
      <c r="AE169" s="1068"/>
      <c r="AF169" s="1062"/>
      <c r="AG169" s="1057"/>
      <c r="AH169" s="1051"/>
      <c r="AI169" s="1052"/>
      <c r="AJ169" s="1042"/>
      <c r="AK169" s="1039"/>
    </row>
    <row r="170" ht="18.75" customHeight="1">
      <c r="A170" s="1039"/>
      <c r="B170" s="1042"/>
      <c r="C170" s="1053"/>
      <c r="D170" s="1050"/>
      <c r="E170" s="1058"/>
      <c r="F170" s="1064" t="str">
        <f>Source!$D$3</f>
        <v/>
      </c>
      <c r="G170" s="1079" t="s">
        <v>1459</v>
      </c>
      <c r="H170" s="1060"/>
      <c r="I170" s="1060"/>
      <c r="J170" s="1060"/>
      <c r="K170" s="1060"/>
      <c r="L170" s="1060"/>
      <c r="M170" s="1060"/>
      <c r="N170" s="1060"/>
      <c r="O170" s="1060"/>
      <c r="P170" s="1060"/>
      <c r="Q170" s="1060"/>
      <c r="R170" s="1060"/>
      <c r="S170" s="1060"/>
      <c r="T170" s="1060"/>
      <c r="U170" s="1060"/>
      <c r="V170" s="1060"/>
      <c r="W170" s="1060"/>
      <c r="X170" s="1061"/>
      <c r="Y170" s="1066" t="str">
        <f>Source!$B$8</f>
        <v/>
      </c>
      <c r="Z170" s="1061"/>
      <c r="AA170" s="1067" t="s">
        <v>1443</v>
      </c>
      <c r="AB170" s="1060"/>
      <c r="AC170" s="1060"/>
      <c r="AD170" s="1060"/>
      <c r="AE170" s="1061"/>
      <c r="AF170" s="1062"/>
      <c r="AG170" s="1057"/>
      <c r="AH170" s="1051"/>
      <c r="AI170" s="1052"/>
      <c r="AJ170" s="1042"/>
      <c r="AK170" s="1039"/>
    </row>
    <row r="171" ht="7.5" customHeight="1">
      <c r="A171" s="1039"/>
      <c r="B171" s="1042"/>
      <c r="C171" s="1053"/>
      <c r="D171" s="1050"/>
      <c r="E171" s="1058"/>
      <c r="F171" s="1064"/>
      <c r="G171" s="1068"/>
      <c r="H171" s="1069"/>
      <c r="I171" s="1068"/>
      <c r="J171" s="1063"/>
      <c r="K171" s="1068"/>
      <c r="L171" s="1063"/>
      <c r="M171" s="1068"/>
      <c r="N171" s="1063"/>
      <c r="O171" s="1068"/>
      <c r="P171" s="1063"/>
      <c r="Q171" s="1068"/>
      <c r="R171" s="1063"/>
      <c r="S171" s="1068"/>
      <c r="T171" s="1063"/>
      <c r="U171" s="1068"/>
      <c r="V171" s="1063"/>
      <c r="W171" s="1068"/>
      <c r="X171" s="1063"/>
      <c r="Y171" s="1068"/>
      <c r="Z171" s="1063"/>
      <c r="AA171" s="1068"/>
      <c r="AB171" s="1063"/>
      <c r="AC171" s="1068"/>
      <c r="AD171" s="1063"/>
      <c r="AE171" s="1068"/>
      <c r="AF171" s="1062"/>
      <c r="AG171" s="1057"/>
      <c r="AH171" s="1051"/>
      <c r="AI171" s="1052"/>
      <c r="AJ171" s="1042"/>
      <c r="AK171" s="1039"/>
    </row>
    <row r="172" ht="18.75" customHeight="1">
      <c r="A172" s="1039"/>
      <c r="B172" s="1042"/>
      <c r="C172" s="1053"/>
      <c r="D172" s="1050"/>
      <c r="E172" s="1058"/>
      <c r="F172" s="1064" t="str">
        <f>Source!$D$14</f>
        <v/>
      </c>
      <c r="G172" s="1079" t="s">
        <v>1460</v>
      </c>
      <c r="H172" s="1060"/>
      <c r="I172" s="1060"/>
      <c r="J172" s="1060"/>
      <c r="K172" s="1060"/>
      <c r="L172" s="1060"/>
      <c r="M172" s="1060"/>
      <c r="N172" s="1060"/>
      <c r="O172" s="1060"/>
      <c r="P172" s="1060"/>
      <c r="Q172" s="1060"/>
      <c r="R172" s="1060"/>
      <c r="S172" s="1060"/>
      <c r="T172" s="1060"/>
      <c r="U172" s="1060"/>
      <c r="V172" s="1060"/>
      <c r="W172" s="1060"/>
      <c r="X172" s="1061"/>
      <c r="Y172" s="1066" t="str">
        <f>Source!$B$8</f>
        <v/>
      </c>
      <c r="Z172" s="1061"/>
      <c r="AA172" s="1067" t="s">
        <v>1446</v>
      </c>
      <c r="AB172" s="1060"/>
      <c r="AC172" s="1060"/>
      <c r="AD172" s="1060"/>
      <c r="AE172" s="1061"/>
      <c r="AF172" s="1062"/>
      <c r="AG172" s="1057"/>
      <c r="AH172" s="1051"/>
      <c r="AI172" s="1052"/>
      <c r="AJ172" s="1042"/>
      <c r="AK172" s="1039"/>
    </row>
    <row r="173" ht="7.5" customHeight="1">
      <c r="A173" s="1039"/>
      <c r="B173" s="1042"/>
      <c r="C173" s="1053"/>
      <c r="D173" s="1050"/>
      <c r="E173" s="1058"/>
      <c r="F173" s="1064"/>
      <c r="G173" s="1068"/>
      <c r="H173" s="1069"/>
      <c r="I173" s="1068"/>
      <c r="J173" s="1063"/>
      <c r="K173" s="1068"/>
      <c r="L173" s="1063"/>
      <c r="M173" s="1068"/>
      <c r="N173" s="1063"/>
      <c r="O173" s="1068"/>
      <c r="P173" s="1063"/>
      <c r="Q173" s="1068"/>
      <c r="R173" s="1063"/>
      <c r="S173" s="1068"/>
      <c r="T173" s="1063"/>
      <c r="U173" s="1068"/>
      <c r="V173" s="1063"/>
      <c r="W173" s="1068"/>
      <c r="X173" s="1063"/>
      <c r="Y173" s="1068"/>
      <c r="Z173" s="1063"/>
      <c r="AA173" s="1068"/>
      <c r="AB173" s="1063"/>
      <c r="AC173" s="1068"/>
      <c r="AD173" s="1063"/>
      <c r="AE173" s="1068"/>
      <c r="AF173" s="1062"/>
      <c r="AG173" s="1057"/>
      <c r="AH173" s="1051"/>
      <c r="AI173" s="1052"/>
      <c r="AJ173" s="1042"/>
      <c r="AK173" s="1039"/>
    </row>
    <row r="174" ht="18.75" customHeight="1">
      <c r="A174" s="1039"/>
      <c r="B174" s="1042"/>
      <c r="C174" s="1053"/>
      <c r="D174" s="1050"/>
      <c r="E174" s="1058"/>
      <c r="F174" s="1064" t="str">
        <f>Source!$D$19</f>
        <v/>
      </c>
      <c r="G174" s="1079" t="s">
        <v>1461</v>
      </c>
      <c r="H174" s="1060"/>
      <c r="I174" s="1060"/>
      <c r="J174" s="1060"/>
      <c r="K174" s="1060"/>
      <c r="L174" s="1060"/>
      <c r="M174" s="1060"/>
      <c r="N174" s="1060"/>
      <c r="O174" s="1060"/>
      <c r="P174" s="1060"/>
      <c r="Q174" s="1060"/>
      <c r="R174" s="1060"/>
      <c r="S174" s="1060"/>
      <c r="T174" s="1060"/>
      <c r="U174" s="1060"/>
      <c r="V174" s="1060"/>
      <c r="W174" s="1060"/>
      <c r="X174" s="1061"/>
      <c r="Y174" s="1066" t="str">
        <f>Source!$B$8</f>
        <v/>
      </c>
      <c r="Z174" s="1061"/>
      <c r="AA174" s="1067" t="s">
        <v>1452</v>
      </c>
      <c r="AB174" s="1060"/>
      <c r="AC174" s="1060"/>
      <c r="AD174" s="1060"/>
      <c r="AE174" s="1061"/>
      <c r="AF174" s="1062"/>
      <c r="AG174" s="1057"/>
      <c r="AH174" s="1051"/>
      <c r="AI174" s="1052"/>
      <c r="AJ174" s="1042"/>
      <c r="AK174" s="1039"/>
    </row>
    <row r="175" ht="7.5" customHeight="1">
      <c r="A175" s="1039"/>
      <c r="B175" s="1042"/>
      <c r="C175" s="1053"/>
      <c r="D175" s="1050"/>
      <c r="E175" s="1058"/>
      <c r="F175" s="1064"/>
      <c r="G175" s="1068"/>
      <c r="H175" s="1069"/>
      <c r="I175" s="1068"/>
      <c r="J175" s="1063"/>
      <c r="K175" s="1068"/>
      <c r="L175" s="1063"/>
      <c r="M175" s="1068"/>
      <c r="N175" s="1063"/>
      <c r="O175" s="1068"/>
      <c r="P175" s="1063"/>
      <c r="Q175" s="1068"/>
      <c r="R175" s="1063"/>
      <c r="S175" s="1068"/>
      <c r="T175" s="1063"/>
      <c r="U175" s="1068"/>
      <c r="V175" s="1063"/>
      <c r="W175" s="1068"/>
      <c r="X175" s="1063"/>
      <c r="Y175" s="1068"/>
      <c r="Z175" s="1063"/>
      <c r="AA175" s="1068"/>
      <c r="AB175" s="1063"/>
      <c r="AC175" s="1068"/>
      <c r="AD175" s="1063"/>
      <c r="AE175" s="1068"/>
      <c r="AF175" s="1062"/>
      <c r="AG175" s="1057"/>
      <c r="AH175" s="1051"/>
      <c r="AI175" s="1052"/>
      <c r="AJ175" s="1042"/>
      <c r="AK175" s="1039"/>
    </row>
    <row r="176" ht="18.75" customHeight="1">
      <c r="A176" s="1039"/>
      <c r="B176" s="1042"/>
      <c r="C176" s="1053"/>
      <c r="D176" s="1050"/>
      <c r="E176" s="1058"/>
      <c r="F176" s="1064" t="str">
        <f>Source!$D$15</f>
        <v/>
      </c>
      <c r="G176" s="1079" t="s">
        <v>1462</v>
      </c>
      <c r="H176" s="1060"/>
      <c r="I176" s="1060"/>
      <c r="J176" s="1060"/>
      <c r="K176" s="1060"/>
      <c r="L176" s="1060"/>
      <c r="M176" s="1060"/>
      <c r="N176" s="1060"/>
      <c r="O176" s="1060"/>
      <c r="P176" s="1060"/>
      <c r="Q176" s="1060"/>
      <c r="R176" s="1060"/>
      <c r="S176" s="1060"/>
      <c r="T176" s="1060"/>
      <c r="U176" s="1060"/>
      <c r="V176" s="1060"/>
      <c r="W176" s="1060"/>
      <c r="X176" s="1061"/>
      <c r="Y176" s="1066" t="str">
        <f>Source!$B$8</f>
        <v/>
      </c>
      <c r="Z176" s="1061"/>
      <c r="AA176" s="1067" t="s">
        <v>1452</v>
      </c>
      <c r="AB176" s="1060"/>
      <c r="AC176" s="1060"/>
      <c r="AD176" s="1060"/>
      <c r="AE176" s="1061"/>
      <c r="AF176" s="1062"/>
      <c r="AG176" s="1057"/>
      <c r="AH176" s="1051"/>
      <c r="AI176" s="1052"/>
      <c r="AJ176" s="1042"/>
      <c r="AK176" s="1039"/>
    </row>
    <row r="177" ht="7.5" customHeight="1">
      <c r="A177" s="1039"/>
      <c r="B177" s="1042"/>
      <c r="C177" s="1053"/>
      <c r="D177" s="1050"/>
      <c r="E177" s="1058"/>
      <c r="F177" s="1064"/>
      <c r="G177" s="1068"/>
      <c r="H177" s="1069"/>
      <c r="I177" s="1068"/>
      <c r="J177" s="1063"/>
      <c r="K177" s="1068"/>
      <c r="L177" s="1063"/>
      <c r="M177" s="1068"/>
      <c r="N177" s="1063"/>
      <c r="O177" s="1068"/>
      <c r="P177" s="1063"/>
      <c r="Q177" s="1068"/>
      <c r="R177" s="1063"/>
      <c r="S177" s="1068"/>
      <c r="T177" s="1063"/>
      <c r="U177" s="1068"/>
      <c r="V177" s="1063"/>
      <c r="W177" s="1068"/>
      <c r="X177" s="1063"/>
      <c r="Y177" s="1068"/>
      <c r="Z177" s="1063"/>
      <c r="AA177" s="1068"/>
      <c r="AB177" s="1063"/>
      <c r="AC177" s="1068"/>
      <c r="AD177" s="1063"/>
      <c r="AE177" s="1068"/>
      <c r="AF177" s="1062"/>
      <c r="AG177" s="1057"/>
      <c r="AH177" s="1051"/>
      <c r="AI177" s="1052"/>
      <c r="AJ177" s="1042"/>
      <c r="AK177" s="1039"/>
    </row>
    <row r="178" ht="18.75" customHeight="1">
      <c r="A178" s="1039"/>
      <c r="B178" s="1042"/>
      <c r="C178" s="1053"/>
      <c r="D178" s="1050"/>
      <c r="E178" s="1058"/>
      <c r="F178" s="1064" t="str">
        <f>Source!$D$18</f>
        <v/>
      </c>
      <c r="G178" s="1079" t="s">
        <v>1463</v>
      </c>
      <c r="H178" s="1060"/>
      <c r="I178" s="1060"/>
      <c r="J178" s="1060"/>
      <c r="K178" s="1060"/>
      <c r="L178" s="1060"/>
      <c r="M178" s="1060"/>
      <c r="N178" s="1060"/>
      <c r="O178" s="1060"/>
      <c r="P178" s="1060"/>
      <c r="Q178" s="1060"/>
      <c r="R178" s="1060"/>
      <c r="S178" s="1060"/>
      <c r="T178" s="1060"/>
      <c r="U178" s="1060"/>
      <c r="V178" s="1060"/>
      <c r="W178" s="1060"/>
      <c r="X178" s="1061"/>
      <c r="Y178" s="1066" t="str">
        <f>Source!$B$8</f>
        <v/>
      </c>
      <c r="Z178" s="1061"/>
      <c r="AA178" s="1067" t="s">
        <v>1452</v>
      </c>
      <c r="AB178" s="1060"/>
      <c r="AC178" s="1060"/>
      <c r="AD178" s="1060"/>
      <c r="AE178" s="1061"/>
      <c r="AF178" s="1062"/>
      <c r="AG178" s="1057"/>
      <c r="AH178" s="1051"/>
      <c r="AI178" s="1052"/>
      <c r="AJ178" s="1042"/>
      <c r="AK178" s="1039"/>
    </row>
    <row r="179" ht="7.5" customHeight="1">
      <c r="A179" s="1039"/>
      <c r="B179" s="1042"/>
      <c r="C179" s="1053"/>
      <c r="D179" s="1050"/>
      <c r="E179" s="1058"/>
      <c r="F179" s="1064"/>
      <c r="G179" s="1068"/>
      <c r="H179" s="1069"/>
      <c r="I179" s="1068"/>
      <c r="J179" s="1063"/>
      <c r="K179" s="1068"/>
      <c r="L179" s="1063"/>
      <c r="M179" s="1068"/>
      <c r="N179" s="1063"/>
      <c r="O179" s="1068"/>
      <c r="P179" s="1063"/>
      <c r="Q179" s="1068"/>
      <c r="R179" s="1063"/>
      <c r="S179" s="1068"/>
      <c r="T179" s="1063"/>
      <c r="U179" s="1068"/>
      <c r="V179" s="1063"/>
      <c r="W179" s="1068"/>
      <c r="X179" s="1063"/>
      <c r="Y179" s="1068"/>
      <c r="Z179" s="1063"/>
      <c r="AA179" s="1068"/>
      <c r="AB179" s="1063"/>
      <c r="AC179" s="1068"/>
      <c r="AD179" s="1063"/>
      <c r="AE179" s="1068"/>
      <c r="AF179" s="1062"/>
      <c r="AG179" s="1057"/>
      <c r="AH179" s="1051"/>
      <c r="AI179" s="1052"/>
      <c r="AJ179" s="1042"/>
      <c r="AK179" s="1039"/>
    </row>
    <row r="180" ht="18.75" customHeight="1">
      <c r="A180" s="1039"/>
      <c r="B180" s="1042"/>
      <c r="C180" s="1053"/>
      <c r="D180" s="1050"/>
      <c r="E180" s="1058"/>
      <c r="F180" s="1064" t="str">
        <f>Source!$D$4</f>
        <v/>
      </c>
      <c r="G180" s="1079" t="s">
        <v>1464</v>
      </c>
      <c r="H180" s="1060"/>
      <c r="I180" s="1060"/>
      <c r="J180" s="1060"/>
      <c r="K180" s="1060"/>
      <c r="L180" s="1060"/>
      <c r="M180" s="1060"/>
      <c r="N180" s="1060"/>
      <c r="O180" s="1060"/>
      <c r="P180" s="1060"/>
      <c r="Q180" s="1060"/>
      <c r="R180" s="1060"/>
      <c r="S180" s="1060"/>
      <c r="T180" s="1060"/>
      <c r="U180" s="1060"/>
      <c r="V180" s="1060"/>
      <c r="W180" s="1060"/>
      <c r="X180" s="1061"/>
      <c r="Y180" s="1066" t="str">
        <f>Source!$B$8</f>
        <v/>
      </c>
      <c r="Z180" s="1061"/>
      <c r="AA180" s="1067" t="s">
        <v>1446</v>
      </c>
      <c r="AB180" s="1060"/>
      <c r="AC180" s="1060"/>
      <c r="AD180" s="1060"/>
      <c r="AE180" s="1061"/>
      <c r="AF180" s="1062"/>
      <c r="AG180" s="1057"/>
      <c r="AH180" s="1051"/>
      <c r="AI180" s="1052"/>
      <c r="AJ180" s="1042"/>
      <c r="AK180" s="1039"/>
    </row>
    <row r="181" ht="7.5" customHeight="1">
      <c r="A181" s="1039"/>
      <c r="B181" s="1042"/>
      <c r="C181" s="1053"/>
      <c r="D181" s="1050"/>
      <c r="E181" s="1058"/>
      <c r="F181" s="1064"/>
      <c r="G181" s="1068"/>
      <c r="H181" s="1069"/>
      <c r="I181" s="1068"/>
      <c r="J181" s="1063"/>
      <c r="K181" s="1068"/>
      <c r="L181" s="1063"/>
      <c r="M181" s="1068"/>
      <c r="N181" s="1063"/>
      <c r="O181" s="1068"/>
      <c r="P181" s="1063"/>
      <c r="Q181" s="1068"/>
      <c r="R181" s="1063"/>
      <c r="S181" s="1068"/>
      <c r="T181" s="1063"/>
      <c r="U181" s="1068"/>
      <c r="V181" s="1063"/>
      <c r="W181" s="1068"/>
      <c r="X181" s="1063"/>
      <c r="Y181" s="1068"/>
      <c r="Z181" s="1063"/>
      <c r="AA181" s="1068"/>
      <c r="AB181" s="1063"/>
      <c r="AC181" s="1068"/>
      <c r="AD181" s="1063"/>
      <c r="AE181" s="1068"/>
      <c r="AF181" s="1062"/>
      <c r="AG181" s="1057"/>
      <c r="AH181" s="1051"/>
      <c r="AI181" s="1052"/>
      <c r="AJ181" s="1042"/>
      <c r="AK181" s="1039"/>
    </row>
    <row r="182" ht="18.75" customHeight="1">
      <c r="A182" s="1039"/>
      <c r="B182" s="1042"/>
      <c r="C182" s="1053"/>
      <c r="D182" s="1050"/>
      <c r="E182" s="1058"/>
      <c r="F182" s="1064" t="str">
        <f>Source!$D$6</f>
        <v/>
      </c>
      <c r="G182" s="1065" t="s">
        <v>1465</v>
      </c>
      <c r="H182" s="1060"/>
      <c r="I182" s="1060"/>
      <c r="J182" s="1060"/>
      <c r="K182" s="1060"/>
      <c r="L182" s="1060"/>
      <c r="M182" s="1060"/>
      <c r="N182" s="1060"/>
      <c r="O182" s="1060"/>
      <c r="P182" s="1060"/>
      <c r="Q182" s="1060"/>
      <c r="R182" s="1060"/>
      <c r="S182" s="1060"/>
      <c r="T182" s="1060"/>
      <c r="U182" s="1060"/>
      <c r="V182" s="1060"/>
      <c r="W182" s="1060"/>
      <c r="X182" s="1061"/>
      <c r="Y182" s="1066" t="str">
        <f>Source!$B$8</f>
        <v/>
      </c>
      <c r="Z182" s="1061"/>
      <c r="AA182" s="1067" t="s">
        <v>1443</v>
      </c>
      <c r="AB182" s="1060"/>
      <c r="AC182" s="1060"/>
      <c r="AD182" s="1060"/>
      <c r="AE182" s="1061"/>
      <c r="AF182" s="1062"/>
      <c r="AG182" s="1057"/>
      <c r="AH182" s="1051"/>
      <c r="AI182" s="1052"/>
      <c r="AJ182" s="1042"/>
      <c r="AK182" s="1039"/>
    </row>
    <row r="183" ht="7.5" customHeight="1">
      <c r="A183" s="1039"/>
      <c r="B183" s="1042"/>
      <c r="C183" s="1053"/>
      <c r="D183" s="1050"/>
      <c r="E183" s="1058"/>
      <c r="F183" s="1064"/>
      <c r="G183" s="1068"/>
      <c r="H183" s="1069"/>
      <c r="I183" s="1068"/>
      <c r="J183" s="1063"/>
      <c r="K183" s="1068"/>
      <c r="L183" s="1063"/>
      <c r="M183" s="1068"/>
      <c r="N183" s="1063"/>
      <c r="O183" s="1068"/>
      <c r="P183" s="1063"/>
      <c r="Q183" s="1068"/>
      <c r="R183" s="1063"/>
      <c r="S183" s="1068"/>
      <c r="T183" s="1063"/>
      <c r="U183" s="1068"/>
      <c r="V183" s="1063"/>
      <c r="W183" s="1068"/>
      <c r="X183" s="1063"/>
      <c r="Y183" s="1068"/>
      <c r="Z183" s="1063"/>
      <c r="AA183" s="1068"/>
      <c r="AB183" s="1063"/>
      <c r="AC183" s="1068"/>
      <c r="AD183" s="1063"/>
      <c r="AE183" s="1068"/>
      <c r="AF183" s="1062"/>
      <c r="AG183" s="1057"/>
      <c r="AH183" s="1051"/>
      <c r="AI183" s="1052"/>
      <c r="AJ183" s="1042"/>
      <c r="AK183" s="1039"/>
    </row>
    <row r="184" ht="18.75" customHeight="1">
      <c r="A184" s="1039"/>
      <c r="B184" s="1042"/>
      <c r="C184" s="1053"/>
      <c r="D184" s="1050"/>
      <c r="E184" s="1058"/>
      <c r="F184" s="1064" t="str">
        <f>Source!$D$12</f>
        <v/>
      </c>
      <c r="G184" s="1080" t="s">
        <v>1466</v>
      </c>
      <c r="H184" s="1060"/>
      <c r="I184" s="1060"/>
      <c r="J184" s="1060"/>
      <c r="K184" s="1060"/>
      <c r="L184" s="1060"/>
      <c r="M184" s="1060"/>
      <c r="N184" s="1060"/>
      <c r="O184" s="1060"/>
      <c r="P184" s="1060"/>
      <c r="Q184" s="1060"/>
      <c r="R184" s="1060"/>
      <c r="S184" s="1060"/>
      <c r="T184" s="1060"/>
      <c r="U184" s="1060"/>
      <c r="V184" s="1060"/>
      <c r="W184" s="1060"/>
      <c r="X184" s="1061"/>
      <c r="Y184" s="1066" t="str">
        <f>Source!$B$8</f>
        <v/>
      </c>
      <c r="Z184" s="1061"/>
      <c r="AA184" s="1067" t="s">
        <v>1467</v>
      </c>
      <c r="AB184" s="1060"/>
      <c r="AC184" s="1060"/>
      <c r="AD184" s="1060"/>
      <c r="AE184" s="1061"/>
      <c r="AF184" s="1062"/>
      <c r="AG184" s="1057"/>
      <c r="AH184" s="1051"/>
      <c r="AI184" s="1052"/>
      <c r="AJ184" s="1042"/>
      <c r="AK184" s="1039"/>
    </row>
    <row r="185" ht="3.75" customHeight="1">
      <c r="A185" s="1039"/>
      <c r="B185" s="1042"/>
      <c r="C185" s="1053"/>
      <c r="D185" s="1050"/>
      <c r="E185" s="1070"/>
      <c r="F185" s="1071"/>
      <c r="G185" s="1071"/>
      <c r="H185" s="1071"/>
      <c r="I185" s="1071"/>
      <c r="J185" s="1071"/>
      <c r="K185" s="1071"/>
      <c r="L185" s="1071"/>
      <c r="M185" s="1071"/>
      <c r="N185" s="1071"/>
      <c r="O185" s="1071"/>
      <c r="P185" s="1071"/>
      <c r="Q185" s="1071"/>
      <c r="R185" s="1071"/>
      <c r="S185" s="1071"/>
      <c r="T185" s="1071"/>
      <c r="U185" s="1071"/>
      <c r="V185" s="1071"/>
      <c r="W185" s="1071"/>
      <c r="X185" s="1071"/>
      <c r="Y185" s="1071"/>
      <c r="Z185" s="1071"/>
      <c r="AA185" s="1071"/>
      <c r="AB185" s="1071"/>
      <c r="AC185" s="1071"/>
      <c r="AD185" s="1071"/>
      <c r="AE185" s="1071"/>
      <c r="AF185" s="1072"/>
      <c r="AG185" s="1057"/>
      <c r="AH185" s="1051"/>
      <c r="AI185" s="1052"/>
      <c r="AJ185" s="1042"/>
      <c r="AK185" s="1039"/>
    </row>
    <row r="186" ht="9.0" customHeight="1">
      <c r="A186" s="1039"/>
      <c r="B186" s="1042"/>
      <c r="C186" s="1073"/>
      <c r="D186" s="1049"/>
      <c r="E186" s="1074"/>
      <c r="F186" s="1074"/>
      <c r="G186" s="1074"/>
      <c r="H186" s="1074"/>
      <c r="I186" s="1074"/>
      <c r="J186" s="1074"/>
      <c r="K186" s="1074"/>
      <c r="L186" s="1074"/>
      <c r="M186" s="1074"/>
      <c r="N186" s="1074"/>
      <c r="O186" s="1074"/>
      <c r="P186" s="1074"/>
      <c r="Q186" s="1074"/>
      <c r="R186" s="1074"/>
      <c r="S186" s="1074"/>
      <c r="T186" s="1074"/>
      <c r="U186" s="1074"/>
      <c r="V186" s="1074"/>
      <c r="W186" s="1074"/>
      <c r="X186" s="1074"/>
      <c r="Y186" s="1074"/>
      <c r="Z186" s="1074"/>
      <c r="AA186" s="1074"/>
      <c r="AB186" s="1074"/>
      <c r="AC186" s="1074"/>
      <c r="AD186" s="1074"/>
      <c r="AE186" s="1074"/>
      <c r="AF186" s="1074"/>
      <c r="AG186" s="1075"/>
      <c r="AH186" s="1051"/>
      <c r="AI186" s="1076"/>
      <c r="AJ186" s="1042"/>
      <c r="AK186" s="1039"/>
    </row>
    <row r="187" ht="4.5" customHeight="1">
      <c r="A187" s="1039"/>
      <c r="B187" s="1042"/>
      <c r="C187" s="1077"/>
      <c r="D187" s="1051"/>
      <c r="E187" s="1051"/>
      <c r="F187" s="1051"/>
      <c r="G187" s="1051"/>
      <c r="H187" s="1051"/>
      <c r="I187" s="1051"/>
      <c r="J187" s="1051"/>
      <c r="K187" s="1051"/>
      <c r="L187" s="1051"/>
      <c r="M187" s="1051"/>
      <c r="N187" s="1051"/>
      <c r="O187" s="1051"/>
      <c r="P187" s="1051"/>
      <c r="Q187" s="1051"/>
      <c r="R187" s="1051"/>
      <c r="S187" s="1051"/>
      <c r="T187" s="1051"/>
      <c r="U187" s="1051"/>
      <c r="V187" s="1051"/>
      <c r="W187" s="1051"/>
      <c r="X187" s="1051"/>
      <c r="Y187" s="1051"/>
      <c r="Z187" s="1051"/>
      <c r="AA187" s="1051"/>
      <c r="AB187" s="1051"/>
      <c r="AC187" s="1051"/>
      <c r="AD187" s="1051"/>
      <c r="AE187" s="1051"/>
      <c r="AF187" s="1051"/>
      <c r="AG187" s="1051"/>
      <c r="AH187" s="1051"/>
      <c r="AI187" s="1076"/>
      <c r="AJ187" s="1042"/>
      <c r="AK187" s="1039"/>
    </row>
    <row r="188" ht="5.25" customHeight="1">
      <c r="A188" s="1039"/>
      <c r="B188" s="1042"/>
      <c r="C188" s="1042"/>
      <c r="D188" s="1042"/>
      <c r="E188" s="1042"/>
      <c r="F188" s="1042"/>
      <c r="G188" s="1042"/>
      <c r="H188" s="1042"/>
      <c r="I188" s="1042"/>
      <c r="J188" s="1042"/>
      <c r="K188" s="1042"/>
      <c r="L188" s="1042"/>
      <c r="M188" s="1042"/>
      <c r="N188" s="1042"/>
      <c r="O188" s="1042"/>
      <c r="P188" s="1042"/>
      <c r="Q188" s="1042"/>
      <c r="R188" s="1042"/>
      <c r="S188" s="1042"/>
      <c r="T188" s="1042"/>
      <c r="U188" s="1042"/>
      <c r="V188" s="1042"/>
      <c r="W188" s="1042"/>
      <c r="X188" s="1042"/>
      <c r="Y188" s="1042"/>
      <c r="Z188" s="1042"/>
      <c r="AA188" s="1042"/>
      <c r="AB188" s="1042"/>
      <c r="AC188" s="1042"/>
      <c r="AD188" s="1042"/>
      <c r="AE188" s="1042"/>
      <c r="AF188" s="1042"/>
      <c r="AG188" s="1042"/>
      <c r="AH188" s="1042"/>
      <c r="AI188" s="1042"/>
      <c r="AJ188" s="1042"/>
      <c r="AK188" s="1039"/>
    </row>
    <row r="189" ht="3.75" customHeight="1">
      <c r="A189" s="1039"/>
      <c r="B189" s="1039"/>
      <c r="C189" s="1039"/>
      <c r="D189" s="1039"/>
      <c r="E189" s="1039"/>
      <c r="F189" s="1039"/>
      <c r="G189" s="1039"/>
      <c r="H189" s="1039"/>
      <c r="I189" s="1039"/>
      <c r="J189" s="1039"/>
      <c r="K189" s="1039"/>
      <c r="L189" s="1039"/>
      <c r="M189" s="1039"/>
      <c r="N189" s="1039"/>
      <c r="O189" s="1039"/>
      <c r="P189" s="1039"/>
      <c r="Q189" s="1039"/>
      <c r="R189" s="1039"/>
      <c r="S189" s="1039"/>
      <c r="T189" s="1039"/>
      <c r="U189" s="1039"/>
      <c r="V189" s="1039"/>
      <c r="W189" s="1039"/>
      <c r="X189" s="1039"/>
      <c r="Y189" s="1039"/>
      <c r="Z189" s="1039"/>
      <c r="AA189" s="1039"/>
      <c r="AB189" s="1039"/>
      <c r="AC189" s="1039"/>
      <c r="AD189" s="1039"/>
      <c r="AE189" s="1039"/>
      <c r="AF189" s="1039"/>
      <c r="AG189" s="1039"/>
      <c r="AH189" s="1039"/>
      <c r="AI189" s="1039"/>
      <c r="AJ189" s="1039"/>
      <c r="AK189" s="1039"/>
    </row>
    <row r="190" ht="5.25" customHeight="1">
      <c r="A190" s="1041"/>
      <c r="B190" s="1042"/>
      <c r="C190" s="1042"/>
      <c r="D190" s="1042"/>
      <c r="E190" s="1042"/>
      <c r="F190" s="1042"/>
      <c r="G190" s="1042"/>
      <c r="H190" s="1042"/>
      <c r="I190" s="1042"/>
      <c r="J190" s="1042"/>
      <c r="K190" s="1042"/>
      <c r="L190" s="1042"/>
      <c r="M190" s="1042"/>
      <c r="N190" s="1042"/>
      <c r="O190" s="1042"/>
      <c r="P190" s="1042"/>
      <c r="Q190" s="1042"/>
      <c r="R190" s="1042"/>
      <c r="S190" s="1042"/>
      <c r="T190" s="1042"/>
      <c r="U190" s="1042"/>
      <c r="V190" s="1042"/>
      <c r="W190" s="1042"/>
      <c r="X190" s="1042"/>
      <c r="Y190" s="1042"/>
      <c r="Z190" s="1042"/>
      <c r="AA190" s="1042"/>
      <c r="AB190" s="1042"/>
      <c r="AC190" s="1042"/>
      <c r="AD190" s="1042"/>
      <c r="AE190" s="1042"/>
      <c r="AF190" s="1042"/>
      <c r="AG190" s="1042"/>
      <c r="AH190" s="1042"/>
      <c r="AI190" s="1042"/>
      <c r="AJ190" s="1042"/>
      <c r="AK190" s="1039"/>
    </row>
    <row r="191" ht="5.25" customHeight="1">
      <c r="A191" s="1039"/>
      <c r="B191" s="1042"/>
      <c r="C191" s="1043"/>
      <c r="D191" s="1044"/>
      <c r="E191" s="1044"/>
      <c r="F191" s="1044"/>
      <c r="G191" s="1044"/>
      <c r="H191" s="1044"/>
      <c r="I191" s="1044"/>
      <c r="J191" s="1044"/>
      <c r="K191" s="1044"/>
      <c r="L191" s="1044"/>
      <c r="M191" s="1044"/>
      <c r="N191" s="1044"/>
      <c r="O191" s="1044"/>
      <c r="P191" s="1044"/>
      <c r="Q191" s="1044"/>
      <c r="R191" s="1044"/>
      <c r="S191" s="1044"/>
      <c r="T191" s="1044"/>
      <c r="U191" s="1044"/>
      <c r="V191" s="1044"/>
      <c r="W191" s="1044"/>
      <c r="X191" s="1044"/>
      <c r="Y191" s="1044"/>
      <c r="Z191" s="1044"/>
      <c r="AA191" s="1044"/>
      <c r="AB191" s="1044"/>
      <c r="AC191" s="1044"/>
      <c r="AD191" s="1044"/>
      <c r="AE191" s="1044"/>
      <c r="AF191" s="1044"/>
      <c r="AG191" s="1045"/>
      <c r="AH191" s="1045"/>
      <c r="AI191" s="1046"/>
      <c r="AJ191" s="1042"/>
      <c r="AK191" s="1039"/>
    </row>
    <row r="192" ht="9.0" customHeight="1">
      <c r="A192" s="1039"/>
      <c r="B192" s="1042"/>
      <c r="C192" s="1047"/>
      <c r="D192" s="1048"/>
      <c r="E192" s="1049"/>
      <c r="F192" s="1049"/>
      <c r="G192" s="1049"/>
      <c r="H192" s="1049"/>
      <c r="I192" s="1049"/>
      <c r="J192" s="1049"/>
      <c r="K192" s="1049"/>
      <c r="L192" s="1049"/>
      <c r="M192" s="1049"/>
      <c r="N192" s="1049"/>
      <c r="O192" s="1049"/>
      <c r="P192" s="1049"/>
      <c r="Q192" s="1049"/>
      <c r="R192" s="1049"/>
      <c r="S192" s="1049"/>
      <c r="T192" s="1049"/>
      <c r="U192" s="1049"/>
      <c r="V192" s="1049"/>
      <c r="W192" s="1049"/>
      <c r="X192" s="1049"/>
      <c r="Y192" s="1049"/>
      <c r="Z192" s="1049"/>
      <c r="AA192" s="1049"/>
      <c r="AB192" s="1049"/>
      <c r="AC192" s="1049"/>
      <c r="AD192" s="1049"/>
      <c r="AE192" s="1049"/>
      <c r="AF192" s="1049"/>
      <c r="AG192" s="1050"/>
      <c r="AH192" s="1051"/>
      <c r="AI192" s="1052"/>
      <c r="AJ192" s="1042"/>
      <c r="AK192" s="1039"/>
    </row>
    <row r="193" ht="3.75" customHeight="1">
      <c r="A193" s="1039"/>
      <c r="B193" s="1042"/>
      <c r="C193" s="1053"/>
      <c r="D193" s="1050"/>
      <c r="E193" s="1054"/>
      <c r="F193" s="1055"/>
      <c r="G193" s="1055"/>
      <c r="H193" s="1055"/>
      <c r="I193" s="1055"/>
      <c r="J193" s="1055"/>
      <c r="K193" s="1055"/>
      <c r="L193" s="1055"/>
      <c r="M193" s="1055"/>
      <c r="N193" s="1055"/>
      <c r="O193" s="1055"/>
      <c r="P193" s="1055"/>
      <c r="Q193" s="1055"/>
      <c r="R193" s="1055"/>
      <c r="S193" s="1055"/>
      <c r="T193" s="1055"/>
      <c r="U193" s="1055"/>
      <c r="V193" s="1055"/>
      <c r="W193" s="1055"/>
      <c r="X193" s="1055"/>
      <c r="Y193" s="1055"/>
      <c r="Z193" s="1055"/>
      <c r="AA193" s="1055"/>
      <c r="AB193" s="1055"/>
      <c r="AC193" s="1055"/>
      <c r="AD193" s="1055"/>
      <c r="AE193" s="1055"/>
      <c r="AF193" s="1056"/>
      <c r="AG193" s="1057"/>
      <c r="AH193" s="1051"/>
      <c r="AI193" s="1052"/>
      <c r="AJ193" s="1042"/>
      <c r="AK193" s="1039"/>
    </row>
    <row r="194">
      <c r="A194" s="1039"/>
      <c r="B194" s="1042"/>
      <c r="C194" s="1053"/>
      <c r="D194" s="1050"/>
      <c r="E194" s="1058"/>
      <c r="F194" s="1059" t="s">
        <v>1468</v>
      </c>
      <c r="G194" s="1060"/>
      <c r="H194" s="1060"/>
      <c r="I194" s="1060"/>
      <c r="J194" s="1060"/>
      <c r="K194" s="1060"/>
      <c r="L194" s="1060"/>
      <c r="M194" s="1060"/>
      <c r="N194" s="1060"/>
      <c r="O194" s="1060"/>
      <c r="P194" s="1060"/>
      <c r="Q194" s="1060"/>
      <c r="R194" s="1060"/>
      <c r="S194" s="1060"/>
      <c r="T194" s="1060"/>
      <c r="U194" s="1060"/>
      <c r="V194" s="1060"/>
      <c r="W194" s="1060"/>
      <c r="X194" s="1060"/>
      <c r="Y194" s="1060"/>
      <c r="Z194" s="1060"/>
      <c r="AA194" s="1060"/>
      <c r="AB194" s="1060"/>
      <c r="AC194" s="1060"/>
      <c r="AD194" s="1060"/>
      <c r="AE194" s="1061"/>
      <c r="AF194" s="1062"/>
      <c r="AG194" s="1057"/>
      <c r="AH194" s="1051"/>
      <c r="AI194" s="1052"/>
      <c r="AJ194" s="1042"/>
      <c r="AK194" s="1039"/>
    </row>
    <row r="195" ht="7.5" customHeight="1">
      <c r="A195" s="1039"/>
      <c r="B195" s="1042"/>
      <c r="C195" s="1053"/>
      <c r="D195" s="1050"/>
      <c r="E195" s="1058"/>
      <c r="F195" s="1063"/>
      <c r="G195" s="1063"/>
      <c r="H195" s="1063"/>
      <c r="I195" s="1063"/>
      <c r="J195" s="1063"/>
      <c r="K195" s="1063"/>
      <c r="L195" s="1063"/>
      <c r="M195" s="1063"/>
      <c r="N195" s="1063"/>
      <c r="O195" s="1063"/>
      <c r="P195" s="1063"/>
      <c r="Q195" s="1063"/>
      <c r="R195" s="1063"/>
      <c r="S195" s="1063"/>
      <c r="T195" s="1063"/>
      <c r="U195" s="1063"/>
      <c r="V195" s="1063"/>
      <c r="W195" s="1063"/>
      <c r="X195" s="1063"/>
      <c r="Y195" s="1063"/>
      <c r="Z195" s="1063"/>
      <c r="AA195" s="1063"/>
      <c r="AB195" s="1063"/>
      <c r="AC195" s="1063"/>
      <c r="AD195" s="1063"/>
      <c r="AE195" s="1063"/>
      <c r="AF195" s="1062"/>
      <c r="AG195" s="1057"/>
      <c r="AH195" s="1051"/>
      <c r="AI195" s="1052"/>
      <c r="AJ195" s="1042"/>
      <c r="AK195" s="1039"/>
    </row>
    <row r="196" ht="18.75" customHeight="1">
      <c r="A196" s="1039"/>
      <c r="B196" s="1042"/>
      <c r="C196" s="1053"/>
      <c r="D196" s="1050"/>
      <c r="E196" s="1058"/>
      <c r="F196" s="1064" t="str">
        <f>Source!$AB$2</f>
        <v/>
      </c>
      <c r="G196" s="1065" t="s">
        <v>1469</v>
      </c>
      <c r="H196" s="1060"/>
      <c r="I196" s="1060"/>
      <c r="J196" s="1060"/>
      <c r="K196" s="1060"/>
      <c r="L196" s="1060"/>
      <c r="M196" s="1060"/>
      <c r="N196" s="1060"/>
      <c r="O196" s="1060"/>
      <c r="P196" s="1060"/>
      <c r="Q196" s="1060"/>
      <c r="R196" s="1060"/>
      <c r="S196" s="1060"/>
      <c r="T196" s="1060"/>
      <c r="U196" s="1060"/>
      <c r="V196" s="1060"/>
      <c r="W196" s="1060"/>
      <c r="X196" s="1061"/>
      <c r="Y196" s="1066" t="str">
        <f>Source!$B$8</f>
        <v/>
      </c>
      <c r="Z196" s="1061"/>
      <c r="AA196" s="1067">
        <v>2500.0</v>
      </c>
      <c r="AB196" s="1060"/>
      <c r="AC196" s="1060"/>
      <c r="AD196" s="1060"/>
      <c r="AE196" s="1061"/>
      <c r="AF196" s="1062"/>
      <c r="AG196" s="1057"/>
      <c r="AH196" s="1051"/>
      <c r="AI196" s="1052"/>
      <c r="AJ196" s="1042"/>
      <c r="AK196" s="1039"/>
    </row>
    <row r="197" ht="7.5" customHeight="1">
      <c r="A197" s="1039"/>
      <c r="B197" s="1042"/>
      <c r="C197" s="1053"/>
      <c r="D197" s="1050"/>
      <c r="E197" s="1058"/>
      <c r="F197" s="1064"/>
      <c r="G197" s="1068"/>
      <c r="H197" s="1069"/>
      <c r="I197" s="1068"/>
      <c r="J197" s="1063"/>
      <c r="K197" s="1068"/>
      <c r="L197" s="1063"/>
      <c r="M197" s="1068"/>
      <c r="N197" s="1063"/>
      <c r="O197" s="1068"/>
      <c r="P197" s="1063"/>
      <c r="Q197" s="1068"/>
      <c r="R197" s="1063"/>
      <c r="S197" s="1068"/>
      <c r="T197" s="1063"/>
      <c r="U197" s="1068"/>
      <c r="V197" s="1063"/>
      <c r="W197" s="1068"/>
      <c r="X197" s="1063"/>
      <c r="Y197" s="1068"/>
      <c r="Z197" s="1063"/>
      <c r="AA197" s="1068"/>
      <c r="AB197" s="1063"/>
      <c r="AC197" s="1068"/>
      <c r="AD197" s="1063"/>
      <c r="AE197" s="1068"/>
      <c r="AF197" s="1062"/>
      <c r="AG197" s="1057"/>
      <c r="AH197" s="1051"/>
      <c r="AI197" s="1052"/>
      <c r="AJ197" s="1042"/>
      <c r="AK197" s="1039"/>
    </row>
    <row r="198" ht="18.75" customHeight="1">
      <c r="A198" s="1039"/>
      <c r="B198" s="1042"/>
      <c r="C198" s="1053"/>
      <c r="D198" s="1050"/>
      <c r="E198" s="1058"/>
      <c r="F198" s="1064" t="str">
        <f>Source!$AE$2</f>
        <v/>
      </c>
      <c r="G198" s="1065" t="s">
        <v>1470</v>
      </c>
      <c r="H198" s="1060"/>
      <c r="I198" s="1060"/>
      <c r="J198" s="1060"/>
      <c r="K198" s="1060"/>
      <c r="L198" s="1060"/>
      <c r="M198" s="1060"/>
      <c r="N198" s="1060"/>
      <c r="O198" s="1060"/>
      <c r="P198" s="1060"/>
      <c r="Q198" s="1060"/>
      <c r="R198" s="1060"/>
      <c r="S198" s="1060"/>
      <c r="T198" s="1060"/>
      <c r="U198" s="1060"/>
      <c r="V198" s="1060"/>
      <c r="W198" s="1060"/>
      <c r="X198" s="1061"/>
      <c r="Y198" s="1066" t="str">
        <f>Source!$B$8</f>
        <v/>
      </c>
      <c r="Z198" s="1061"/>
      <c r="AA198" s="1067">
        <v>5000.0</v>
      </c>
      <c r="AB198" s="1060"/>
      <c r="AC198" s="1060"/>
      <c r="AD198" s="1060"/>
      <c r="AE198" s="1061"/>
      <c r="AF198" s="1062"/>
      <c r="AG198" s="1057"/>
      <c r="AH198" s="1051"/>
      <c r="AI198" s="1052"/>
      <c r="AJ198" s="1042"/>
      <c r="AK198" s="1039"/>
    </row>
    <row r="199" ht="7.5" customHeight="1">
      <c r="A199" s="1039"/>
      <c r="B199" s="1042"/>
      <c r="C199" s="1053"/>
      <c r="D199" s="1050"/>
      <c r="E199" s="1058"/>
      <c r="F199" s="1064"/>
      <c r="G199" s="1068"/>
      <c r="H199" s="1069"/>
      <c r="I199" s="1068"/>
      <c r="J199" s="1063"/>
      <c r="K199" s="1068"/>
      <c r="L199" s="1063"/>
      <c r="M199" s="1068"/>
      <c r="N199" s="1063"/>
      <c r="O199" s="1068"/>
      <c r="P199" s="1063"/>
      <c r="Q199" s="1068"/>
      <c r="R199" s="1063"/>
      <c r="S199" s="1068"/>
      <c r="T199" s="1063"/>
      <c r="U199" s="1068"/>
      <c r="V199" s="1063"/>
      <c r="W199" s="1068"/>
      <c r="X199" s="1063"/>
      <c r="Y199" s="1068"/>
      <c r="Z199" s="1063"/>
      <c r="AA199" s="1068"/>
      <c r="AB199" s="1063"/>
      <c r="AC199" s="1068"/>
      <c r="AD199" s="1063"/>
      <c r="AE199" s="1068"/>
      <c r="AF199" s="1062"/>
      <c r="AG199" s="1057"/>
      <c r="AH199" s="1051"/>
      <c r="AI199" s="1052"/>
      <c r="AJ199" s="1042"/>
      <c r="AK199" s="1039"/>
    </row>
    <row r="200" ht="18.75" customHeight="1">
      <c r="A200" s="1039"/>
      <c r="B200" s="1042"/>
      <c r="C200" s="1053"/>
      <c r="D200" s="1050"/>
      <c r="E200" s="1058"/>
      <c r="F200" s="1064" t="str">
        <f>Source!$AT$9</f>
        <v/>
      </c>
      <c r="G200" s="1065" t="s">
        <v>1471</v>
      </c>
      <c r="H200" s="1060"/>
      <c r="I200" s="1060"/>
      <c r="J200" s="1060"/>
      <c r="K200" s="1060"/>
      <c r="L200" s="1060"/>
      <c r="M200" s="1060"/>
      <c r="N200" s="1060"/>
      <c r="O200" s="1060"/>
      <c r="P200" s="1060"/>
      <c r="Q200" s="1060"/>
      <c r="R200" s="1060"/>
      <c r="S200" s="1060"/>
      <c r="T200" s="1060"/>
      <c r="U200" s="1060"/>
      <c r="V200" s="1060"/>
      <c r="W200" s="1060"/>
      <c r="X200" s="1061"/>
      <c r="Y200" s="1066" t="str">
        <f>Source!$B$8</f>
        <v/>
      </c>
      <c r="Z200" s="1061"/>
      <c r="AA200" s="1067">
        <v>20.0</v>
      </c>
      <c r="AB200" s="1060"/>
      <c r="AC200" s="1060"/>
      <c r="AD200" s="1060"/>
      <c r="AE200" s="1061"/>
      <c r="AF200" s="1062"/>
      <c r="AG200" s="1057"/>
      <c r="AH200" s="1051"/>
      <c r="AI200" s="1052"/>
      <c r="AJ200" s="1042"/>
      <c r="AK200" s="1039"/>
    </row>
    <row r="201" ht="7.5" customHeight="1">
      <c r="A201" s="1039"/>
      <c r="B201" s="1042"/>
      <c r="C201" s="1053"/>
      <c r="D201" s="1050"/>
      <c r="E201" s="1058"/>
      <c r="F201" s="1064"/>
      <c r="G201" s="1068"/>
      <c r="H201" s="1069"/>
      <c r="I201" s="1068"/>
      <c r="J201" s="1063"/>
      <c r="K201" s="1068"/>
      <c r="L201" s="1063"/>
      <c r="M201" s="1068"/>
      <c r="N201" s="1063"/>
      <c r="O201" s="1068"/>
      <c r="P201" s="1063"/>
      <c r="Q201" s="1068"/>
      <c r="R201" s="1063"/>
      <c r="S201" s="1068"/>
      <c r="T201" s="1063"/>
      <c r="U201" s="1068"/>
      <c r="V201" s="1063"/>
      <c r="W201" s="1068"/>
      <c r="X201" s="1063"/>
      <c r="Y201" s="1068"/>
      <c r="Z201" s="1063"/>
      <c r="AA201" s="1068"/>
      <c r="AB201" s="1063"/>
      <c r="AC201" s="1068"/>
      <c r="AD201" s="1063"/>
      <c r="AE201" s="1068"/>
      <c r="AF201" s="1062"/>
      <c r="AG201" s="1057"/>
      <c r="AH201" s="1051"/>
      <c r="AI201" s="1052"/>
      <c r="AJ201" s="1042"/>
      <c r="AK201" s="1039"/>
    </row>
    <row r="202" ht="18.75" customHeight="1">
      <c r="A202" s="1039"/>
      <c r="B202" s="1042"/>
      <c r="C202" s="1053"/>
      <c r="D202" s="1050"/>
      <c r="E202" s="1058"/>
      <c r="F202" s="1064" t="str">
        <f>Source!$AT$10</f>
        <v/>
      </c>
      <c r="G202" s="1065" t="s">
        <v>1472</v>
      </c>
      <c r="H202" s="1060"/>
      <c r="I202" s="1060"/>
      <c r="J202" s="1060"/>
      <c r="K202" s="1060"/>
      <c r="L202" s="1060"/>
      <c r="M202" s="1060"/>
      <c r="N202" s="1060"/>
      <c r="O202" s="1060"/>
      <c r="P202" s="1060"/>
      <c r="Q202" s="1060"/>
      <c r="R202" s="1060"/>
      <c r="S202" s="1060"/>
      <c r="T202" s="1060"/>
      <c r="U202" s="1060"/>
      <c r="V202" s="1060"/>
      <c r="W202" s="1060"/>
      <c r="X202" s="1061"/>
      <c r="Y202" s="1066" t="str">
        <f>Source!$B$8</f>
        <v/>
      </c>
      <c r="Z202" s="1061"/>
      <c r="AA202" s="1067">
        <v>20.0</v>
      </c>
      <c r="AB202" s="1060"/>
      <c r="AC202" s="1060"/>
      <c r="AD202" s="1060"/>
      <c r="AE202" s="1061"/>
      <c r="AF202" s="1062"/>
      <c r="AG202" s="1057"/>
      <c r="AH202" s="1051"/>
      <c r="AI202" s="1052"/>
      <c r="AJ202" s="1042"/>
      <c r="AK202" s="1039"/>
    </row>
    <row r="203" ht="7.5" customHeight="1">
      <c r="A203" s="1039"/>
      <c r="B203" s="1042"/>
      <c r="C203" s="1053"/>
      <c r="D203" s="1050"/>
      <c r="E203" s="1058"/>
      <c r="F203" s="1064"/>
      <c r="G203" s="1068"/>
      <c r="H203" s="1069"/>
      <c r="I203" s="1068"/>
      <c r="J203" s="1063"/>
      <c r="K203" s="1068"/>
      <c r="L203" s="1063"/>
      <c r="M203" s="1068"/>
      <c r="N203" s="1063"/>
      <c r="O203" s="1068"/>
      <c r="P203" s="1063"/>
      <c r="Q203" s="1068"/>
      <c r="R203" s="1063"/>
      <c r="S203" s="1068"/>
      <c r="T203" s="1063"/>
      <c r="U203" s="1068"/>
      <c r="V203" s="1063"/>
      <c r="W203" s="1068"/>
      <c r="X203" s="1063"/>
      <c r="Y203" s="1068"/>
      <c r="Z203" s="1063"/>
      <c r="AA203" s="1068"/>
      <c r="AB203" s="1063"/>
      <c r="AC203" s="1068"/>
      <c r="AD203" s="1063"/>
      <c r="AE203" s="1068"/>
      <c r="AF203" s="1062"/>
      <c r="AG203" s="1057"/>
      <c r="AH203" s="1051"/>
      <c r="AI203" s="1052"/>
      <c r="AJ203" s="1042"/>
      <c r="AK203" s="1039"/>
    </row>
    <row r="204" ht="18.75" customHeight="1">
      <c r="A204" s="1039"/>
      <c r="B204" s="1042"/>
      <c r="C204" s="1053"/>
      <c r="D204" s="1050"/>
      <c r="E204" s="1058"/>
      <c r="F204" s="1064" t="str">
        <f>Source!$AT$55</f>
        <v/>
      </c>
      <c r="G204" s="1065" t="s">
        <v>1473</v>
      </c>
      <c r="H204" s="1060"/>
      <c r="I204" s="1060"/>
      <c r="J204" s="1060"/>
      <c r="K204" s="1060"/>
      <c r="L204" s="1060"/>
      <c r="M204" s="1060"/>
      <c r="N204" s="1060"/>
      <c r="O204" s="1060"/>
      <c r="P204" s="1060"/>
      <c r="Q204" s="1060"/>
      <c r="R204" s="1060"/>
      <c r="S204" s="1060"/>
      <c r="T204" s="1060"/>
      <c r="U204" s="1060"/>
      <c r="V204" s="1060"/>
      <c r="W204" s="1060"/>
      <c r="X204" s="1061"/>
      <c r="Y204" s="1066" t="str">
        <f>Source!$B$8</f>
        <v/>
      </c>
      <c r="Z204" s="1061"/>
      <c r="AA204" s="1067">
        <v>20.0</v>
      </c>
      <c r="AB204" s="1060"/>
      <c r="AC204" s="1060"/>
      <c r="AD204" s="1060"/>
      <c r="AE204" s="1061"/>
      <c r="AF204" s="1062"/>
      <c r="AG204" s="1057"/>
      <c r="AH204" s="1051"/>
      <c r="AI204" s="1052"/>
      <c r="AJ204" s="1042"/>
      <c r="AK204" s="1039"/>
    </row>
    <row r="205" ht="7.5" customHeight="1">
      <c r="A205" s="1039"/>
      <c r="B205" s="1042"/>
      <c r="C205" s="1053"/>
      <c r="D205" s="1050"/>
      <c r="E205" s="1058"/>
      <c r="F205" s="1064"/>
      <c r="G205" s="1068"/>
      <c r="H205" s="1069"/>
      <c r="I205" s="1068"/>
      <c r="J205" s="1063"/>
      <c r="K205" s="1068"/>
      <c r="L205" s="1063"/>
      <c r="M205" s="1068"/>
      <c r="N205" s="1063"/>
      <c r="O205" s="1068"/>
      <c r="P205" s="1063"/>
      <c r="Q205" s="1068"/>
      <c r="R205" s="1063"/>
      <c r="S205" s="1068"/>
      <c r="T205" s="1063"/>
      <c r="U205" s="1068"/>
      <c r="V205" s="1063"/>
      <c r="W205" s="1068"/>
      <c r="X205" s="1063"/>
      <c r="Y205" s="1068"/>
      <c r="Z205" s="1063"/>
      <c r="AA205" s="1068"/>
      <c r="AB205" s="1063"/>
      <c r="AC205" s="1068"/>
      <c r="AD205" s="1063"/>
      <c r="AE205" s="1068"/>
      <c r="AF205" s="1062"/>
      <c r="AG205" s="1057"/>
      <c r="AH205" s="1051"/>
      <c r="AI205" s="1052"/>
      <c r="AJ205" s="1042"/>
      <c r="AK205" s="1039"/>
    </row>
    <row r="206" ht="18.75" customHeight="1">
      <c r="A206" s="1039"/>
      <c r="B206" s="1042"/>
      <c r="C206" s="1053"/>
      <c r="D206" s="1050"/>
      <c r="E206" s="1058"/>
      <c r="F206" s="1064" t="str">
        <f>Source!$AT$4</f>
        <v/>
      </c>
      <c r="G206" s="1065" t="s">
        <v>1474</v>
      </c>
      <c r="H206" s="1060"/>
      <c r="I206" s="1060"/>
      <c r="J206" s="1060"/>
      <c r="K206" s="1060"/>
      <c r="L206" s="1060"/>
      <c r="M206" s="1060"/>
      <c r="N206" s="1060"/>
      <c r="O206" s="1060"/>
      <c r="P206" s="1060"/>
      <c r="Q206" s="1060"/>
      <c r="R206" s="1060"/>
      <c r="S206" s="1060"/>
      <c r="T206" s="1060"/>
      <c r="U206" s="1060"/>
      <c r="V206" s="1060"/>
      <c r="W206" s="1060"/>
      <c r="X206" s="1061"/>
      <c r="Y206" s="1066" t="str">
        <f>Source!$B$8</f>
        <v/>
      </c>
      <c r="Z206" s="1061"/>
      <c r="AA206" s="1067">
        <v>20.0</v>
      </c>
      <c r="AB206" s="1060"/>
      <c r="AC206" s="1060"/>
      <c r="AD206" s="1060"/>
      <c r="AE206" s="1061"/>
      <c r="AF206" s="1062"/>
      <c r="AG206" s="1057"/>
      <c r="AH206" s="1051"/>
      <c r="AI206" s="1052"/>
      <c r="AJ206" s="1042"/>
      <c r="AK206" s="1039"/>
    </row>
    <row r="207" ht="7.5" customHeight="1">
      <c r="A207" s="1039"/>
      <c r="B207" s="1042"/>
      <c r="C207" s="1053"/>
      <c r="D207" s="1050"/>
      <c r="E207" s="1058"/>
      <c r="F207" s="1064"/>
      <c r="G207" s="1068"/>
      <c r="H207" s="1069"/>
      <c r="I207" s="1068"/>
      <c r="J207" s="1063"/>
      <c r="K207" s="1068"/>
      <c r="L207" s="1063"/>
      <c r="M207" s="1068"/>
      <c r="N207" s="1063"/>
      <c r="O207" s="1068"/>
      <c r="P207" s="1063"/>
      <c r="Q207" s="1068"/>
      <c r="R207" s="1063"/>
      <c r="S207" s="1068"/>
      <c r="T207" s="1063"/>
      <c r="U207" s="1068"/>
      <c r="V207" s="1063"/>
      <c r="W207" s="1068"/>
      <c r="X207" s="1063"/>
      <c r="Y207" s="1068"/>
      <c r="Z207" s="1063"/>
      <c r="AA207" s="1068"/>
      <c r="AB207" s="1063"/>
      <c r="AC207" s="1068"/>
      <c r="AD207" s="1063"/>
      <c r="AE207" s="1068"/>
      <c r="AF207" s="1062"/>
      <c r="AG207" s="1057"/>
      <c r="AH207" s="1051"/>
      <c r="AI207" s="1052"/>
      <c r="AJ207" s="1042"/>
      <c r="AK207" s="1039"/>
    </row>
    <row r="208" ht="18.75" customHeight="1">
      <c r="A208" s="1039"/>
      <c r="B208" s="1042"/>
      <c r="C208" s="1053"/>
      <c r="D208" s="1050"/>
      <c r="E208" s="1058"/>
      <c r="F208" s="1064" t="str">
        <f>Source!$AT$49</f>
        <v/>
      </c>
      <c r="G208" s="1065" t="s">
        <v>1475</v>
      </c>
      <c r="H208" s="1060"/>
      <c r="I208" s="1060"/>
      <c r="J208" s="1060"/>
      <c r="K208" s="1060"/>
      <c r="L208" s="1060"/>
      <c r="M208" s="1060"/>
      <c r="N208" s="1060"/>
      <c r="O208" s="1060"/>
      <c r="P208" s="1060"/>
      <c r="Q208" s="1060"/>
      <c r="R208" s="1060"/>
      <c r="S208" s="1060"/>
      <c r="T208" s="1060"/>
      <c r="U208" s="1060"/>
      <c r="V208" s="1060"/>
      <c r="W208" s="1060"/>
      <c r="X208" s="1061"/>
      <c r="Y208" s="1066" t="str">
        <f>Source!$B$8</f>
        <v/>
      </c>
      <c r="Z208" s="1061"/>
      <c r="AA208" s="1067">
        <v>20.0</v>
      </c>
      <c r="AB208" s="1060"/>
      <c r="AC208" s="1060"/>
      <c r="AD208" s="1060"/>
      <c r="AE208" s="1061"/>
      <c r="AF208" s="1062"/>
      <c r="AG208" s="1057"/>
      <c r="AH208" s="1051"/>
      <c r="AI208" s="1052"/>
      <c r="AJ208" s="1042"/>
      <c r="AK208" s="1039"/>
    </row>
    <row r="209" ht="7.5" customHeight="1">
      <c r="A209" s="1039"/>
      <c r="B209" s="1042"/>
      <c r="C209" s="1053"/>
      <c r="D209" s="1050"/>
      <c r="E209" s="1058"/>
      <c r="F209" s="1064"/>
      <c r="G209" s="1068"/>
      <c r="H209" s="1069"/>
      <c r="I209" s="1068"/>
      <c r="J209" s="1063"/>
      <c r="K209" s="1068"/>
      <c r="L209" s="1063"/>
      <c r="M209" s="1068"/>
      <c r="N209" s="1063"/>
      <c r="O209" s="1068"/>
      <c r="P209" s="1063"/>
      <c r="Q209" s="1068"/>
      <c r="R209" s="1063"/>
      <c r="S209" s="1068"/>
      <c r="T209" s="1063"/>
      <c r="U209" s="1068"/>
      <c r="V209" s="1063"/>
      <c r="W209" s="1068"/>
      <c r="X209" s="1063"/>
      <c r="Y209" s="1068"/>
      <c r="Z209" s="1063"/>
      <c r="AA209" s="1068"/>
      <c r="AB209" s="1063"/>
      <c r="AC209" s="1068"/>
      <c r="AD209" s="1063"/>
      <c r="AE209" s="1068"/>
      <c r="AF209" s="1062"/>
      <c r="AG209" s="1057"/>
      <c r="AH209" s="1051"/>
      <c r="AI209" s="1052"/>
      <c r="AJ209" s="1042"/>
      <c r="AK209" s="1039"/>
    </row>
    <row r="210" ht="18.75" customHeight="1">
      <c r="A210" s="1039"/>
      <c r="B210" s="1042"/>
      <c r="C210" s="1053"/>
      <c r="D210" s="1050"/>
      <c r="E210" s="1058"/>
      <c r="F210" s="1064" t="str">
        <f>Source!$BL$6</f>
        <v/>
      </c>
      <c r="G210" s="1065" t="s">
        <v>1476</v>
      </c>
      <c r="H210" s="1060"/>
      <c r="I210" s="1060"/>
      <c r="J210" s="1060"/>
      <c r="K210" s="1060"/>
      <c r="L210" s="1060"/>
      <c r="M210" s="1060"/>
      <c r="N210" s="1060"/>
      <c r="O210" s="1060"/>
      <c r="P210" s="1060"/>
      <c r="Q210" s="1060"/>
      <c r="R210" s="1060"/>
      <c r="S210" s="1060"/>
      <c r="T210" s="1060"/>
      <c r="U210" s="1060"/>
      <c r="V210" s="1060"/>
      <c r="W210" s="1060"/>
      <c r="X210" s="1061"/>
      <c r="Y210" s="1066" t="str">
        <f>Source!$B$8</f>
        <v/>
      </c>
      <c r="Z210" s="1061"/>
      <c r="AA210" s="1067">
        <v>3000.0</v>
      </c>
      <c r="AB210" s="1060"/>
      <c r="AC210" s="1060"/>
      <c r="AD210" s="1060"/>
      <c r="AE210" s="1061"/>
      <c r="AF210" s="1062"/>
      <c r="AG210" s="1057"/>
      <c r="AH210" s="1051"/>
      <c r="AI210" s="1052"/>
      <c r="AJ210" s="1042"/>
      <c r="AK210" s="1039"/>
    </row>
    <row r="211" ht="7.5" customHeight="1">
      <c r="A211" s="1039"/>
      <c r="B211" s="1042"/>
      <c r="C211" s="1053"/>
      <c r="D211" s="1050"/>
      <c r="E211" s="1058"/>
      <c r="F211" s="1064"/>
      <c r="G211" s="1068"/>
      <c r="H211" s="1069"/>
      <c r="I211" s="1068"/>
      <c r="J211" s="1063"/>
      <c r="K211" s="1068"/>
      <c r="L211" s="1063"/>
      <c r="M211" s="1068"/>
      <c r="N211" s="1063"/>
      <c r="O211" s="1068"/>
      <c r="P211" s="1063"/>
      <c r="Q211" s="1068"/>
      <c r="R211" s="1063"/>
      <c r="S211" s="1068"/>
      <c r="T211" s="1063"/>
      <c r="U211" s="1068"/>
      <c r="V211" s="1063"/>
      <c r="W211" s="1068"/>
      <c r="X211" s="1063"/>
      <c r="Y211" s="1068"/>
      <c r="Z211" s="1063"/>
      <c r="AA211" s="1068"/>
      <c r="AB211" s="1063"/>
      <c r="AC211" s="1068"/>
      <c r="AD211" s="1063"/>
      <c r="AE211" s="1068"/>
      <c r="AF211" s="1062"/>
      <c r="AG211" s="1057"/>
      <c r="AH211" s="1051"/>
      <c r="AI211" s="1052"/>
      <c r="AJ211" s="1042"/>
      <c r="AK211" s="1039"/>
    </row>
    <row r="212" ht="18.75" customHeight="1">
      <c r="A212" s="1039"/>
      <c r="B212" s="1042"/>
      <c r="C212" s="1053"/>
      <c r="D212" s="1050"/>
      <c r="E212" s="1058"/>
      <c r="F212" s="1064" t="str">
        <f>Source!$BL$5</f>
        <v/>
      </c>
      <c r="G212" s="1065" t="s">
        <v>1477</v>
      </c>
      <c r="H212" s="1060"/>
      <c r="I212" s="1060"/>
      <c r="J212" s="1060"/>
      <c r="K212" s="1060"/>
      <c r="L212" s="1060"/>
      <c r="M212" s="1060"/>
      <c r="N212" s="1060"/>
      <c r="O212" s="1060"/>
      <c r="P212" s="1060"/>
      <c r="Q212" s="1060"/>
      <c r="R212" s="1060"/>
      <c r="S212" s="1060"/>
      <c r="T212" s="1060"/>
      <c r="U212" s="1060"/>
      <c r="V212" s="1060"/>
      <c r="W212" s="1060"/>
      <c r="X212" s="1061"/>
      <c r="Y212" s="1066" t="str">
        <f>Source!$B$8</f>
        <v/>
      </c>
      <c r="Z212" s="1061"/>
      <c r="AA212" s="1067">
        <v>3000.0</v>
      </c>
      <c r="AB212" s="1060"/>
      <c r="AC212" s="1060"/>
      <c r="AD212" s="1060"/>
      <c r="AE212" s="1061"/>
      <c r="AF212" s="1062"/>
      <c r="AG212" s="1057"/>
      <c r="AH212" s="1051"/>
      <c r="AI212" s="1052"/>
      <c r="AJ212" s="1042"/>
      <c r="AK212" s="1039"/>
    </row>
    <row r="213" ht="7.5" customHeight="1">
      <c r="A213" s="1039"/>
      <c r="B213" s="1042"/>
      <c r="C213" s="1053"/>
      <c r="D213" s="1050"/>
      <c r="E213" s="1058"/>
      <c r="F213" s="1064"/>
      <c r="G213" s="1068"/>
      <c r="H213" s="1069"/>
      <c r="I213" s="1068"/>
      <c r="J213" s="1063"/>
      <c r="K213" s="1068"/>
      <c r="L213" s="1063"/>
      <c r="M213" s="1068"/>
      <c r="N213" s="1063"/>
      <c r="O213" s="1068"/>
      <c r="P213" s="1063"/>
      <c r="Q213" s="1068"/>
      <c r="R213" s="1063"/>
      <c r="S213" s="1068"/>
      <c r="T213" s="1063"/>
      <c r="U213" s="1068"/>
      <c r="V213" s="1063"/>
      <c r="W213" s="1068"/>
      <c r="X213" s="1063"/>
      <c r="Y213" s="1068"/>
      <c r="Z213" s="1063"/>
      <c r="AA213" s="1068"/>
      <c r="AB213" s="1063"/>
      <c r="AC213" s="1068"/>
      <c r="AD213" s="1063"/>
      <c r="AE213" s="1068"/>
      <c r="AF213" s="1062"/>
      <c r="AG213" s="1057"/>
      <c r="AH213" s="1051"/>
      <c r="AI213" s="1052"/>
      <c r="AJ213" s="1042"/>
      <c r="AK213" s="1039"/>
    </row>
    <row r="214" ht="18.75" customHeight="1">
      <c r="A214" s="1039"/>
      <c r="B214" s="1042"/>
      <c r="C214" s="1053"/>
      <c r="D214" s="1050"/>
      <c r="E214" s="1058"/>
      <c r="F214" s="1064" t="str">
        <f>Source!$BL$7</f>
        <v/>
      </c>
      <c r="G214" s="1065" t="s">
        <v>1478</v>
      </c>
      <c r="H214" s="1060"/>
      <c r="I214" s="1060"/>
      <c r="J214" s="1060"/>
      <c r="K214" s="1060"/>
      <c r="L214" s="1060"/>
      <c r="M214" s="1060"/>
      <c r="N214" s="1060"/>
      <c r="O214" s="1060"/>
      <c r="P214" s="1060"/>
      <c r="Q214" s="1060"/>
      <c r="R214" s="1060"/>
      <c r="S214" s="1060"/>
      <c r="T214" s="1060"/>
      <c r="U214" s="1060"/>
      <c r="V214" s="1060"/>
      <c r="W214" s="1060"/>
      <c r="X214" s="1061"/>
      <c r="Y214" s="1066" t="str">
        <f>Source!$B$8</f>
        <v/>
      </c>
      <c r="Z214" s="1061"/>
      <c r="AA214" s="1067">
        <v>3000.0</v>
      </c>
      <c r="AB214" s="1060"/>
      <c r="AC214" s="1060"/>
      <c r="AD214" s="1060"/>
      <c r="AE214" s="1061"/>
      <c r="AF214" s="1062"/>
      <c r="AG214" s="1057"/>
      <c r="AH214" s="1051"/>
      <c r="AI214" s="1052"/>
      <c r="AJ214" s="1042"/>
      <c r="AK214" s="1039"/>
    </row>
    <row r="215" ht="7.5" customHeight="1">
      <c r="A215" s="1039"/>
      <c r="B215" s="1042"/>
      <c r="C215" s="1053"/>
      <c r="D215" s="1050"/>
      <c r="E215" s="1058"/>
      <c r="F215" s="1064"/>
      <c r="G215" s="1068"/>
      <c r="H215" s="1069"/>
      <c r="I215" s="1068"/>
      <c r="J215" s="1063"/>
      <c r="K215" s="1068"/>
      <c r="L215" s="1063"/>
      <c r="M215" s="1068"/>
      <c r="N215" s="1063"/>
      <c r="O215" s="1068"/>
      <c r="P215" s="1063"/>
      <c r="Q215" s="1068"/>
      <c r="R215" s="1063"/>
      <c r="S215" s="1068"/>
      <c r="T215" s="1063"/>
      <c r="U215" s="1068"/>
      <c r="V215" s="1063"/>
      <c r="W215" s="1068"/>
      <c r="X215" s="1063"/>
      <c r="Y215" s="1068"/>
      <c r="Z215" s="1063"/>
      <c r="AA215" s="1068"/>
      <c r="AB215" s="1063"/>
      <c r="AC215" s="1068"/>
      <c r="AD215" s="1063"/>
      <c r="AE215" s="1068"/>
      <c r="AF215" s="1062"/>
      <c r="AG215" s="1057"/>
      <c r="AH215" s="1051"/>
      <c r="AI215" s="1052"/>
      <c r="AJ215" s="1042"/>
      <c r="AK215" s="1039"/>
    </row>
    <row r="216" ht="18.75" customHeight="1">
      <c r="A216" s="1039"/>
      <c r="B216" s="1042"/>
      <c r="C216" s="1053"/>
      <c r="D216" s="1050"/>
      <c r="E216" s="1058"/>
      <c r="F216" s="1064" t="str">
        <f>Source!$BL$4</f>
        <v/>
      </c>
      <c r="G216" s="1065" t="s">
        <v>1479</v>
      </c>
      <c r="H216" s="1060"/>
      <c r="I216" s="1060"/>
      <c r="J216" s="1060"/>
      <c r="K216" s="1060"/>
      <c r="L216" s="1060"/>
      <c r="M216" s="1060"/>
      <c r="N216" s="1060"/>
      <c r="O216" s="1060"/>
      <c r="P216" s="1060"/>
      <c r="Q216" s="1060"/>
      <c r="R216" s="1060"/>
      <c r="S216" s="1060"/>
      <c r="T216" s="1060"/>
      <c r="U216" s="1060"/>
      <c r="V216" s="1060"/>
      <c r="W216" s="1060"/>
      <c r="X216" s="1061"/>
      <c r="Y216" s="1066" t="str">
        <f>Source!$B$8</f>
        <v/>
      </c>
      <c r="Z216" s="1061"/>
      <c r="AA216" s="1067">
        <v>3000.0</v>
      </c>
      <c r="AB216" s="1060"/>
      <c r="AC216" s="1060"/>
      <c r="AD216" s="1060"/>
      <c r="AE216" s="1061"/>
      <c r="AF216" s="1062"/>
      <c r="AG216" s="1057"/>
      <c r="AH216" s="1051"/>
      <c r="AI216" s="1052"/>
      <c r="AJ216" s="1042"/>
      <c r="AK216" s="1039"/>
    </row>
    <row r="217" ht="7.5" customHeight="1">
      <c r="A217" s="1039"/>
      <c r="B217" s="1042"/>
      <c r="C217" s="1053"/>
      <c r="D217" s="1050"/>
      <c r="E217" s="1058"/>
      <c r="F217" s="1064"/>
      <c r="G217" s="1068"/>
      <c r="H217" s="1069"/>
      <c r="I217" s="1068"/>
      <c r="J217" s="1063"/>
      <c r="K217" s="1068"/>
      <c r="L217" s="1063"/>
      <c r="M217" s="1068"/>
      <c r="N217" s="1063"/>
      <c r="O217" s="1068"/>
      <c r="P217" s="1063"/>
      <c r="Q217" s="1068"/>
      <c r="R217" s="1063"/>
      <c r="S217" s="1068"/>
      <c r="T217" s="1063"/>
      <c r="U217" s="1068"/>
      <c r="V217" s="1063"/>
      <c r="W217" s="1068"/>
      <c r="X217" s="1063"/>
      <c r="Y217" s="1068"/>
      <c r="Z217" s="1063"/>
      <c r="AA217" s="1068"/>
      <c r="AB217" s="1063"/>
      <c r="AC217" s="1068"/>
      <c r="AD217" s="1063"/>
      <c r="AE217" s="1068"/>
      <c r="AF217" s="1062"/>
      <c r="AG217" s="1057"/>
      <c r="AH217" s="1051"/>
      <c r="AI217" s="1052"/>
      <c r="AJ217" s="1042"/>
      <c r="AK217" s="1039"/>
    </row>
    <row r="218" ht="18.75" customHeight="1">
      <c r="A218" s="1039"/>
      <c r="B218" s="1042"/>
      <c r="C218" s="1053"/>
      <c r="D218" s="1050"/>
      <c r="E218" s="1058"/>
      <c r="F218" s="1064" t="str">
        <f>Source!$BL$3</f>
        <v/>
      </c>
      <c r="G218" s="1065" t="s">
        <v>1480</v>
      </c>
      <c r="H218" s="1060"/>
      <c r="I218" s="1060"/>
      <c r="J218" s="1060"/>
      <c r="K218" s="1060"/>
      <c r="L218" s="1060"/>
      <c r="M218" s="1060"/>
      <c r="N218" s="1060"/>
      <c r="O218" s="1060"/>
      <c r="P218" s="1060"/>
      <c r="Q218" s="1060"/>
      <c r="R218" s="1060"/>
      <c r="S218" s="1060"/>
      <c r="T218" s="1060"/>
      <c r="U218" s="1060"/>
      <c r="V218" s="1060"/>
      <c r="W218" s="1060"/>
      <c r="X218" s="1061"/>
      <c r="Y218" s="1066" t="str">
        <f>Source!$B$8</f>
        <v/>
      </c>
      <c r="Z218" s="1061"/>
      <c r="AA218" s="1067">
        <v>3000.0</v>
      </c>
      <c r="AB218" s="1060"/>
      <c r="AC218" s="1060"/>
      <c r="AD218" s="1060"/>
      <c r="AE218" s="1061"/>
      <c r="AF218" s="1062"/>
      <c r="AG218" s="1057"/>
      <c r="AH218" s="1051"/>
      <c r="AI218" s="1052"/>
      <c r="AJ218" s="1042"/>
      <c r="AK218" s="1039"/>
    </row>
    <row r="219" ht="7.5" customHeight="1">
      <c r="A219" s="1039"/>
      <c r="B219" s="1042"/>
      <c r="C219" s="1053"/>
      <c r="D219" s="1050"/>
      <c r="E219" s="1058"/>
      <c r="F219" s="1064"/>
      <c r="G219" s="1068"/>
      <c r="H219" s="1069"/>
      <c r="I219" s="1068"/>
      <c r="J219" s="1063"/>
      <c r="K219" s="1068"/>
      <c r="L219" s="1063"/>
      <c r="M219" s="1068"/>
      <c r="N219" s="1063"/>
      <c r="O219" s="1068"/>
      <c r="P219" s="1063"/>
      <c r="Q219" s="1068"/>
      <c r="R219" s="1063"/>
      <c r="S219" s="1068"/>
      <c r="T219" s="1063"/>
      <c r="U219" s="1068"/>
      <c r="V219" s="1063"/>
      <c r="W219" s="1068"/>
      <c r="X219" s="1063"/>
      <c r="Y219" s="1068"/>
      <c r="Z219" s="1063"/>
      <c r="AA219" s="1068"/>
      <c r="AB219" s="1063"/>
      <c r="AC219" s="1068"/>
      <c r="AD219" s="1063"/>
      <c r="AE219" s="1068"/>
      <c r="AF219" s="1062"/>
      <c r="AG219" s="1057"/>
      <c r="AH219" s="1051"/>
      <c r="AI219" s="1052"/>
      <c r="AJ219" s="1042"/>
      <c r="AK219" s="1039"/>
    </row>
    <row r="220" ht="18.75" customHeight="1">
      <c r="A220" s="1039"/>
      <c r="B220" s="1042"/>
      <c r="C220" s="1053"/>
      <c r="D220" s="1050"/>
      <c r="E220" s="1058"/>
      <c r="F220" s="1064" t="str">
        <f>Source!$BL$8</f>
        <v/>
      </c>
      <c r="G220" s="1065" t="s">
        <v>1481</v>
      </c>
      <c r="H220" s="1060"/>
      <c r="I220" s="1060"/>
      <c r="J220" s="1060"/>
      <c r="K220" s="1060"/>
      <c r="L220" s="1060"/>
      <c r="M220" s="1060"/>
      <c r="N220" s="1060"/>
      <c r="O220" s="1060"/>
      <c r="P220" s="1060"/>
      <c r="Q220" s="1060"/>
      <c r="R220" s="1060"/>
      <c r="S220" s="1060"/>
      <c r="T220" s="1060"/>
      <c r="U220" s="1060"/>
      <c r="V220" s="1060"/>
      <c r="W220" s="1060"/>
      <c r="X220" s="1061"/>
      <c r="Y220" s="1066" t="str">
        <f>Source!$B$8</f>
        <v/>
      </c>
      <c r="Z220" s="1061"/>
      <c r="AA220" s="1067">
        <v>3000.0</v>
      </c>
      <c r="AB220" s="1060"/>
      <c r="AC220" s="1060"/>
      <c r="AD220" s="1060"/>
      <c r="AE220" s="1061"/>
      <c r="AF220" s="1062"/>
      <c r="AG220" s="1057"/>
      <c r="AH220" s="1051"/>
      <c r="AI220" s="1052"/>
      <c r="AJ220" s="1042"/>
      <c r="AK220" s="1039"/>
    </row>
    <row r="221" ht="7.5" customHeight="1">
      <c r="A221" s="1039"/>
      <c r="B221" s="1042"/>
      <c r="C221" s="1053"/>
      <c r="D221" s="1050"/>
      <c r="E221" s="1058"/>
      <c r="F221" s="1064"/>
      <c r="G221" s="1068"/>
      <c r="H221" s="1069"/>
      <c r="I221" s="1068"/>
      <c r="J221" s="1063"/>
      <c r="K221" s="1068"/>
      <c r="L221" s="1063"/>
      <c r="M221" s="1068"/>
      <c r="N221" s="1063"/>
      <c r="O221" s="1068"/>
      <c r="P221" s="1063"/>
      <c r="Q221" s="1068"/>
      <c r="R221" s="1063"/>
      <c r="S221" s="1068"/>
      <c r="T221" s="1063"/>
      <c r="U221" s="1068"/>
      <c r="V221" s="1063"/>
      <c r="W221" s="1068"/>
      <c r="X221" s="1063"/>
      <c r="Y221" s="1068"/>
      <c r="Z221" s="1063"/>
      <c r="AA221" s="1068"/>
      <c r="AB221" s="1063"/>
      <c r="AC221" s="1068"/>
      <c r="AD221" s="1063"/>
      <c r="AE221" s="1068"/>
      <c r="AF221" s="1062"/>
      <c r="AG221" s="1057"/>
      <c r="AH221" s="1051"/>
      <c r="AI221" s="1052"/>
      <c r="AJ221" s="1042"/>
      <c r="AK221" s="1039"/>
    </row>
    <row r="222" ht="18.75" customHeight="1">
      <c r="A222" s="1039"/>
      <c r="B222" s="1042"/>
      <c r="C222" s="1053"/>
      <c r="D222" s="1050"/>
      <c r="E222" s="1058"/>
      <c r="F222" s="1064" t="str">
        <f>Source!$AN$25</f>
        <v/>
      </c>
      <c r="G222" s="1065" t="s">
        <v>1482</v>
      </c>
      <c r="H222" s="1060"/>
      <c r="I222" s="1060"/>
      <c r="J222" s="1060"/>
      <c r="K222" s="1060"/>
      <c r="L222" s="1060"/>
      <c r="M222" s="1060"/>
      <c r="N222" s="1060"/>
      <c r="O222" s="1060"/>
      <c r="P222" s="1060"/>
      <c r="Q222" s="1060"/>
      <c r="R222" s="1060"/>
      <c r="S222" s="1060"/>
      <c r="T222" s="1060"/>
      <c r="U222" s="1060"/>
      <c r="V222" s="1060"/>
      <c r="W222" s="1060"/>
      <c r="X222" s="1061"/>
      <c r="Y222" s="1066" t="str">
        <f>Source!$B$8</f>
        <v/>
      </c>
      <c r="Z222" s="1061"/>
      <c r="AA222" s="1067">
        <v>4000.0</v>
      </c>
      <c r="AB222" s="1060"/>
      <c r="AC222" s="1060"/>
      <c r="AD222" s="1060"/>
      <c r="AE222" s="1061"/>
      <c r="AF222" s="1062"/>
      <c r="AG222" s="1057"/>
      <c r="AH222" s="1051"/>
      <c r="AI222" s="1052"/>
      <c r="AJ222" s="1042"/>
      <c r="AK222" s="1039"/>
    </row>
    <row r="223" ht="7.5" customHeight="1">
      <c r="A223" s="1039"/>
      <c r="B223" s="1042"/>
      <c r="C223" s="1053"/>
      <c r="D223" s="1050"/>
      <c r="E223" s="1058"/>
      <c r="F223" s="1064"/>
      <c r="G223" s="1068"/>
      <c r="H223" s="1069"/>
      <c r="I223" s="1068"/>
      <c r="J223" s="1063"/>
      <c r="K223" s="1068"/>
      <c r="L223" s="1063"/>
      <c r="M223" s="1068"/>
      <c r="N223" s="1063"/>
      <c r="O223" s="1068"/>
      <c r="P223" s="1063"/>
      <c r="Q223" s="1068"/>
      <c r="R223" s="1063"/>
      <c r="S223" s="1068"/>
      <c r="T223" s="1063"/>
      <c r="U223" s="1068"/>
      <c r="V223" s="1063"/>
      <c r="W223" s="1068"/>
      <c r="X223" s="1063"/>
      <c r="Y223" s="1068"/>
      <c r="Z223" s="1063"/>
      <c r="AA223" s="1068"/>
      <c r="AB223" s="1063"/>
      <c r="AC223" s="1068"/>
      <c r="AD223" s="1063"/>
      <c r="AE223" s="1068"/>
      <c r="AF223" s="1062"/>
      <c r="AG223" s="1057"/>
      <c r="AH223" s="1051"/>
      <c r="AI223" s="1052"/>
      <c r="AJ223" s="1042"/>
      <c r="AK223" s="1039"/>
    </row>
    <row r="224" ht="18.75" customHeight="1">
      <c r="A224" s="1039"/>
      <c r="B224" s="1042"/>
      <c r="C224" s="1053"/>
      <c r="D224" s="1050"/>
      <c r="E224" s="1058"/>
      <c r="F224" s="1064" t="str">
        <f>Source!$AE$24</f>
        <v/>
      </c>
      <c r="G224" s="1065" t="s">
        <v>1483</v>
      </c>
      <c r="H224" s="1060"/>
      <c r="I224" s="1060"/>
      <c r="J224" s="1060"/>
      <c r="K224" s="1060"/>
      <c r="L224" s="1060"/>
      <c r="M224" s="1060"/>
      <c r="N224" s="1060"/>
      <c r="O224" s="1060"/>
      <c r="P224" s="1060"/>
      <c r="Q224" s="1060"/>
      <c r="R224" s="1060"/>
      <c r="S224" s="1060"/>
      <c r="T224" s="1060"/>
      <c r="U224" s="1060"/>
      <c r="V224" s="1060"/>
      <c r="W224" s="1060"/>
      <c r="X224" s="1061"/>
      <c r="Y224" s="1066" t="str">
        <f>Source!$B$8</f>
        <v/>
      </c>
      <c r="Z224" s="1061"/>
      <c r="AA224" s="1067">
        <v>300.0</v>
      </c>
      <c r="AB224" s="1060"/>
      <c r="AC224" s="1060"/>
      <c r="AD224" s="1060"/>
      <c r="AE224" s="1061"/>
      <c r="AF224" s="1062"/>
      <c r="AG224" s="1057"/>
      <c r="AH224" s="1051"/>
      <c r="AI224" s="1052"/>
      <c r="AJ224" s="1042"/>
      <c r="AK224" s="1039"/>
    </row>
    <row r="225" ht="7.5" customHeight="1">
      <c r="A225" s="1039"/>
      <c r="B225" s="1042"/>
      <c r="C225" s="1053"/>
      <c r="D225" s="1050"/>
      <c r="E225" s="1058"/>
      <c r="F225" s="1064"/>
      <c r="G225" s="1068"/>
      <c r="H225" s="1069"/>
      <c r="I225" s="1068"/>
      <c r="J225" s="1063"/>
      <c r="K225" s="1068"/>
      <c r="L225" s="1063"/>
      <c r="M225" s="1068"/>
      <c r="N225" s="1063"/>
      <c r="O225" s="1068"/>
      <c r="P225" s="1063"/>
      <c r="Q225" s="1068"/>
      <c r="R225" s="1063"/>
      <c r="S225" s="1068"/>
      <c r="T225" s="1063"/>
      <c r="U225" s="1068"/>
      <c r="V225" s="1063"/>
      <c r="W225" s="1068"/>
      <c r="X225" s="1063"/>
      <c r="Y225" s="1068"/>
      <c r="Z225" s="1063"/>
      <c r="AA225" s="1068"/>
      <c r="AB225" s="1063"/>
      <c r="AC225" s="1068"/>
      <c r="AD225" s="1063"/>
      <c r="AE225" s="1068"/>
      <c r="AF225" s="1062"/>
      <c r="AG225" s="1057"/>
      <c r="AH225" s="1051"/>
      <c r="AI225" s="1052"/>
      <c r="AJ225" s="1042"/>
      <c r="AK225" s="1039"/>
    </row>
    <row r="226" ht="18.75" customHeight="1">
      <c r="A226" s="1039"/>
      <c r="B226" s="1042"/>
      <c r="C226" s="1053"/>
      <c r="D226" s="1050"/>
      <c r="E226" s="1058"/>
      <c r="F226" s="1064" t="str">
        <f>Source!$AE$31</f>
        <v/>
      </c>
      <c r="G226" s="1065" t="s">
        <v>1484</v>
      </c>
      <c r="H226" s="1060"/>
      <c r="I226" s="1060"/>
      <c r="J226" s="1060"/>
      <c r="K226" s="1060"/>
      <c r="L226" s="1060"/>
      <c r="M226" s="1060"/>
      <c r="N226" s="1060"/>
      <c r="O226" s="1060"/>
      <c r="P226" s="1060"/>
      <c r="Q226" s="1060"/>
      <c r="R226" s="1060"/>
      <c r="S226" s="1060"/>
      <c r="T226" s="1060"/>
      <c r="U226" s="1060"/>
      <c r="V226" s="1060"/>
      <c r="W226" s="1060"/>
      <c r="X226" s="1061"/>
      <c r="Y226" s="1066" t="str">
        <f>Source!$B$8</f>
        <v/>
      </c>
      <c r="Z226" s="1061"/>
      <c r="AA226" s="1067">
        <v>300.0</v>
      </c>
      <c r="AB226" s="1060"/>
      <c r="AC226" s="1060"/>
      <c r="AD226" s="1060"/>
      <c r="AE226" s="1061"/>
      <c r="AF226" s="1062"/>
      <c r="AG226" s="1057"/>
      <c r="AH226" s="1051"/>
      <c r="AI226" s="1052"/>
      <c r="AJ226" s="1042"/>
      <c r="AK226" s="1039"/>
    </row>
    <row r="227" ht="7.5" customHeight="1">
      <c r="A227" s="1039"/>
      <c r="B227" s="1042"/>
      <c r="C227" s="1053"/>
      <c r="D227" s="1050"/>
      <c r="E227" s="1058"/>
      <c r="F227" s="1064"/>
      <c r="G227" s="1068"/>
      <c r="H227" s="1069"/>
      <c r="I227" s="1068"/>
      <c r="J227" s="1063"/>
      <c r="K227" s="1068"/>
      <c r="L227" s="1063"/>
      <c r="M227" s="1068"/>
      <c r="N227" s="1063"/>
      <c r="O227" s="1068"/>
      <c r="P227" s="1063"/>
      <c r="Q227" s="1068"/>
      <c r="R227" s="1063"/>
      <c r="S227" s="1068"/>
      <c r="T227" s="1063"/>
      <c r="U227" s="1068"/>
      <c r="V227" s="1063"/>
      <c r="W227" s="1068"/>
      <c r="X227" s="1063"/>
      <c r="Y227" s="1068"/>
      <c r="Z227" s="1063"/>
      <c r="AA227" s="1068"/>
      <c r="AB227" s="1063"/>
      <c r="AC227" s="1068"/>
      <c r="AD227" s="1063"/>
      <c r="AE227" s="1068"/>
      <c r="AF227" s="1062"/>
      <c r="AG227" s="1057"/>
      <c r="AH227" s="1051"/>
      <c r="AI227" s="1052"/>
      <c r="AJ227" s="1042"/>
      <c r="AK227" s="1039"/>
    </row>
    <row r="228" ht="18.75" customHeight="1">
      <c r="A228" s="1039"/>
      <c r="B228" s="1042"/>
      <c r="C228" s="1053"/>
      <c r="D228" s="1050"/>
      <c r="E228" s="1058"/>
      <c r="F228" s="1064" t="str">
        <f>Source!$AE$20</f>
        <v/>
      </c>
      <c r="G228" s="1065" t="s">
        <v>1485</v>
      </c>
      <c r="H228" s="1060"/>
      <c r="I228" s="1060"/>
      <c r="J228" s="1060"/>
      <c r="K228" s="1060"/>
      <c r="L228" s="1060"/>
      <c r="M228" s="1060"/>
      <c r="N228" s="1060"/>
      <c r="O228" s="1060"/>
      <c r="P228" s="1060"/>
      <c r="Q228" s="1060"/>
      <c r="R228" s="1060"/>
      <c r="S228" s="1060"/>
      <c r="T228" s="1060"/>
      <c r="U228" s="1060"/>
      <c r="V228" s="1060"/>
      <c r="W228" s="1060"/>
      <c r="X228" s="1061"/>
      <c r="Y228" s="1066" t="str">
        <f>Source!$B$8</f>
        <v/>
      </c>
      <c r="Z228" s="1061"/>
      <c r="AA228" s="1067">
        <v>300.0</v>
      </c>
      <c r="AB228" s="1060"/>
      <c r="AC228" s="1060"/>
      <c r="AD228" s="1060"/>
      <c r="AE228" s="1061"/>
      <c r="AF228" s="1062"/>
      <c r="AG228" s="1057"/>
      <c r="AH228" s="1051"/>
      <c r="AI228" s="1052"/>
      <c r="AJ228" s="1042"/>
      <c r="AK228" s="1039"/>
    </row>
    <row r="229" ht="7.5" customHeight="1">
      <c r="A229" s="1039"/>
      <c r="B229" s="1042"/>
      <c r="C229" s="1053"/>
      <c r="D229" s="1050"/>
      <c r="E229" s="1058"/>
      <c r="F229" s="1064"/>
      <c r="G229" s="1068"/>
      <c r="H229" s="1069"/>
      <c r="I229" s="1068"/>
      <c r="J229" s="1063"/>
      <c r="K229" s="1068"/>
      <c r="L229" s="1063"/>
      <c r="M229" s="1068"/>
      <c r="N229" s="1063"/>
      <c r="O229" s="1068"/>
      <c r="P229" s="1063"/>
      <c r="Q229" s="1068"/>
      <c r="R229" s="1063"/>
      <c r="S229" s="1068"/>
      <c r="T229" s="1063"/>
      <c r="U229" s="1068"/>
      <c r="V229" s="1063"/>
      <c r="W229" s="1068"/>
      <c r="X229" s="1063"/>
      <c r="Y229" s="1068"/>
      <c r="Z229" s="1063"/>
      <c r="AA229" s="1068"/>
      <c r="AB229" s="1063"/>
      <c r="AC229" s="1068"/>
      <c r="AD229" s="1063"/>
      <c r="AE229" s="1068"/>
      <c r="AF229" s="1062"/>
      <c r="AG229" s="1057"/>
      <c r="AH229" s="1051"/>
      <c r="AI229" s="1052"/>
      <c r="AJ229" s="1042"/>
      <c r="AK229" s="1039"/>
    </row>
    <row r="230" ht="18.75" customHeight="1">
      <c r="A230" s="1039"/>
      <c r="B230" s="1042"/>
      <c r="C230" s="1053"/>
      <c r="D230" s="1050"/>
      <c r="E230" s="1058"/>
      <c r="F230" s="1064" t="str">
        <f>Source!$AE$23</f>
        <v/>
      </c>
      <c r="G230" s="1065" t="s">
        <v>1486</v>
      </c>
      <c r="H230" s="1060"/>
      <c r="I230" s="1060"/>
      <c r="J230" s="1060"/>
      <c r="K230" s="1060"/>
      <c r="L230" s="1060"/>
      <c r="M230" s="1060"/>
      <c r="N230" s="1060"/>
      <c r="O230" s="1060"/>
      <c r="P230" s="1060"/>
      <c r="Q230" s="1060"/>
      <c r="R230" s="1060"/>
      <c r="S230" s="1060"/>
      <c r="T230" s="1060"/>
      <c r="U230" s="1060"/>
      <c r="V230" s="1060"/>
      <c r="W230" s="1060"/>
      <c r="X230" s="1061"/>
      <c r="Y230" s="1066" t="str">
        <f>Source!$B$8</f>
        <v/>
      </c>
      <c r="Z230" s="1061"/>
      <c r="AA230" s="1067">
        <v>300.0</v>
      </c>
      <c r="AB230" s="1060"/>
      <c r="AC230" s="1060"/>
      <c r="AD230" s="1060"/>
      <c r="AE230" s="1061"/>
      <c r="AF230" s="1062"/>
      <c r="AG230" s="1057"/>
      <c r="AH230" s="1051"/>
      <c r="AI230" s="1052"/>
      <c r="AJ230" s="1042"/>
      <c r="AK230" s="1039"/>
    </row>
    <row r="231" ht="3.75" customHeight="1">
      <c r="A231" s="1039"/>
      <c r="B231" s="1042"/>
      <c r="C231" s="1053"/>
      <c r="D231" s="1050"/>
      <c r="E231" s="1070"/>
      <c r="F231" s="1071"/>
      <c r="G231" s="1071"/>
      <c r="H231" s="1071"/>
      <c r="I231" s="1071"/>
      <c r="J231" s="1071"/>
      <c r="K231" s="1071"/>
      <c r="L231" s="1071"/>
      <c r="M231" s="1071"/>
      <c r="N231" s="1071"/>
      <c r="O231" s="1071"/>
      <c r="P231" s="1071"/>
      <c r="Q231" s="1071"/>
      <c r="R231" s="1071"/>
      <c r="S231" s="1071"/>
      <c r="T231" s="1071"/>
      <c r="U231" s="1071"/>
      <c r="V231" s="1071"/>
      <c r="W231" s="1071"/>
      <c r="X231" s="1071"/>
      <c r="Y231" s="1071"/>
      <c r="Z231" s="1071"/>
      <c r="AA231" s="1071"/>
      <c r="AB231" s="1071"/>
      <c r="AC231" s="1071"/>
      <c r="AD231" s="1071"/>
      <c r="AE231" s="1071"/>
      <c r="AF231" s="1072"/>
      <c r="AG231" s="1057"/>
      <c r="AH231" s="1051"/>
      <c r="AI231" s="1052"/>
      <c r="AJ231" s="1042"/>
      <c r="AK231" s="1039"/>
    </row>
    <row r="232" ht="9.0" customHeight="1">
      <c r="A232" s="1039"/>
      <c r="B232" s="1042"/>
      <c r="C232" s="1073"/>
      <c r="D232" s="1049"/>
      <c r="E232" s="1074"/>
      <c r="F232" s="1074"/>
      <c r="G232" s="1074"/>
      <c r="H232" s="1074"/>
      <c r="I232" s="1074"/>
      <c r="J232" s="1074"/>
      <c r="K232" s="1074"/>
      <c r="L232" s="1074"/>
      <c r="M232" s="1074"/>
      <c r="N232" s="1074"/>
      <c r="O232" s="1074"/>
      <c r="P232" s="1074"/>
      <c r="Q232" s="1074"/>
      <c r="R232" s="1074"/>
      <c r="S232" s="1074"/>
      <c r="T232" s="1074"/>
      <c r="U232" s="1074"/>
      <c r="V232" s="1074"/>
      <c r="W232" s="1074"/>
      <c r="X232" s="1074"/>
      <c r="Y232" s="1074"/>
      <c r="Z232" s="1074"/>
      <c r="AA232" s="1074"/>
      <c r="AB232" s="1074"/>
      <c r="AC232" s="1074"/>
      <c r="AD232" s="1074"/>
      <c r="AE232" s="1074"/>
      <c r="AF232" s="1074"/>
      <c r="AG232" s="1075"/>
      <c r="AH232" s="1051"/>
      <c r="AI232" s="1076"/>
      <c r="AJ232" s="1042"/>
      <c r="AK232" s="1039"/>
    </row>
    <row r="233" ht="4.5" customHeight="1">
      <c r="A233" s="1039"/>
      <c r="B233" s="1042"/>
      <c r="C233" s="1077"/>
      <c r="D233" s="1051"/>
      <c r="E233" s="1051"/>
      <c r="F233" s="1051"/>
      <c r="G233" s="1051"/>
      <c r="H233" s="1051"/>
      <c r="I233" s="1051"/>
      <c r="J233" s="1051"/>
      <c r="K233" s="1051"/>
      <c r="L233" s="1051"/>
      <c r="M233" s="1051"/>
      <c r="N233" s="1051"/>
      <c r="O233" s="1051"/>
      <c r="P233" s="1051"/>
      <c r="Q233" s="1051"/>
      <c r="R233" s="1051"/>
      <c r="S233" s="1051"/>
      <c r="T233" s="1051"/>
      <c r="U233" s="1051"/>
      <c r="V233" s="1051"/>
      <c r="W233" s="1051"/>
      <c r="X233" s="1051"/>
      <c r="Y233" s="1051"/>
      <c r="Z233" s="1051"/>
      <c r="AA233" s="1051"/>
      <c r="AB233" s="1051"/>
      <c r="AC233" s="1051"/>
      <c r="AD233" s="1051"/>
      <c r="AE233" s="1051"/>
      <c r="AF233" s="1051"/>
      <c r="AG233" s="1051"/>
      <c r="AH233" s="1051"/>
      <c r="AI233" s="1076"/>
      <c r="AJ233" s="1042"/>
      <c r="AK233" s="1039"/>
    </row>
    <row r="234" ht="5.25" customHeight="1">
      <c r="A234" s="1039"/>
      <c r="B234" s="1042"/>
      <c r="C234" s="1042"/>
      <c r="D234" s="1042"/>
      <c r="E234" s="1042"/>
      <c r="F234" s="1042"/>
      <c r="G234" s="1042"/>
      <c r="H234" s="1042"/>
      <c r="I234" s="1042"/>
      <c r="J234" s="1042"/>
      <c r="K234" s="1042"/>
      <c r="L234" s="1042"/>
      <c r="M234" s="1042"/>
      <c r="N234" s="1042"/>
      <c r="O234" s="1042"/>
      <c r="P234" s="1042"/>
      <c r="Q234" s="1042"/>
      <c r="R234" s="1042"/>
      <c r="S234" s="1042"/>
      <c r="T234" s="1042"/>
      <c r="U234" s="1042"/>
      <c r="V234" s="1042"/>
      <c r="W234" s="1042"/>
      <c r="X234" s="1042"/>
      <c r="Y234" s="1042"/>
      <c r="Z234" s="1042"/>
      <c r="AA234" s="1042"/>
      <c r="AB234" s="1042"/>
      <c r="AC234" s="1042"/>
      <c r="AD234" s="1042"/>
      <c r="AE234" s="1042"/>
      <c r="AF234" s="1042"/>
      <c r="AG234" s="1042"/>
      <c r="AH234" s="1042"/>
      <c r="AI234" s="1042"/>
      <c r="AJ234" s="1042"/>
      <c r="AK234" s="1039"/>
    </row>
    <row r="235" ht="3.75" customHeight="1">
      <c r="A235" s="1039"/>
      <c r="B235" s="1039"/>
      <c r="C235" s="1039"/>
      <c r="D235" s="1039"/>
      <c r="E235" s="1039"/>
      <c r="F235" s="1039"/>
      <c r="G235" s="1039"/>
      <c r="H235" s="1039"/>
      <c r="I235" s="1039"/>
      <c r="J235" s="1039"/>
      <c r="K235" s="1039"/>
      <c r="L235" s="1039"/>
      <c r="M235" s="1039"/>
      <c r="N235" s="1039"/>
      <c r="O235" s="1039"/>
      <c r="P235" s="1039"/>
      <c r="Q235" s="1039"/>
      <c r="R235" s="1039"/>
      <c r="S235" s="1039"/>
      <c r="T235" s="1039"/>
      <c r="U235" s="1039"/>
      <c r="V235" s="1039"/>
      <c r="W235" s="1039"/>
      <c r="X235" s="1039"/>
      <c r="Y235" s="1039"/>
      <c r="Z235" s="1039"/>
      <c r="AA235" s="1039"/>
      <c r="AB235" s="1039"/>
      <c r="AC235" s="1039"/>
      <c r="AD235" s="1039"/>
      <c r="AE235" s="1039"/>
      <c r="AF235" s="1039"/>
      <c r="AG235" s="1039"/>
      <c r="AH235" s="1039"/>
      <c r="AI235" s="1039"/>
      <c r="AJ235" s="1039"/>
      <c r="AK235" s="1039"/>
    </row>
    <row r="236" ht="5.25" customHeight="1">
      <c r="A236" s="1041"/>
      <c r="B236" s="1042"/>
      <c r="C236" s="1042"/>
      <c r="D236" s="1042"/>
      <c r="E236" s="1042"/>
      <c r="F236" s="1042"/>
      <c r="G236" s="1042"/>
      <c r="H236" s="1042"/>
      <c r="I236" s="1042"/>
      <c r="J236" s="1042"/>
      <c r="K236" s="1042"/>
      <c r="L236" s="1042"/>
      <c r="M236" s="1042"/>
      <c r="N236" s="1042"/>
      <c r="O236" s="1042"/>
      <c r="P236" s="1042"/>
      <c r="Q236" s="1042"/>
      <c r="R236" s="1042"/>
      <c r="S236" s="1042"/>
      <c r="T236" s="1042"/>
      <c r="U236" s="1042"/>
      <c r="V236" s="1042"/>
      <c r="W236" s="1042"/>
      <c r="X236" s="1042"/>
      <c r="Y236" s="1042"/>
      <c r="Z236" s="1042"/>
      <c r="AA236" s="1042"/>
      <c r="AB236" s="1042"/>
      <c r="AC236" s="1042"/>
      <c r="AD236" s="1042"/>
      <c r="AE236" s="1042"/>
      <c r="AF236" s="1042"/>
      <c r="AG236" s="1042"/>
      <c r="AH236" s="1042"/>
      <c r="AI236" s="1042"/>
      <c r="AJ236" s="1042"/>
      <c r="AK236" s="1039"/>
    </row>
    <row r="237" ht="5.25" customHeight="1">
      <c r="A237" s="1039"/>
      <c r="B237" s="1042"/>
      <c r="C237" s="1043"/>
      <c r="D237" s="1044"/>
      <c r="E237" s="1044"/>
      <c r="F237" s="1044"/>
      <c r="G237" s="1044"/>
      <c r="H237" s="1044"/>
      <c r="I237" s="1044"/>
      <c r="J237" s="1044"/>
      <c r="K237" s="1044"/>
      <c r="L237" s="1044"/>
      <c r="M237" s="1044"/>
      <c r="N237" s="1044"/>
      <c r="O237" s="1044"/>
      <c r="P237" s="1044"/>
      <c r="Q237" s="1044"/>
      <c r="R237" s="1044"/>
      <c r="S237" s="1044"/>
      <c r="T237" s="1044"/>
      <c r="U237" s="1044"/>
      <c r="V237" s="1044"/>
      <c r="W237" s="1044"/>
      <c r="X237" s="1044"/>
      <c r="Y237" s="1044"/>
      <c r="Z237" s="1044"/>
      <c r="AA237" s="1044"/>
      <c r="AB237" s="1044"/>
      <c r="AC237" s="1044"/>
      <c r="AD237" s="1044"/>
      <c r="AE237" s="1044"/>
      <c r="AF237" s="1044"/>
      <c r="AG237" s="1045"/>
      <c r="AH237" s="1045"/>
      <c r="AI237" s="1046"/>
      <c r="AJ237" s="1042"/>
      <c r="AK237" s="1039"/>
    </row>
    <row r="238" ht="9.0" customHeight="1">
      <c r="A238" s="1039"/>
      <c r="B238" s="1042"/>
      <c r="C238" s="1047"/>
      <c r="D238" s="1048"/>
      <c r="E238" s="1049"/>
      <c r="F238" s="1049"/>
      <c r="G238" s="1049"/>
      <c r="H238" s="1049"/>
      <c r="I238" s="1049"/>
      <c r="J238" s="1049"/>
      <c r="K238" s="1049"/>
      <c r="L238" s="1049"/>
      <c r="M238" s="1049"/>
      <c r="N238" s="1049"/>
      <c r="O238" s="1049"/>
      <c r="P238" s="1049"/>
      <c r="Q238" s="1049"/>
      <c r="R238" s="1049"/>
      <c r="S238" s="1049"/>
      <c r="T238" s="1049"/>
      <c r="U238" s="1049"/>
      <c r="V238" s="1049"/>
      <c r="W238" s="1049"/>
      <c r="X238" s="1049"/>
      <c r="Y238" s="1049"/>
      <c r="Z238" s="1049"/>
      <c r="AA238" s="1049"/>
      <c r="AB238" s="1049"/>
      <c r="AC238" s="1049"/>
      <c r="AD238" s="1049"/>
      <c r="AE238" s="1049"/>
      <c r="AF238" s="1049"/>
      <c r="AG238" s="1050"/>
      <c r="AH238" s="1051"/>
      <c r="AI238" s="1052"/>
      <c r="AJ238" s="1042"/>
      <c r="AK238" s="1039"/>
    </row>
    <row r="239" ht="3.75" customHeight="1">
      <c r="A239" s="1039"/>
      <c r="B239" s="1042"/>
      <c r="C239" s="1053"/>
      <c r="D239" s="1050"/>
      <c r="E239" s="1054"/>
      <c r="F239" s="1055"/>
      <c r="G239" s="1055"/>
      <c r="H239" s="1055"/>
      <c r="I239" s="1055"/>
      <c r="J239" s="1055"/>
      <c r="K239" s="1055"/>
      <c r="L239" s="1055"/>
      <c r="M239" s="1055"/>
      <c r="N239" s="1055"/>
      <c r="O239" s="1055"/>
      <c r="P239" s="1055"/>
      <c r="Q239" s="1055"/>
      <c r="R239" s="1055"/>
      <c r="S239" s="1055"/>
      <c r="T239" s="1055"/>
      <c r="U239" s="1055"/>
      <c r="V239" s="1055"/>
      <c r="W239" s="1055"/>
      <c r="X239" s="1055"/>
      <c r="Y239" s="1055"/>
      <c r="Z239" s="1055"/>
      <c r="AA239" s="1055"/>
      <c r="AB239" s="1055"/>
      <c r="AC239" s="1055"/>
      <c r="AD239" s="1055"/>
      <c r="AE239" s="1055"/>
      <c r="AF239" s="1056"/>
      <c r="AG239" s="1057"/>
      <c r="AH239" s="1051"/>
      <c r="AI239" s="1052"/>
      <c r="AJ239" s="1042"/>
      <c r="AK239" s="1039"/>
    </row>
    <row r="240">
      <c r="A240" s="1039"/>
      <c r="B240" s="1042"/>
      <c r="C240" s="1053"/>
      <c r="D240" s="1050"/>
      <c r="E240" s="1058"/>
      <c r="F240" s="1059" t="s">
        <v>1487</v>
      </c>
      <c r="G240" s="1060"/>
      <c r="H240" s="1060"/>
      <c r="I240" s="1060"/>
      <c r="J240" s="1060"/>
      <c r="K240" s="1060"/>
      <c r="L240" s="1060"/>
      <c r="M240" s="1060"/>
      <c r="N240" s="1060"/>
      <c r="O240" s="1060"/>
      <c r="P240" s="1060"/>
      <c r="Q240" s="1060"/>
      <c r="R240" s="1060"/>
      <c r="S240" s="1060"/>
      <c r="T240" s="1060"/>
      <c r="U240" s="1060"/>
      <c r="V240" s="1060"/>
      <c r="W240" s="1060"/>
      <c r="X240" s="1060"/>
      <c r="Y240" s="1060"/>
      <c r="Z240" s="1060"/>
      <c r="AA240" s="1060"/>
      <c r="AB240" s="1060"/>
      <c r="AC240" s="1060"/>
      <c r="AD240" s="1060"/>
      <c r="AE240" s="1061"/>
      <c r="AF240" s="1062"/>
      <c r="AG240" s="1057"/>
      <c r="AH240" s="1051"/>
      <c r="AI240" s="1052"/>
      <c r="AJ240" s="1042"/>
      <c r="AK240" s="1039"/>
    </row>
    <row r="241" ht="7.5" customHeight="1">
      <c r="A241" s="1039"/>
      <c r="B241" s="1042"/>
      <c r="C241" s="1053"/>
      <c r="D241" s="1050"/>
      <c r="E241" s="1058"/>
      <c r="F241" s="1063"/>
      <c r="G241" s="1063"/>
      <c r="H241" s="1063"/>
      <c r="I241" s="1063"/>
      <c r="J241" s="1063"/>
      <c r="K241" s="1063"/>
      <c r="L241" s="1063"/>
      <c r="M241" s="1063"/>
      <c r="N241" s="1063"/>
      <c r="O241" s="1063"/>
      <c r="P241" s="1063"/>
      <c r="Q241" s="1063"/>
      <c r="R241" s="1063"/>
      <c r="S241" s="1063"/>
      <c r="T241" s="1063"/>
      <c r="U241" s="1063"/>
      <c r="V241" s="1063"/>
      <c r="W241" s="1063"/>
      <c r="X241" s="1063"/>
      <c r="Y241" s="1063"/>
      <c r="Z241" s="1063"/>
      <c r="AA241" s="1063"/>
      <c r="AB241" s="1063"/>
      <c r="AC241" s="1063"/>
      <c r="AD241" s="1063"/>
      <c r="AE241" s="1063"/>
      <c r="AF241" s="1062"/>
      <c r="AG241" s="1057"/>
      <c r="AH241" s="1051"/>
      <c r="AI241" s="1052"/>
      <c r="AJ241" s="1042"/>
      <c r="AK241" s="1039"/>
    </row>
    <row r="242" ht="18.75" customHeight="1">
      <c r="A242" s="1039"/>
      <c r="B242" s="1042"/>
      <c r="C242" s="1053"/>
      <c r="D242" s="1050"/>
      <c r="E242" s="1058"/>
      <c r="F242" s="1064" t="str">
        <f>Source!$Y$5</f>
        <v/>
      </c>
      <c r="G242" s="1065" t="s">
        <v>1488</v>
      </c>
      <c r="H242" s="1060"/>
      <c r="I242" s="1060"/>
      <c r="J242" s="1060"/>
      <c r="K242" s="1060"/>
      <c r="L242" s="1060"/>
      <c r="M242" s="1060"/>
      <c r="N242" s="1060"/>
      <c r="O242" s="1060"/>
      <c r="P242" s="1060"/>
      <c r="Q242" s="1060"/>
      <c r="R242" s="1060"/>
      <c r="S242" s="1060"/>
      <c r="T242" s="1060"/>
      <c r="U242" s="1060"/>
      <c r="V242" s="1060"/>
      <c r="W242" s="1060"/>
      <c r="X242" s="1061"/>
      <c r="Y242" s="1066" t="str">
        <f>Source!$B$8</f>
        <v/>
      </c>
      <c r="Z242" s="1061"/>
      <c r="AA242" s="1067">
        <v>1000.0</v>
      </c>
      <c r="AB242" s="1060"/>
      <c r="AC242" s="1060"/>
      <c r="AD242" s="1060"/>
      <c r="AE242" s="1061"/>
      <c r="AF242" s="1062"/>
      <c r="AG242" s="1057"/>
      <c r="AH242" s="1051"/>
      <c r="AI242" s="1052"/>
      <c r="AJ242" s="1042"/>
      <c r="AK242" s="1039"/>
    </row>
    <row r="243" ht="7.5" customHeight="1">
      <c r="A243" s="1039"/>
      <c r="B243" s="1042"/>
      <c r="C243" s="1053"/>
      <c r="D243" s="1050"/>
      <c r="E243" s="1058"/>
      <c r="F243" s="1064"/>
      <c r="G243" s="1068"/>
      <c r="H243" s="1069"/>
      <c r="I243" s="1068"/>
      <c r="J243" s="1063"/>
      <c r="K243" s="1068"/>
      <c r="L243" s="1063"/>
      <c r="M243" s="1068"/>
      <c r="N243" s="1063"/>
      <c r="O243" s="1068"/>
      <c r="P243" s="1063"/>
      <c r="Q243" s="1068"/>
      <c r="R243" s="1063"/>
      <c r="S243" s="1068"/>
      <c r="T243" s="1063"/>
      <c r="U243" s="1068"/>
      <c r="V243" s="1063"/>
      <c r="W243" s="1068"/>
      <c r="X243" s="1063"/>
      <c r="Y243" s="1068"/>
      <c r="Z243" s="1063"/>
      <c r="AA243" s="1068"/>
      <c r="AB243" s="1063"/>
      <c r="AC243" s="1068"/>
      <c r="AD243" s="1063"/>
      <c r="AE243" s="1068"/>
      <c r="AF243" s="1062"/>
      <c r="AG243" s="1057"/>
      <c r="AH243" s="1051"/>
      <c r="AI243" s="1052"/>
      <c r="AJ243" s="1042"/>
      <c r="AK243" s="1039"/>
    </row>
    <row r="244" ht="18.75" customHeight="1">
      <c r="A244" s="1039"/>
      <c r="B244" s="1042"/>
      <c r="C244" s="1053"/>
      <c r="D244" s="1050"/>
      <c r="E244" s="1058"/>
      <c r="F244" s="1064" t="str">
        <f>Source!$AN$102</f>
        <v/>
      </c>
      <c r="G244" s="1065" t="s">
        <v>1489</v>
      </c>
      <c r="H244" s="1060"/>
      <c r="I244" s="1060"/>
      <c r="J244" s="1060"/>
      <c r="K244" s="1060"/>
      <c r="L244" s="1060"/>
      <c r="M244" s="1060"/>
      <c r="N244" s="1060"/>
      <c r="O244" s="1060"/>
      <c r="P244" s="1060"/>
      <c r="Q244" s="1060"/>
      <c r="R244" s="1060"/>
      <c r="S244" s="1060"/>
      <c r="T244" s="1060"/>
      <c r="U244" s="1060"/>
      <c r="V244" s="1060"/>
      <c r="W244" s="1060"/>
      <c r="X244" s="1061"/>
      <c r="Y244" s="1066" t="str">
        <f>Source!$B$8</f>
        <v/>
      </c>
      <c r="Z244" s="1061"/>
      <c r="AA244" s="1067">
        <v>4000.0</v>
      </c>
      <c r="AB244" s="1060"/>
      <c r="AC244" s="1060"/>
      <c r="AD244" s="1060"/>
      <c r="AE244" s="1061"/>
      <c r="AF244" s="1062"/>
      <c r="AG244" s="1057"/>
      <c r="AH244" s="1051"/>
      <c r="AI244" s="1052"/>
      <c r="AJ244" s="1042"/>
      <c r="AK244" s="1039"/>
    </row>
    <row r="245" ht="7.5" customHeight="1">
      <c r="A245" s="1039"/>
      <c r="B245" s="1042"/>
      <c r="C245" s="1053"/>
      <c r="D245" s="1050"/>
      <c r="E245" s="1058"/>
      <c r="F245" s="1064"/>
      <c r="G245" s="1068"/>
      <c r="H245" s="1069"/>
      <c r="I245" s="1068"/>
      <c r="J245" s="1063"/>
      <c r="K245" s="1068"/>
      <c r="L245" s="1063"/>
      <c r="M245" s="1068"/>
      <c r="N245" s="1063"/>
      <c r="O245" s="1068"/>
      <c r="P245" s="1063"/>
      <c r="Q245" s="1068"/>
      <c r="R245" s="1063"/>
      <c r="S245" s="1068"/>
      <c r="T245" s="1063"/>
      <c r="U245" s="1068"/>
      <c r="V245" s="1063"/>
      <c r="W245" s="1068"/>
      <c r="X245" s="1063"/>
      <c r="Y245" s="1068"/>
      <c r="Z245" s="1063"/>
      <c r="AA245" s="1068"/>
      <c r="AB245" s="1063"/>
      <c r="AC245" s="1068"/>
      <c r="AD245" s="1063"/>
      <c r="AE245" s="1068"/>
      <c r="AF245" s="1062"/>
      <c r="AG245" s="1057"/>
      <c r="AH245" s="1051"/>
      <c r="AI245" s="1052"/>
      <c r="AJ245" s="1042"/>
      <c r="AK245" s="1039"/>
    </row>
    <row r="246" ht="18.75" customHeight="1">
      <c r="A246" s="1039"/>
      <c r="B246" s="1042"/>
      <c r="C246" s="1053"/>
      <c r="D246" s="1050"/>
      <c r="E246" s="1058"/>
      <c r="F246" s="1064" t="str">
        <f>Source!$AT$36</f>
        <v/>
      </c>
      <c r="G246" s="1065" t="s">
        <v>1490</v>
      </c>
      <c r="H246" s="1060"/>
      <c r="I246" s="1060"/>
      <c r="J246" s="1060"/>
      <c r="K246" s="1060"/>
      <c r="L246" s="1060"/>
      <c r="M246" s="1060"/>
      <c r="N246" s="1060"/>
      <c r="O246" s="1060"/>
      <c r="P246" s="1060"/>
      <c r="Q246" s="1060"/>
      <c r="R246" s="1060"/>
      <c r="S246" s="1060"/>
      <c r="T246" s="1060"/>
      <c r="U246" s="1060"/>
      <c r="V246" s="1060"/>
      <c r="W246" s="1060"/>
      <c r="X246" s="1061"/>
      <c r="Y246" s="1066" t="str">
        <f>Source!$B$8</f>
        <v/>
      </c>
      <c r="Z246" s="1061"/>
      <c r="AA246" s="1067">
        <v>20.0</v>
      </c>
      <c r="AB246" s="1060"/>
      <c r="AC246" s="1060"/>
      <c r="AD246" s="1060"/>
      <c r="AE246" s="1061"/>
      <c r="AF246" s="1062"/>
      <c r="AG246" s="1057"/>
      <c r="AH246" s="1051"/>
      <c r="AI246" s="1052"/>
      <c r="AJ246" s="1042"/>
      <c r="AK246" s="1039"/>
    </row>
    <row r="247" ht="7.5" customHeight="1">
      <c r="A247" s="1039"/>
      <c r="B247" s="1042"/>
      <c r="C247" s="1053"/>
      <c r="D247" s="1050"/>
      <c r="E247" s="1058"/>
      <c r="F247" s="1064"/>
      <c r="G247" s="1068"/>
      <c r="H247" s="1069"/>
      <c r="I247" s="1068"/>
      <c r="J247" s="1063"/>
      <c r="K247" s="1068"/>
      <c r="L247" s="1063"/>
      <c r="M247" s="1068"/>
      <c r="N247" s="1063"/>
      <c r="O247" s="1068"/>
      <c r="P247" s="1063"/>
      <c r="Q247" s="1068"/>
      <c r="R247" s="1063"/>
      <c r="S247" s="1068"/>
      <c r="T247" s="1063"/>
      <c r="U247" s="1068"/>
      <c r="V247" s="1063"/>
      <c r="W247" s="1068"/>
      <c r="X247" s="1063"/>
      <c r="Y247" s="1068"/>
      <c r="Z247" s="1063"/>
      <c r="AA247" s="1068"/>
      <c r="AB247" s="1063"/>
      <c r="AC247" s="1068"/>
      <c r="AD247" s="1063"/>
      <c r="AE247" s="1068"/>
      <c r="AF247" s="1062"/>
      <c r="AG247" s="1057"/>
      <c r="AH247" s="1051"/>
      <c r="AI247" s="1052"/>
      <c r="AJ247" s="1042"/>
      <c r="AK247" s="1039"/>
    </row>
    <row r="248" ht="18.75" customHeight="1">
      <c r="A248" s="1039"/>
      <c r="B248" s="1042"/>
      <c r="C248" s="1053"/>
      <c r="D248" s="1050"/>
      <c r="E248" s="1058"/>
      <c r="F248" s="1064" t="str">
        <f>Source!$Y$2</f>
        <v/>
      </c>
      <c r="G248" s="1081" t="s">
        <v>1491</v>
      </c>
      <c r="H248" s="1060"/>
      <c r="I248" s="1060"/>
      <c r="J248" s="1060"/>
      <c r="K248" s="1060"/>
      <c r="L248" s="1060"/>
      <c r="M248" s="1060"/>
      <c r="N248" s="1060"/>
      <c r="O248" s="1060"/>
      <c r="P248" s="1060"/>
      <c r="Q248" s="1060"/>
      <c r="R248" s="1060"/>
      <c r="S248" s="1060"/>
      <c r="T248" s="1060"/>
      <c r="U248" s="1060"/>
      <c r="V248" s="1060"/>
      <c r="W248" s="1060"/>
      <c r="X248" s="1061"/>
      <c r="Y248" s="1066" t="str">
        <f>Source!$B$8</f>
        <v/>
      </c>
      <c r="Z248" s="1061"/>
      <c r="AA248" s="1067">
        <v>2000.0</v>
      </c>
      <c r="AB248" s="1060"/>
      <c r="AC248" s="1060"/>
      <c r="AD248" s="1060"/>
      <c r="AE248" s="1061"/>
      <c r="AF248" s="1062"/>
      <c r="AG248" s="1057"/>
      <c r="AH248" s="1051"/>
      <c r="AI248" s="1052"/>
      <c r="AJ248" s="1042"/>
      <c r="AK248" s="1039"/>
    </row>
    <row r="249" ht="3.75" customHeight="1">
      <c r="A249" s="1039"/>
      <c r="B249" s="1042"/>
      <c r="C249" s="1053"/>
      <c r="D249" s="1050"/>
      <c r="E249" s="1070"/>
      <c r="F249" s="1071"/>
      <c r="G249" s="1071"/>
      <c r="H249" s="1071"/>
      <c r="I249" s="1071"/>
      <c r="J249" s="1071"/>
      <c r="K249" s="1071"/>
      <c r="L249" s="1071"/>
      <c r="M249" s="1071"/>
      <c r="N249" s="1071"/>
      <c r="O249" s="1071"/>
      <c r="P249" s="1071"/>
      <c r="Q249" s="1071"/>
      <c r="R249" s="1071"/>
      <c r="S249" s="1071"/>
      <c r="T249" s="1071"/>
      <c r="U249" s="1071"/>
      <c r="V249" s="1071"/>
      <c r="W249" s="1071"/>
      <c r="X249" s="1071"/>
      <c r="Y249" s="1071"/>
      <c r="Z249" s="1071"/>
      <c r="AA249" s="1071"/>
      <c r="AB249" s="1071"/>
      <c r="AC249" s="1071"/>
      <c r="AD249" s="1071"/>
      <c r="AE249" s="1071"/>
      <c r="AF249" s="1072"/>
      <c r="AG249" s="1057"/>
      <c r="AH249" s="1051"/>
      <c r="AI249" s="1052"/>
      <c r="AJ249" s="1042"/>
      <c r="AK249" s="1039"/>
    </row>
    <row r="250" ht="9.0" customHeight="1">
      <c r="A250" s="1039"/>
      <c r="B250" s="1042"/>
      <c r="C250" s="1073"/>
      <c r="D250" s="1049"/>
      <c r="E250" s="1074"/>
      <c r="F250" s="1074"/>
      <c r="G250" s="1074"/>
      <c r="H250" s="1074"/>
      <c r="I250" s="1074"/>
      <c r="J250" s="1074"/>
      <c r="K250" s="1074"/>
      <c r="L250" s="1074"/>
      <c r="M250" s="1074"/>
      <c r="N250" s="1074"/>
      <c r="O250" s="1074"/>
      <c r="P250" s="1074"/>
      <c r="Q250" s="1074"/>
      <c r="R250" s="1074"/>
      <c r="S250" s="1074"/>
      <c r="T250" s="1074"/>
      <c r="U250" s="1074"/>
      <c r="V250" s="1074"/>
      <c r="W250" s="1074"/>
      <c r="X250" s="1074"/>
      <c r="Y250" s="1074"/>
      <c r="Z250" s="1074"/>
      <c r="AA250" s="1074"/>
      <c r="AB250" s="1074"/>
      <c r="AC250" s="1074"/>
      <c r="AD250" s="1074"/>
      <c r="AE250" s="1074"/>
      <c r="AF250" s="1074"/>
      <c r="AG250" s="1075"/>
      <c r="AH250" s="1051"/>
      <c r="AI250" s="1076"/>
      <c r="AJ250" s="1042"/>
      <c r="AK250" s="1039"/>
    </row>
    <row r="251" ht="4.5" customHeight="1">
      <c r="A251" s="1039"/>
      <c r="B251" s="1042"/>
      <c r="C251" s="1077"/>
      <c r="D251" s="1051"/>
      <c r="E251" s="1051"/>
      <c r="F251" s="1051"/>
      <c r="G251" s="1051"/>
      <c r="H251" s="1051"/>
      <c r="I251" s="1051"/>
      <c r="J251" s="1051"/>
      <c r="K251" s="1051"/>
      <c r="L251" s="1051"/>
      <c r="M251" s="1051"/>
      <c r="N251" s="1051"/>
      <c r="O251" s="1051"/>
      <c r="P251" s="1051"/>
      <c r="Q251" s="1051"/>
      <c r="R251" s="1051"/>
      <c r="S251" s="1051"/>
      <c r="T251" s="1051"/>
      <c r="U251" s="1051"/>
      <c r="V251" s="1051"/>
      <c r="W251" s="1051"/>
      <c r="X251" s="1051"/>
      <c r="Y251" s="1051"/>
      <c r="Z251" s="1051"/>
      <c r="AA251" s="1051"/>
      <c r="AB251" s="1051"/>
      <c r="AC251" s="1051"/>
      <c r="AD251" s="1051"/>
      <c r="AE251" s="1051"/>
      <c r="AF251" s="1051"/>
      <c r="AG251" s="1051"/>
      <c r="AH251" s="1051"/>
      <c r="AI251" s="1076"/>
      <c r="AJ251" s="1042"/>
      <c r="AK251" s="1039"/>
    </row>
    <row r="252" ht="5.25" customHeight="1">
      <c r="A252" s="1039"/>
      <c r="B252" s="1042"/>
      <c r="C252" s="1042"/>
      <c r="D252" s="1042"/>
      <c r="E252" s="1042"/>
      <c r="F252" s="1042"/>
      <c r="G252" s="1042"/>
      <c r="H252" s="1042"/>
      <c r="I252" s="1042"/>
      <c r="J252" s="1042"/>
      <c r="K252" s="1042"/>
      <c r="L252" s="1042"/>
      <c r="M252" s="1042"/>
      <c r="N252" s="1042"/>
      <c r="O252" s="1042"/>
      <c r="P252" s="1042"/>
      <c r="Q252" s="1042"/>
      <c r="R252" s="1042"/>
      <c r="S252" s="1042"/>
      <c r="T252" s="1042"/>
      <c r="U252" s="1042"/>
      <c r="V252" s="1042"/>
      <c r="W252" s="1042"/>
      <c r="X252" s="1042"/>
      <c r="Y252" s="1042"/>
      <c r="Z252" s="1042"/>
      <c r="AA252" s="1042"/>
      <c r="AB252" s="1042"/>
      <c r="AC252" s="1042"/>
      <c r="AD252" s="1042"/>
      <c r="AE252" s="1042"/>
      <c r="AF252" s="1042"/>
      <c r="AG252" s="1042"/>
      <c r="AH252" s="1042"/>
      <c r="AI252" s="1042"/>
      <c r="AJ252" s="1042"/>
      <c r="AK252" s="1039"/>
    </row>
    <row r="253" ht="3.75" customHeight="1">
      <c r="A253" s="1039"/>
      <c r="B253" s="1039"/>
      <c r="C253" s="1039"/>
      <c r="D253" s="1039"/>
      <c r="E253" s="1039"/>
      <c r="F253" s="1039"/>
      <c r="G253" s="1039"/>
      <c r="H253" s="1039"/>
      <c r="I253" s="1039"/>
      <c r="J253" s="1039"/>
      <c r="K253" s="1039"/>
      <c r="L253" s="1039"/>
      <c r="M253" s="1039"/>
      <c r="N253" s="1039"/>
      <c r="O253" s="1039"/>
      <c r="P253" s="1039"/>
      <c r="Q253" s="1039"/>
      <c r="R253" s="1039"/>
      <c r="S253" s="1039"/>
      <c r="T253" s="1039"/>
      <c r="U253" s="1039"/>
      <c r="V253" s="1039"/>
      <c r="W253" s="1039"/>
      <c r="X253" s="1039"/>
      <c r="Y253" s="1039"/>
      <c r="Z253" s="1039"/>
      <c r="AA253" s="1039"/>
      <c r="AB253" s="1039"/>
      <c r="AC253" s="1039"/>
      <c r="AD253" s="1039"/>
      <c r="AE253" s="1039"/>
      <c r="AF253" s="1039"/>
      <c r="AG253" s="1039"/>
      <c r="AH253" s="1039"/>
      <c r="AI253" s="1039"/>
      <c r="AJ253" s="1039"/>
      <c r="AK253" s="1039"/>
    </row>
    <row r="254" ht="5.25" customHeight="1">
      <c r="A254" s="1041"/>
      <c r="B254" s="1042"/>
      <c r="C254" s="1042"/>
      <c r="D254" s="1042"/>
      <c r="E254" s="1042"/>
      <c r="F254" s="1042"/>
      <c r="G254" s="1042"/>
      <c r="H254" s="1042"/>
      <c r="I254" s="1042"/>
      <c r="J254" s="1042"/>
      <c r="K254" s="1042"/>
      <c r="L254" s="1042"/>
      <c r="M254" s="1042"/>
      <c r="N254" s="1042"/>
      <c r="O254" s="1042"/>
      <c r="P254" s="1042"/>
      <c r="Q254" s="1042"/>
      <c r="R254" s="1042"/>
      <c r="S254" s="1042"/>
      <c r="T254" s="1042"/>
      <c r="U254" s="1042"/>
      <c r="V254" s="1042"/>
      <c r="W254" s="1042"/>
      <c r="X254" s="1042"/>
      <c r="Y254" s="1042"/>
      <c r="Z254" s="1042"/>
      <c r="AA254" s="1042"/>
      <c r="AB254" s="1042"/>
      <c r="AC254" s="1042"/>
      <c r="AD254" s="1042"/>
      <c r="AE254" s="1042"/>
      <c r="AF254" s="1042"/>
      <c r="AG254" s="1042"/>
      <c r="AH254" s="1042"/>
      <c r="AI254" s="1042"/>
      <c r="AJ254" s="1042"/>
      <c r="AK254" s="1039"/>
    </row>
    <row r="255" ht="5.25" customHeight="1">
      <c r="A255" s="1039"/>
      <c r="B255" s="1042"/>
      <c r="C255" s="1043"/>
      <c r="D255" s="1044"/>
      <c r="E255" s="1044"/>
      <c r="F255" s="1044"/>
      <c r="G255" s="1044"/>
      <c r="H255" s="1044"/>
      <c r="I255" s="1044"/>
      <c r="J255" s="1044"/>
      <c r="K255" s="1044"/>
      <c r="L255" s="1044"/>
      <c r="M255" s="1044"/>
      <c r="N255" s="1044"/>
      <c r="O255" s="1044"/>
      <c r="P255" s="1044"/>
      <c r="Q255" s="1044"/>
      <c r="R255" s="1044"/>
      <c r="S255" s="1044"/>
      <c r="T255" s="1044"/>
      <c r="U255" s="1044"/>
      <c r="V255" s="1044"/>
      <c r="W255" s="1044"/>
      <c r="X255" s="1044"/>
      <c r="Y255" s="1044"/>
      <c r="Z255" s="1044"/>
      <c r="AA255" s="1044"/>
      <c r="AB255" s="1044"/>
      <c r="AC255" s="1044"/>
      <c r="AD255" s="1044"/>
      <c r="AE255" s="1044"/>
      <c r="AF255" s="1044"/>
      <c r="AG255" s="1045"/>
      <c r="AH255" s="1045"/>
      <c r="AI255" s="1046"/>
      <c r="AJ255" s="1042"/>
      <c r="AK255" s="1039"/>
    </row>
    <row r="256" ht="9.0" customHeight="1">
      <c r="A256" s="1039"/>
      <c r="B256" s="1042"/>
      <c r="C256" s="1047"/>
      <c r="D256" s="1048"/>
      <c r="E256" s="1049"/>
      <c r="F256" s="1049"/>
      <c r="G256" s="1049"/>
      <c r="H256" s="1049"/>
      <c r="I256" s="1049"/>
      <c r="J256" s="1049"/>
      <c r="K256" s="1049"/>
      <c r="L256" s="1049"/>
      <c r="M256" s="1049"/>
      <c r="N256" s="1049"/>
      <c r="O256" s="1049"/>
      <c r="P256" s="1049"/>
      <c r="Q256" s="1049"/>
      <c r="R256" s="1049"/>
      <c r="S256" s="1049"/>
      <c r="T256" s="1049"/>
      <c r="U256" s="1049"/>
      <c r="V256" s="1049"/>
      <c r="W256" s="1049"/>
      <c r="X256" s="1049"/>
      <c r="Y256" s="1049"/>
      <c r="Z256" s="1049"/>
      <c r="AA256" s="1049"/>
      <c r="AB256" s="1049"/>
      <c r="AC256" s="1049"/>
      <c r="AD256" s="1049"/>
      <c r="AE256" s="1049"/>
      <c r="AF256" s="1049"/>
      <c r="AG256" s="1050"/>
      <c r="AH256" s="1051"/>
      <c r="AI256" s="1052"/>
      <c r="AJ256" s="1042"/>
      <c r="AK256" s="1039"/>
    </row>
    <row r="257" ht="3.75" customHeight="1">
      <c r="A257" s="1039"/>
      <c r="B257" s="1042"/>
      <c r="C257" s="1053"/>
      <c r="D257" s="1050"/>
      <c r="E257" s="1054"/>
      <c r="F257" s="1055"/>
      <c r="G257" s="1055"/>
      <c r="H257" s="1055"/>
      <c r="I257" s="1055"/>
      <c r="J257" s="1055"/>
      <c r="K257" s="1055"/>
      <c r="L257" s="1055"/>
      <c r="M257" s="1055"/>
      <c r="N257" s="1055"/>
      <c r="O257" s="1055"/>
      <c r="P257" s="1055"/>
      <c r="Q257" s="1055"/>
      <c r="R257" s="1055"/>
      <c r="S257" s="1055"/>
      <c r="T257" s="1055"/>
      <c r="U257" s="1055"/>
      <c r="V257" s="1055"/>
      <c r="W257" s="1055"/>
      <c r="X257" s="1055"/>
      <c r="Y257" s="1055"/>
      <c r="Z257" s="1055"/>
      <c r="AA257" s="1055"/>
      <c r="AB257" s="1055"/>
      <c r="AC257" s="1055"/>
      <c r="AD257" s="1055"/>
      <c r="AE257" s="1055"/>
      <c r="AF257" s="1056"/>
      <c r="AG257" s="1057"/>
      <c r="AH257" s="1051"/>
      <c r="AI257" s="1052"/>
      <c r="AJ257" s="1042"/>
      <c r="AK257" s="1039"/>
    </row>
    <row r="258">
      <c r="A258" s="1039"/>
      <c r="B258" s="1042"/>
      <c r="C258" s="1053"/>
      <c r="D258" s="1050"/>
      <c r="E258" s="1058"/>
      <c r="F258" s="1059" t="s">
        <v>1492</v>
      </c>
      <c r="G258" s="1060"/>
      <c r="H258" s="1060"/>
      <c r="I258" s="1060"/>
      <c r="J258" s="1060"/>
      <c r="K258" s="1060"/>
      <c r="L258" s="1060"/>
      <c r="M258" s="1060"/>
      <c r="N258" s="1060"/>
      <c r="O258" s="1060"/>
      <c r="P258" s="1060"/>
      <c r="Q258" s="1060"/>
      <c r="R258" s="1060"/>
      <c r="S258" s="1060"/>
      <c r="T258" s="1060"/>
      <c r="U258" s="1060"/>
      <c r="V258" s="1060"/>
      <c r="W258" s="1060"/>
      <c r="X258" s="1060"/>
      <c r="Y258" s="1060"/>
      <c r="Z258" s="1060"/>
      <c r="AA258" s="1060"/>
      <c r="AB258" s="1060"/>
      <c r="AC258" s="1060"/>
      <c r="AD258" s="1060"/>
      <c r="AE258" s="1061"/>
      <c r="AF258" s="1062"/>
      <c r="AG258" s="1057"/>
      <c r="AH258" s="1051"/>
      <c r="AI258" s="1052"/>
      <c r="AJ258" s="1042"/>
      <c r="AK258" s="1039"/>
    </row>
    <row r="259" ht="7.5" customHeight="1">
      <c r="A259" s="1039"/>
      <c r="B259" s="1042"/>
      <c r="C259" s="1053"/>
      <c r="D259" s="1050"/>
      <c r="E259" s="1058"/>
      <c r="F259" s="1063"/>
      <c r="G259" s="1063"/>
      <c r="H259" s="1063"/>
      <c r="I259" s="1063"/>
      <c r="J259" s="1063"/>
      <c r="K259" s="1063"/>
      <c r="L259" s="1063"/>
      <c r="M259" s="1063"/>
      <c r="N259" s="1063"/>
      <c r="O259" s="1063"/>
      <c r="P259" s="1063"/>
      <c r="Q259" s="1063"/>
      <c r="R259" s="1063"/>
      <c r="S259" s="1063"/>
      <c r="T259" s="1063"/>
      <c r="U259" s="1063"/>
      <c r="V259" s="1063"/>
      <c r="W259" s="1063"/>
      <c r="X259" s="1063"/>
      <c r="Y259" s="1063"/>
      <c r="Z259" s="1063"/>
      <c r="AA259" s="1063"/>
      <c r="AB259" s="1063"/>
      <c r="AC259" s="1063"/>
      <c r="AD259" s="1063"/>
      <c r="AE259" s="1063"/>
      <c r="AF259" s="1062"/>
      <c r="AG259" s="1057"/>
      <c r="AH259" s="1051"/>
      <c r="AI259" s="1052"/>
      <c r="AJ259" s="1042"/>
      <c r="AK259" s="1039"/>
    </row>
    <row r="260" ht="18.75" customHeight="1">
      <c r="A260" s="1039"/>
      <c r="B260" s="1042"/>
      <c r="C260" s="1053"/>
      <c r="D260" s="1050"/>
      <c r="E260" s="1058"/>
      <c r="F260" s="1064" t="str">
        <f>Source!$Y$24</f>
        <v/>
      </c>
      <c r="G260" s="1065" t="s">
        <v>1493</v>
      </c>
      <c r="H260" s="1060"/>
      <c r="I260" s="1060"/>
      <c r="J260" s="1060"/>
      <c r="K260" s="1060"/>
      <c r="L260" s="1060"/>
      <c r="M260" s="1060"/>
      <c r="N260" s="1060"/>
      <c r="O260" s="1060"/>
      <c r="P260" s="1060"/>
      <c r="Q260" s="1060"/>
      <c r="R260" s="1060"/>
      <c r="S260" s="1060"/>
      <c r="T260" s="1060"/>
      <c r="U260" s="1060"/>
      <c r="V260" s="1060"/>
      <c r="W260" s="1060"/>
      <c r="X260" s="1061"/>
      <c r="Y260" s="1066" t="str">
        <f>Source!$B$8</f>
        <v/>
      </c>
      <c r="Z260" s="1061"/>
      <c r="AA260" s="1067" t="s">
        <v>1494</v>
      </c>
      <c r="AB260" s="1060"/>
      <c r="AC260" s="1060"/>
      <c r="AD260" s="1060"/>
      <c r="AE260" s="1061"/>
      <c r="AF260" s="1062"/>
      <c r="AG260" s="1057"/>
      <c r="AH260" s="1051"/>
      <c r="AI260" s="1052"/>
      <c r="AJ260" s="1042"/>
      <c r="AK260" s="1039"/>
    </row>
    <row r="261" ht="7.5" customHeight="1">
      <c r="A261" s="1039"/>
      <c r="B261" s="1042"/>
      <c r="C261" s="1053"/>
      <c r="D261" s="1050"/>
      <c r="E261" s="1058"/>
      <c r="F261" s="1064"/>
      <c r="G261" s="1068"/>
      <c r="H261" s="1069"/>
      <c r="I261" s="1068"/>
      <c r="J261" s="1063"/>
      <c r="K261" s="1068"/>
      <c r="L261" s="1063"/>
      <c r="M261" s="1068"/>
      <c r="N261" s="1063"/>
      <c r="O261" s="1068"/>
      <c r="P261" s="1063"/>
      <c r="Q261" s="1068"/>
      <c r="R261" s="1063"/>
      <c r="S261" s="1068"/>
      <c r="T261" s="1063"/>
      <c r="U261" s="1068"/>
      <c r="V261" s="1063"/>
      <c r="W261" s="1068"/>
      <c r="X261" s="1063"/>
      <c r="Y261" s="1068"/>
      <c r="Z261" s="1063"/>
      <c r="AA261" s="1068"/>
      <c r="AB261" s="1063"/>
      <c r="AC261" s="1068"/>
      <c r="AD261" s="1063"/>
      <c r="AE261" s="1068"/>
      <c r="AF261" s="1062"/>
      <c r="AG261" s="1057"/>
      <c r="AH261" s="1051"/>
      <c r="AI261" s="1052"/>
      <c r="AJ261" s="1042"/>
      <c r="AK261" s="1039"/>
    </row>
    <row r="262" ht="18.75" customHeight="1">
      <c r="A262" s="1039"/>
      <c r="B262" s="1042"/>
      <c r="C262" s="1053"/>
      <c r="D262" s="1050"/>
      <c r="E262" s="1058"/>
      <c r="F262" s="1064" t="str">
        <f>Source!$S$34</f>
        <v/>
      </c>
      <c r="G262" s="1065" t="s">
        <v>1495</v>
      </c>
      <c r="H262" s="1060"/>
      <c r="I262" s="1060"/>
      <c r="J262" s="1060"/>
      <c r="K262" s="1060"/>
      <c r="L262" s="1060"/>
      <c r="M262" s="1060"/>
      <c r="N262" s="1060"/>
      <c r="O262" s="1060"/>
      <c r="P262" s="1060"/>
      <c r="Q262" s="1060"/>
      <c r="R262" s="1060"/>
      <c r="S262" s="1060"/>
      <c r="T262" s="1060"/>
      <c r="U262" s="1060"/>
      <c r="V262" s="1060"/>
      <c r="W262" s="1060"/>
      <c r="X262" s="1061"/>
      <c r="Y262" s="1066" t="str">
        <f>Source!$B$8</f>
        <v/>
      </c>
      <c r="Z262" s="1061"/>
      <c r="AA262" s="1067" t="s">
        <v>1494</v>
      </c>
      <c r="AB262" s="1060"/>
      <c r="AC262" s="1060"/>
      <c r="AD262" s="1060"/>
      <c r="AE262" s="1061"/>
      <c r="AF262" s="1062"/>
      <c r="AG262" s="1057"/>
      <c r="AH262" s="1051"/>
      <c r="AI262" s="1052"/>
      <c r="AJ262" s="1042"/>
      <c r="AK262" s="1039"/>
    </row>
    <row r="263" ht="7.5" customHeight="1">
      <c r="A263" s="1039"/>
      <c r="B263" s="1042"/>
      <c r="C263" s="1053"/>
      <c r="D263" s="1050"/>
      <c r="E263" s="1058"/>
      <c r="F263" s="1064"/>
      <c r="G263" s="1068"/>
      <c r="H263" s="1069"/>
      <c r="I263" s="1068"/>
      <c r="J263" s="1063"/>
      <c r="K263" s="1068"/>
      <c r="L263" s="1063"/>
      <c r="M263" s="1068"/>
      <c r="N263" s="1063"/>
      <c r="O263" s="1068"/>
      <c r="P263" s="1063"/>
      <c r="Q263" s="1068"/>
      <c r="R263" s="1063"/>
      <c r="S263" s="1068"/>
      <c r="T263" s="1063"/>
      <c r="U263" s="1068"/>
      <c r="V263" s="1063"/>
      <c r="W263" s="1068"/>
      <c r="X263" s="1063"/>
      <c r="Y263" s="1068"/>
      <c r="Z263" s="1063"/>
      <c r="AA263" s="1068"/>
      <c r="AB263" s="1063"/>
      <c r="AC263" s="1068"/>
      <c r="AD263" s="1063"/>
      <c r="AE263" s="1068"/>
      <c r="AF263" s="1062"/>
      <c r="AG263" s="1057"/>
      <c r="AH263" s="1051"/>
      <c r="AI263" s="1052"/>
      <c r="AJ263" s="1042"/>
      <c r="AK263" s="1039"/>
    </row>
    <row r="264" ht="18.75" customHeight="1">
      <c r="A264" s="1039"/>
      <c r="B264" s="1042"/>
      <c r="C264" s="1053"/>
      <c r="D264" s="1050"/>
      <c r="E264" s="1058"/>
      <c r="F264" s="1064" t="str">
        <f>Source!$S$31</f>
        <v/>
      </c>
      <c r="G264" s="1065" t="s">
        <v>1496</v>
      </c>
      <c r="H264" s="1060"/>
      <c r="I264" s="1060"/>
      <c r="J264" s="1060"/>
      <c r="K264" s="1060"/>
      <c r="L264" s="1060"/>
      <c r="M264" s="1060"/>
      <c r="N264" s="1060"/>
      <c r="O264" s="1060"/>
      <c r="P264" s="1060"/>
      <c r="Q264" s="1060"/>
      <c r="R264" s="1060"/>
      <c r="S264" s="1060"/>
      <c r="T264" s="1060"/>
      <c r="U264" s="1060"/>
      <c r="V264" s="1060"/>
      <c r="W264" s="1060"/>
      <c r="X264" s="1061"/>
      <c r="Y264" s="1066" t="str">
        <f>Source!$B$8</f>
        <v/>
      </c>
      <c r="Z264" s="1061"/>
      <c r="AA264" s="1067" t="s">
        <v>1494</v>
      </c>
      <c r="AB264" s="1060"/>
      <c r="AC264" s="1060"/>
      <c r="AD264" s="1060"/>
      <c r="AE264" s="1061"/>
      <c r="AF264" s="1062"/>
      <c r="AG264" s="1057"/>
      <c r="AH264" s="1051"/>
      <c r="AI264" s="1052"/>
      <c r="AJ264" s="1042"/>
      <c r="AK264" s="1039"/>
    </row>
    <row r="265" ht="7.5" customHeight="1">
      <c r="A265" s="1039"/>
      <c r="B265" s="1042"/>
      <c r="C265" s="1053"/>
      <c r="D265" s="1050"/>
      <c r="E265" s="1058"/>
      <c r="F265" s="1064"/>
      <c r="G265" s="1068"/>
      <c r="H265" s="1069"/>
      <c r="I265" s="1068"/>
      <c r="J265" s="1063"/>
      <c r="K265" s="1068"/>
      <c r="L265" s="1063"/>
      <c r="M265" s="1068"/>
      <c r="N265" s="1063"/>
      <c r="O265" s="1068"/>
      <c r="P265" s="1063"/>
      <c r="Q265" s="1068"/>
      <c r="R265" s="1063"/>
      <c r="S265" s="1068"/>
      <c r="T265" s="1063"/>
      <c r="U265" s="1068"/>
      <c r="V265" s="1063"/>
      <c r="W265" s="1068"/>
      <c r="X265" s="1063"/>
      <c r="Y265" s="1068"/>
      <c r="Z265" s="1063"/>
      <c r="AA265" s="1068"/>
      <c r="AB265" s="1063"/>
      <c r="AC265" s="1068"/>
      <c r="AD265" s="1063"/>
      <c r="AE265" s="1068"/>
      <c r="AF265" s="1062"/>
      <c r="AG265" s="1057"/>
      <c r="AH265" s="1051"/>
      <c r="AI265" s="1052"/>
      <c r="AJ265" s="1042"/>
      <c r="AK265" s="1039"/>
    </row>
    <row r="266" ht="18.75" customHeight="1">
      <c r="A266" s="1039"/>
      <c r="B266" s="1042"/>
      <c r="C266" s="1053"/>
      <c r="D266" s="1050"/>
      <c r="E266" s="1058"/>
      <c r="F266" s="1064" t="str">
        <f>Source!$S$25</f>
        <v/>
      </c>
      <c r="G266" s="1065" t="s">
        <v>1497</v>
      </c>
      <c r="H266" s="1060"/>
      <c r="I266" s="1060"/>
      <c r="J266" s="1060"/>
      <c r="K266" s="1060"/>
      <c r="L266" s="1060"/>
      <c r="M266" s="1060"/>
      <c r="N266" s="1060"/>
      <c r="O266" s="1060"/>
      <c r="P266" s="1060"/>
      <c r="Q266" s="1060"/>
      <c r="R266" s="1060"/>
      <c r="S266" s="1060"/>
      <c r="T266" s="1060"/>
      <c r="U266" s="1060"/>
      <c r="V266" s="1060"/>
      <c r="W266" s="1060"/>
      <c r="X266" s="1061"/>
      <c r="Y266" s="1066" t="str">
        <f>Source!$B$8</f>
        <v/>
      </c>
      <c r="Z266" s="1061"/>
      <c r="AA266" s="1067" t="s">
        <v>1494</v>
      </c>
      <c r="AB266" s="1060"/>
      <c r="AC266" s="1060"/>
      <c r="AD266" s="1060"/>
      <c r="AE266" s="1061"/>
      <c r="AF266" s="1062"/>
      <c r="AG266" s="1057"/>
      <c r="AH266" s="1051"/>
      <c r="AI266" s="1052"/>
      <c r="AJ266" s="1042"/>
      <c r="AK266" s="1039"/>
    </row>
    <row r="267" ht="7.5" customHeight="1">
      <c r="A267" s="1039"/>
      <c r="B267" s="1042"/>
      <c r="C267" s="1053"/>
      <c r="D267" s="1050"/>
      <c r="E267" s="1058"/>
      <c r="F267" s="1064"/>
      <c r="G267" s="1068"/>
      <c r="H267" s="1069"/>
      <c r="I267" s="1068"/>
      <c r="J267" s="1063"/>
      <c r="K267" s="1068"/>
      <c r="L267" s="1063"/>
      <c r="M267" s="1068"/>
      <c r="N267" s="1063"/>
      <c r="O267" s="1068"/>
      <c r="P267" s="1063"/>
      <c r="Q267" s="1068"/>
      <c r="R267" s="1063"/>
      <c r="S267" s="1068"/>
      <c r="T267" s="1063"/>
      <c r="U267" s="1068"/>
      <c r="V267" s="1063"/>
      <c r="W267" s="1068"/>
      <c r="X267" s="1063"/>
      <c r="Y267" s="1068"/>
      <c r="Z267" s="1063"/>
      <c r="AA267" s="1068"/>
      <c r="AB267" s="1063"/>
      <c r="AC267" s="1068"/>
      <c r="AD267" s="1063"/>
      <c r="AE267" s="1068"/>
      <c r="AF267" s="1062"/>
      <c r="AG267" s="1057"/>
      <c r="AH267" s="1051"/>
      <c r="AI267" s="1052"/>
      <c r="AJ267" s="1042"/>
      <c r="AK267" s="1039"/>
    </row>
    <row r="268" ht="18.75" customHeight="1">
      <c r="A268" s="1039"/>
      <c r="B268" s="1042"/>
      <c r="C268" s="1053"/>
      <c r="D268" s="1050"/>
      <c r="E268" s="1058"/>
      <c r="F268" s="1064" t="str">
        <f>Source!$S$26</f>
        <v/>
      </c>
      <c r="G268" s="1065" t="s">
        <v>1498</v>
      </c>
      <c r="H268" s="1060"/>
      <c r="I268" s="1060"/>
      <c r="J268" s="1060"/>
      <c r="K268" s="1060"/>
      <c r="L268" s="1060"/>
      <c r="M268" s="1060"/>
      <c r="N268" s="1060"/>
      <c r="O268" s="1060"/>
      <c r="P268" s="1060"/>
      <c r="Q268" s="1060"/>
      <c r="R268" s="1060"/>
      <c r="S268" s="1060"/>
      <c r="T268" s="1060"/>
      <c r="U268" s="1060"/>
      <c r="V268" s="1060"/>
      <c r="W268" s="1060"/>
      <c r="X268" s="1061"/>
      <c r="Y268" s="1066" t="str">
        <f>Source!$B$8</f>
        <v/>
      </c>
      <c r="Z268" s="1061"/>
      <c r="AA268" s="1067" t="s">
        <v>1494</v>
      </c>
      <c r="AB268" s="1060"/>
      <c r="AC268" s="1060"/>
      <c r="AD268" s="1060"/>
      <c r="AE268" s="1061"/>
      <c r="AF268" s="1062"/>
      <c r="AG268" s="1057"/>
      <c r="AH268" s="1051"/>
      <c r="AI268" s="1052"/>
      <c r="AJ268" s="1042"/>
      <c r="AK268" s="1039"/>
    </row>
    <row r="269" ht="7.5" customHeight="1">
      <c r="A269" s="1039"/>
      <c r="B269" s="1042"/>
      <c r="C269" s="1053"/>
      <c r="D269" s="1050"/>
      <c r="E269" s="1058"/>
      <c r="F269" s="1064"/>
      <c r="G269" s="1068"/>
      <c r="H269" s="1069"/>
      <c r="I269" s="1068"/>
      <c r="J269" s="1063"/>
      <c r="K269" s="1068"/>
      <c r="L269" s="1063"/>
      <c r="M269" s="1068"/>
      <c r="N269" s="1063"/>
      <c r="O269" s="1068"/>
      <c r="P269" s="1063"/>
      <c r="Q269" s="1068"/>
      <c r="R269" s="1063"/>
      <c r="S269" s="1068"/>
      <c r="T269" s="1063"/>
      <c r="U269" s="1068"/>
      <c r="V269" s="1063"/>
      <c r="W269" s="1068"/>
      <c r="X269" s="1063"/>
      <c r="Y269" s="1068"/>
      <c r="Z269" s="1063"/>
      <c r="AA269" s="1068"/>
      <c r="AB269" s="1063"/>
      <c r="AC269" s="1068"/>
      <c r="AD269" s="1063"/>
      <c r="AE269" s="1068"/>
      <c r="AF269" s="1062"/>
      <c r="AG269" s="1057"/>
      <c r="AH269" s="1051"/>
      <c r="AI269" s="1052"/>
      <c r="AJ269" s="1042"/>
      <c r="AK269" s="1039"/>
    </row>
    <row r="270" ht="18.75" customHeight="1">
      <c r="A270" s="1039"/>
      <c r="B270" s="1042"/>
      <c r="C270" s="1053"/>
      <c r="D270" s="1050"/>
      <c r="E270" s="1058"/>
      <c r="F270" s="1064" t="str">
        <f>Source!$S$2</f>
        <v/>
      </c>
      <c r="G270" s="1065" t="s">
        <v>1499</v>
      </c>
      <c r="H270" s="1060"/>
      <c r="I270" s="1060"/>
      <c r="J270" s="1060"/>
      <c r="K270" s="1060"/>
      <c r="L270" s="1060"/>
      <c r="M270" s="1060"/>
      <c r="N270" s="1060"/>
      <c r="O270" s="1060"/>
      <c r="P270" s="1060"/>
      <c r="Q270" s="1060"/>
      <c r="R270" s="1060"/>
      <c r="S270" s="1060"/>
      <c r="T270" s="1060"/>
      <c r="U270" s="1060"/>
      <c r="V270" s="1060"/>
      <c r="W270" s="1060"/>
      <c r="X270" s="1061"/>
      <c r="Y270" s="1066" t="str">
        <f>Source!$B$8</f>
        <v/>
      </c>
      <c r="Z270" s="1061"/>
      <c r="AA270" s="1067" t="s">
        <v>1500</v>
      </c>
      <c r="AB270" s="1060"/>
      <c r="AC270" s="1060"/>
      <c r="AD270" s="1060"/>
      <c r="AE270" s="1061"/>
      <c r="AF270" s="1062"/>
      <c r="AG270" s="1057"/>
      <c r="AH270" s="1051"/>
      <c r="AI270" s="1052"/>
      <c r="AJ270" s="1042"/>
      <c r="AK270" s="1039"/>
    </row>
    <row r="271" ht="7.5" customHeight="1">
      <c r="A271" s="1039"/>
      <c r="B271" s="1042"/>
      <c r="C271" s="1053"/>
      <c r="D271" s="1050"/>
      <c r="E271" s="1058"/>
      <c r="F271" s="1064"/>
      <c r="G271" s="1068"/>
      <c r="H271" s="1069"/>
      <c r="I271" s="1068"/>
      <c r="J271" s="1063"/>
      <c r="K271" s="1068"/>
      <c r="L271" s="1063"/>
      <c r="M271" s="1068"/>
      <c r="N271" s="1063"/>
      <c r="O271" s="1068"/>
      <c r="P271" s="1063"/>
      <c r="Q271" s="1068"/>
      <c r="R271" s="1063"/>
      <c r="S271" s="1068"/>
      <c r="T271" s="1063"/>
      <c r="U271" s="1068"/>
      <c r="V271" s="1063"/>
      <c r="W271" s="1068"/>
      <c r="X271" s="1063"/>
      <c r="Y271" s="1068"/>
      <c r="Z271" s="1063"/>
      <c r="AA271" s="1068"/>
      <c r="AB271" s="1063"/>
      <c r="AC271" s="1068"/>
      <c r="AD271" s="1063"/>
      <c r="AE271" s="1068"/>
      <c r="AF271" s="1062"/>
      <c r="AG271" s="1057"/>
      <c r="AH271" s="1051"/>
      <c r="AI271" s="1052"/>
      <c r="AJ271" s="1042"/>
      <c r="AK271" s="1039"/>
    </row>
    <row r="272" ht="18.75" customHeight="1">
      <c r="A272" s="1039"/>
      <c r="B272" s="1042"/>
      <c r="C272" s="1053"/>
      <c r="D272" s="1050"/>
      <c r="E272" s="1058"/>
      <c r="F272" s="1064" t="str">
        <f>Source!$S$17</f>
        <v/>
      </c>
      <c r="G272" s="1065" t="s">
        <v>1501</v>
      </c>
      <c r="H272" s="1060"/>
      <c r="I272" s="1060"/>
      <c r="J272" s="1060"/>
      <c r="K272" s="1060"/>
      <c r="L272" s="1060"/>
      <c r="M272" s="1060"/>
      <c r="N272" s="1060"/>
      <c r="O272" s="1060"/>
      <c r="P272" s="1060"/>
      <c r="Q272" s="1060"/>
      <c r="R272" s="1060"/>
      <c r="S272" s="1060"/>
      <c r="T272" s="1060"/>
      <c r="U272" s="1060"/>
      <c r="V272" s="1060"/>
      <c r="W272" s="1060"/>
      <c r="X272" s="1061"/>
      <c r="Y272" s="1066" t="str">
        <f>Source!$B$8</f>
        <v/>
      </c>
      <c r="Z272" s="1061"/>
      <c r="AA272" s="1067" t="s">
        <v>1500</v>
      </c>
      <c r="AB272" s="1060"/>
      <c r="AC272" s="1060"/>
      <c r="AD272" s="1060"/>
      <c r="AE272" s="1061"/>
      <c r="AF272" s="1062"/>
      <c r="AG272" s="1057"/>
      <c r="AH272" s="1051"/>
      <c r="AI272" s="1052"/>
      <c r="AJ272" s="1042"/>
      <c r="AK272" s="1039"/>
    </row>
    <row r="273" ht="7.5" customHeight="1">
      <c r="A273" s="1039"/>
      <c r="B273" s="1042"/>
      <c r="C273" s="1053"/>
      <c r="D273" s="1050"/>
      <c r="E273" s="1058"/>
      <c r="F273" s="1064"/>
      <c r="G273" s="1068"/>
      <c r="H273" s="1069"/>
      <c r="I273" s="1068"/>
      <c r="J273" s="1063"/>
      <c r="K273" s="1068"/>
      <c r="L273" s="1063"/>
      <c r="M273" s="1068"/>
      <c r="N273" s="1063"/>
      <c r="O273" s="1068"/>
      <c r="P273" s="1063"/>
      <c r="Q273" s="1068"/>
      <c r="R273" s="1063"/>
      <c r="S273" s="1068"/>
      <c r="T273" s="1063"/>
      <c r="U273" s="1068"/>
      <c r="V273" s="1063"/>
      <c r="W273" s="1068"/>
      <c r="X273" s="1063"/>
      <c r="Y273" s="1068"/>
      <c r="Z273" s="1063"/>
      <c r="AA273" s="1068"/>
      <c r="AB273" s="1063"/>
      <c r="AC273" s="1068"/>
      <c r="AD273" s="1063"/>
      <c r="AE273" s="1068"/>
      <c r="AF273" s="1062"/>
      <c r="AG273" s="1057"/>
      <c r="AH273" s="1051"/>
      <c r="AI273" s="1052"/>
      <c r="AJ273" s="1042"/>
      <c r="AK273" s="1039"/>
    </row>
    <row r="274" ht="18.75" customHeight="1">
      <c r="A274" s="1039"/>
      <c r="B274" s="1042"/>
      <c r="C274" s="1053"/>
      <c r="D274" s="1050"/>
      <c r="E274" s="1058"/>
      <c r="F274" s="1064" t="str">
        <f>Source!$S$5</f>
        <v/>
      </c>
      <c r="G274" s="1065" t="s">
        <v>1502</v>
      </c>
      <c r="H274" s="1060"/>
      <c r="I274" s="1060"/>
      <c r="J274" s="1060"/>
      <c r="K274" s="1060"/>
      <c r="L274" s="1060"/>
      <c r="M274" s="1060"/>
      <c r="N274" s="1060"/>
      <c r="O274" s="1060"/>
      <c r="P274" s="1060"/>
      <c r="Q274" s="1060"/>
      <c r="R274" s="1060"/>
      <c r="S274" s="1060"/>
      <c r="T274" s="1060"/>
      <c r="U274" s="1060"/>
      <c r="V274" s="1060"/>
      <c r="W274" s="1060"/>
      <c r="X274" s="1061"/>
      <c r="Y274" s="1066" t="str">
        <f>Source!$B$8</f>
        <v/>
      </c>
      <c r="Z274" s="1061"/>
      <c r="AA274" s="1067" t="s">
        <v>1500</v>
      </c>
      <c r="AB274" s="1060"/>
      <c r="AC274" s="1060"/>
      <c r="AD274" s="1060"/>
      <c r="AE274" s="1061"/>
      <c r="AF274" s="1062"/>
      <c r="AG274" s="1057"/>
      <c r="AH274" s="1051"/>
      <c r="AI274" s="1052"/>
      <c r="AJ274" s="1042"/>
      <c r="AK274" s="1039"/>
    </row>
    <row r="275" ht="7.5" customHeight="1">
      <c r="A275" s="1039"/>
      <c r="B275" s="1042"/>
      <c r="C275" s="1053"/>
      <c r="D275" s="1050"/>
      <c r="E275" s="1058"/>
      <c r="F275" s="1064"/>
      <c r="G275" s="1068"/>
      <c r="H275" s="1069"/>
      <c r="I275" s="1068"/>
      <c r="J275" s="1063"/>
      <c r="K275" s="1068"/>
      <c r="L275" s="1063"/>
      <c r="M275" s="1068"/>
      <c r="N275" s="1063"/>
      <c r="O275" s="1068"/>
      <c r="P275" s="1063"/>
      <c r="Q275" s="1068"/>
      <c r="R275" s="1063"/>
      <c r="S275" s="1068"/>
      <c r="T275" s="1063"/>
      <c r="U275" s="1068"/>
      <c r="V275" s="1063"/>
      <c r="W275" s="1068"/>
      <c r="X275" s="1063"/>
      <c r="Y275" s="1068"/>
      <c r="Z275" s="1063"/>
      <c r="AA275" s="1068"/>
      <c r="AB275" s="1063"/>
      <c r="AC275" s="1068"/>
      <c r="AD275" s="1063"/>
      <c r="AE275" s="1068"/>
      <c r="AF275" s="1062"/>
      <c r="AG275" s="1057"/>
      <c r="AH275" s="1051"/>
      <c r="AI275" s="1052"/>
      <c r="AJ275" s="1042"/>
      <c r="AK275" s="1039"/>
    </row>
    <row r="276" ht="18.75" customHeight="1">
      <c r="A276" s="1039"/>
      <c r="B276" s="1042"/>
      <c r="C276" s="1053"/>
      <c r="D276" s="1050"/>
      <c r="E276" s="1058"/>
      <c r="F276" s="1064" t="str">
        <f>Source!$S$28</f>
        <v/>
      </c>
      <c r="G276" s="1065" t="s">
        <v>1503</v>
      </c>
      <c r="H276" s="1060"/>
      <c r="I276" s="1060"/>
      <c r="J276" s="1060"/>
      <c r="K276" s="1060"/>
      <c r="L276" s="1060"/>
      <c r="M276" s="1060"/>
      <c r="N276" s="1060"/>
      <c r="O276" s="1060"/>
      <c r="P276" s="1060"/>
      <c r="Q276" s="1060"/>
      <c r="R276" s="1060"/>
      <c r="S276" s="1060"/>
      <c r="T276" s="1060"/>
      <c r="U276" s="1060"/>
      <c r="V276" s="1060"/>
      <c r="W276" s="1060"/>
      <c r="X276" s="1061"/>
      <c r="Y276" s="1066" t="str">
        <f>Source!$B$8</f>
        <v/>
      </c>
      <c r="Z276" s="1061"/>
      <c r="AA276" s="1067" t="s">
        <v>1500</v>
      </c>
      <c r="AB276" s="1060"/>
      <c r="AC276" s="1060"/>
      <c r="AD276" s="1060"/>
      <c r="AE276" s="1061"/>
      <c r="AF276" s="1062"/>
      <c r="AG276" s="1057"/>
      <c r="AH276" s="1051"/>
      <c r="AI276" s="1052"/>
      <c r="AJ276" s="1042"/>
      <c r="AK276" s="1039"/>
    </row>
    <row r="277" ht="7.5" customHeight="1">
      <c r="A277" s="1039"/>
      <c r="B277" s="1042"/>
      <c r="C277" s="1053"/>
      <c r="D277" s="1050"/>
      <c r="E277" s="1058"/>
      <c r="F277" s="1064"/>
      <c r="G277" s="1068"/>
      <c r="H277" s="1069"/>
      <c r="I277" s="1068"/>
      <c r="J277" s="1063"/>
      <c r="K277" s="1068"/>
      <c r="L277" s="1063"/>
      <c r="M277" s="1068"/>
      <c r="N277" s="1063"/>
      <c r="O277" s="1068"/>
      <c r="P277" s="1063"/>
      <c r="Q277" s="1068"/>
      <c r="R277" s="1063"/>
      <c r="S277" s="1068"/>
      <c r="T277" s="1063"/>
      <c r="U277" s="1068"/>
      <c r="V277" s="1063"/>
      <c r="W277" s="1068"/>
      <c r="X277" s="1063"/>
      <c r="Y277" s="1068"/>
      <c r="Z277" s="1063"/>
      <c r="AA277" s="1068"/>
      <c r="AB277" s="1063"/>
      <c r="AC277" s="1068"/>
      <c r="AD277" s="1063"/>
      <c r="AE277" s="1068"/>
      <c r="AF277" s="1062"/>
      <c r="AG277" s="1057"/>
      <c r="AH277" s="1051"/>
      <c r="AI277" s="1052"/>
      <c r="AJ277" s="1042"/>
      <c r="AK277" s="1039"/>
    </row>
    <row r="278" ht="18.75" customHeight="1">
      <c r="A278" s="1039"/>
      <c r="B278" s="1042"/>
      <c r="C278" s="1053"/>
      <c r="D278" s="1050"/>
      <c r="E278" s="1058"/>
      <c r="F278" s="1064" t="str">
        <f>Source!$S$20</f>
        <v/>
      </c>
      <c r="G278" s="1065" t="s">
        <v>1504</v>
      </c>
      <c r="H278" s="1060"/>
      <c r="I278" s="1060"/>
      <c r="J278" s="1060"/>
      <c r="K278" s="1060"/>
      <c r="L278" s="1060"/>
      <c r="M278" s="1060"/>
      <c r="N278" s="1060"/>
      <c r="O278" s="1060"/>
      <c r="P278" s="1060"/>
      <c r="Q278" s="1060"/>
      <c r="R278" s="1060"/>
      <c r="S278" s="1060"/>
      <c r="T278" s="1060"/>
      <c r="U278" s="1060"/>
      <c r="V278" s="1060"/>
      <c r="W278" s="1060"/>
      <c r="X278" s="1061"/>
      <c r="Y278" s="1066" t="str">
        <f>Source!$B$8</f>
        <v/>
      </c>
      <c r="Z278" s="1061"/>
      <c r="AA278" s="1067" t="s">
        <v>1500</v>
      </c>
      <c r="AB278" s="1060"/>
      <c r="AC278" s="1060"/>
      <c r="AD278" s="1060"/>
      <c r="AE278" s="1061"/>
      <c r="AF278" s="1062"/>
      <c r="AG278" s="1057"/>
      <c r="AH278" s="1051"/>
      <c r="AI278" s="1052"/>
      <c r="AJ278" s="1042"/>
      <c r="AK278" s="1039"/>
    </row>
    <row r="279" ht="7.5" customHeight="1">
      <c r="A279" s="1039"/>
      <c r="B279" s="1042"/>
      <c r="C279" s="1053"/>
      <c r="D279" s="1050"/>
      <c r="E279" s="1058"/>
      <c r="F279" s="1064"/>
      <c r="G279" s="1068"/>
      <c r="H279" s="1069"/>
      <c r="I279" s="1068"/>
      <c r="J279" s="1063"/>
      <c r="K279" s="1068"/>
      <c r="L279" s="1063"/>
      <c r="M279" s="1068"/>
      <c r="N279" s="1063"/>
      <c r="O279" s="1068"/>
      <c r="P279" s="1063"/>
      <c r="Q279" s="1068"/>
      <c r="R279" s="1063"/>
      <c r="S279" s="1068"/>
      <c r="T279" s="1063"/>
      <c r="U279" s="1068"/>
      <c r="V279" s="1063"/>
      <c r="W279" s="1068"/>
      <c r="X279" s="1063"/>
      <c r="Y279" s="1068"/>
      <c r="Z279" s="1063"/>
      <c r="AA279" s="1068"/>
      <c r="AB279" s="1063"/>
      <c r="AC279" s="1068"/>
      <c r="AD279" s="1063"/>
      <c r="AE279" s="1068"/>
      <c r="AF279" s="1062"/>
      <c r="AG279" s="1057"/>
      <c r="AH279" s="1051"/>
      <c r="AI279" s="1052"/>
      <c r="AJ279" s="1042"/>
      <c r="AK279" s="1039"/>
    </row>
    <row r="280" ht="18.75" customHeight="1">
      <c r="A280" s="1039"/>
      <c r="B280" s="1042"/>
      <c r="C280" s="1053"/>
      <c r="D280" s="1050"/>
      <c r="E280" s="1058"/>
      <c r="F280" s="1064" t="str">
        <f>Source!$M$9</f>
        <v/>
      </c>
      <c r="G280" s="1065" t="s">
        <v>1505</v>
      </c>
      <c r="H280" s="1060"/>
      <c r="I280" s="1060"/>
      <c r="J280" s="1060"/>
      <c r="K280" s="1060"/>
      <c r="L280" s="1060"/>
      <c r="M280" s="1060"/>
      <c r="N280" s="1060"/>
      <c r="O280" s="1060"/>
      <c r="P280" s="1060"/>
      <c r="Q280" s="1060"/>
      <c r="R280" s="1060"/>
      <c r="S280" s="1060"/>
      <c r="T280" s="1060"/>
      <c r="U280" s="1060"/>
      <c r="V280" s="1060"/>
      <c r="W280" s="1060"/>
      <c r="X280" s="1061"/>
      <c r="Y280" s="1066" t="str">
        <f>Source!$B$8</f>
        <v/>
      </c>
      <c r="Z280" s="1061"/>
      <c r="AA280" s="1067" t="s">
        <v>1506</v>
      </c>
      <c r="AB280" s="1060"/>
      <c r="AC280" s="1060"/>
      <c r="AD280" s="1060"/>
      <c r="AE280" s="1061"/>
      <c r="AF280" s="1062"/>
      <c r="AG280" s="1057"/>
      <c r="AH280" s="1051"/>
      <c r="AI280" s="1052"/>
      <c r="AJ280" s="1042"/>
      <c r="AK280" s="1039"/>
    </row>
    <row r="281" ht="7.5" customHeight="1">
      <c r="A281" s="1039"/>
      <c r="B281" s="1042"/>
      <c r="C281" s="1053"/>
      <c r="D281" s="1050"/>
      <c r="E281" s="1058"/>
      <c r="F281" s="1064"/>
      <c r="G281" s="1068"/>
      <c r="H281" s="1069"/>
      <c r="I281" s="1068"/>
      <c r="J281" s="1063"/>
      <c r="K281" s="1068"/>
      <c r="L281" s="1063"/>
      <c r="M281" s="1068"/>
      <c r="N281" s="1063"/>
      <c r="O281" s="1068"/>
      <c r="P281" s="1063"/>
      <c r="Q281" s="1068"/>
      <c r="R281" s="1063"/>
      <c r="S281" s="1068"/>
      <c r="T281" s="1063"/>
      <c r="U281" s="1068"/>
      <c r="V281" s="1063"/>
      <c r="W281" s="1068"/>
      <c r="X281" s="1063"/>
      <c r="Y281" s="1068"/>
      <c r="Z281" s="1063"/>
      <c r="AA281" s="1068"/>
      <c r="AB281" s="1063"/>
      <c r="AC281" s="1068"/>
      <c r="AD281" s="1063"/>
      <c r="AE281" s="1068"/>
      <c r="AF281" s="1062"/>
      <c r="AG281" s="1057"/>
      <c r="AH281" s="1051"/>
      <c r="AI281" s="1052"/>
      <c r="AJ281" s="1042"/>
      <c r="AK281" s="1039"/>
    </row>
    <row r="282" ht="18.75" customHeight="1">
      <c r="A282" s="1039"/>
      <c r="B282" s="1042"/>
      <c r="C282" s="1053"/>
      <c r="D282" s="1050"/>
      <c r="E282" s="1058"/>
      <c r="F282" s="1064" t="str">
        <f>IMAGE("https://i.ibb.co/SK50ng3/booster.png",4,28,28)</f>
        <v/>
      </c>
      <c r="G282" s="1065" t="s">
        <v>1171</v>
      </c>
      <c r="H282" s="1060"/>
      <c r="I282" s="1060"/>
      <c r="J282" s="1060"/>
      <c r="K282" s="1060"/>
      <c r="L282" s="1060"/>
      <c r="M282" s="1060"/>
      <c r="N282" s="1060"/>
      <c r="O282" s="1060"/>
      <c r="P282" s="1060"/>
      <c r="Q282" s="1060"/>
      <c r="R282" s="1060"/>
      <c r="S282" s="1060"/>
      <c r="T282" s="1060"/>
      <c r="U282" s="1060"/>
      <c r="V282" s="1060"/>
      <c r="W282" s="1060"/>
      <c r="X282" s="1061"/>
      <c r="Y282" s="1066" t="str">
        <f>Source!$B$8</f>
        <v/>
      </c>
      <c r="Z282" s="1061"/>
      <c r="AA282" s="1067" t="s">
        <v>1506</v>
      </c>
      <c r="AB282" s="1060"/>
      <c r="AC282" s="1060"/>
      <c r="AD282" s="1060"/>
      <c r="AE282" s="1061"/>
      <c r="AF282" s="1062"/>
      <c r="AG282" s="1057"/>
      <c r="AH282" s="1051"/>
      <c r="AI282" s="1052"/>
      <c r="AJ282" s="1042"/>
      <c r="AK282" s="1039"/>
    </row>
    <row r="283" ht="7.5" customHeight="1">
      <c r="A283" s="1039"/>
      <c r="B283" s="1042"/>
      <c r="C283" s="1053"/>
      <c r="D283" s="1050"/>
      <c r="E283" s="1058"/>
      <c r="F283" s="1064"/>
      <c r="G283" s="1068"/>
      <c r="H283" s="1069"/>
      <c r="I283" s="1068"/>
      <c r="J283" s="1063"/>
      <c r="K283" s="1068"/>
      <c r="L283" s="1063"/>
      <c r="M283" s="1068"/>
      <c r="N283" s="1063"/>
      <c r="O283" s="1068"/>
      <c r="P283" s="1063"/>
      <c r="Q283" s="1068"/>
      <c r="R283" s="1063"/>
      <c r="S283" s="1068"/>
      <c r="T283" s="1063"/>
      <c r="U283" s="1068"/>
      <c r="V283" s="1063"/>
      <c r="W283" s="1068"/>
      <c r="X283" s="1063"/>
      <c r="Y283" s="1068"/>
      <c r="Z283" s="1063"/>
      <c r="AA283" s="1068"/>
      <c r="AB283" s="1063"/>
      <c r="AC283" s="1068"/>
      <c r="AD283" s="1063"/>
      <c r="AE283" s="1068"/>
      <c r="AF283" s="1062"/>
      <c r="AG283" s="1057"/>
      <c r="AH283" s="1051"/>
      <c r="AI283" s="1052"/>
      <c r="AJ283" s="1042"/>
      <c r="AK283" s="1039"/>
    </row>
    <row r="284" ht="18.75" customHeight="1">
      <c r="A284" s="1039"/>
      <c r="B284" s="1042"/>
      <c r="C284" s="1053"/>
      <c r="D284" s="1050"/>
      <c r="E284" s="1058"/>
      <c r="F284" s="1064" t="str">
        <f>Source!$S$18</f>
        <v/>
      </c>
      <c r="G284" s="1065" t="s">
        <v>1507</v>
      </c>
      <c r="H284" s="1060"/>
      <c r="I284" s="1060"/>
      <c r="J284" s="1060"/>
      <c r="K284" s="1060"/>
      <c r="L284" s="1060"/>
      <c r="M284" s="1060"/>
      <c r="N284" s="1060"/>
      <c r="O284" s="1060"/>
      <c r="P284" s="1060"/>
      <c r="Q284" s="1060"/>
      <c r="R284" s="1060"/>
      <c r="S284" s="1060"/>
      <c r="T284" s="1060"/>
      <c r="U284" s="1060"/>
      <c r="V284" s="1060"/>
      <c r="W284" s="1060"/>
      <c r="X284" s="1061"/>
      <c r="Y284" s="1066" t="str">
        <f>Source!$B$8</f>
        <v/>
      </c>
      <c r="Z284" s="1061"/>
      <c r="AA284" s="1067" t="s">
        <v>1508</v>
      </c>
      <c r="AB284" s="1060"/>
      <c r="AC284" s="1060"/>
      <c r="AD284" s="1060"/>
      <c r="AE284" s="1061"/>
      <c r="AF284" s="1062"/>
      <c r="AG284" s="1057"/>
      <c r="AH284" s="1051"/>
      <c r="AI284" s="1052"/>
      <c r="AJ284" s="1042"/>
      <c r="AK284" s="1039"/>
    </row>
    <row r="285" ht="7.5" customHeight="1">
      <c r="A285" s="1039"/>
      <c r="B285" s="1042"/>
      <c r="C285" s="1053"/>
      <c r="D285" s="1050"/>
      <c r="E285" s="1058"/>
      <c r="F285" s="1064"/>
      <c r="G285" s="1068"/>
      <c r="H285" s="1069"/>
      <c r="I285" s="1068"/>
      <c r="J285" s="1063"/>
      <c r="K285" s="1068"/>
      <c r="L285" s="1063"/>
      <c r="M285" s="1068"/>
      <c r="N285" s="1063"/>
      <c r="O285" s="1068"/>
      <c r="P285" s="1063"/>
      <c r="Q285" s="1068"/>
      <c r="R285" s="1063"/>
      <c r="S285" s="1068"/>
      <c r="T285" s="1063"/>
      <c r="U285" s="1068"/>
      <c r="V285" s="1063"/>
      <c r="W285" s="1068"/>
      <c r="X285" s="1063"/>
      <c r="Y285" s="1068"/>
      <c r="Z285" s="1063"/>
      <c r="AA285" s="1068"/>
      <c r="AB285" s="1063"/>
      <c r="AC285" s="1068"/>
      <c r="AD285" s="1063"/>
      <c r="AE285" s="1068"/>
      <c r="AF285" s="1062"/>
      <c r="AG285" s="1057"/>
      <c r="AH285" s="1051"/>
      <c r="AI285" s="1052"/>
      <c r="AJ285" s="1042"/>
      <c r="AK285" s="1039"/>
    </row>
    <row r="286" ht="18.75" customHeight="1">
      <c r="A286" s="1039"/>
      <c r="B286" s="1042"/>
      <c r="C286" s="1053"/>
      <c r="D286" s="1050"/>
      <c r="E286" s="1058"/>
      <c r="F286" s="1064" t="str">
        <f>Source!$AQ$125</f>
        <v/>
      </c>
      <c r="G286" s="1065" t="s">
        <v>1509</v>
      </c>
      <c r="H286" s="1060"/>
      <c r="I286" s="1060"/>
      <c r="J286" s="1060"/>
      <c r="K286" s="1060"/>
      <c r="L286" s="1060"/>
      <c r="M286" s="1060"/>
      <c r="N286" s="1060"/>
      <c r="O286" s="1060"/>
      <c r="P286" s="1060"/>
      <c r="Q286" s="1060"/>
      <c r="R286" s="1060"/>
      <c r="S286" s="1060"/>
      <c r="T286" s="1060"/>
      <c r="U286" s="1060"/>
      <c r="V286" s="1060"/>
      <c r="W286" s="1060"/>
      <c r="X286" s="1061"/>
      <c r="Y286" s="1066" t="str">
        <f>Source!$B$8</f>
        <v/>
      </c>
      <c r="Z286" s="1061"/>
      <c r="AA286" s="1067" t="s">
        <v>1508</v>
      </c>
      <c r="AB286" s="1060"/>
      <c r="AC286" s="1060"/>
      <c r="AD286" s="1060"/>
      <c r="AE286" s="1061"/>
      <c r="AF286" s="1062"/>
      <c r="AG286" s="1057"/>
      <c r="AH286" s="1051"/>
      <c r="AI286" s="1052"/>
      <c r="AJ286" s="1042"/>
      <c r="AK286" s="1039"/>
    </row>
    <row r="287" ht="7.5" customHeight="1">
      <c r="A287" s="1039"/>
      <c r="B287" s="1042"/>
      <c r="C287" s="1053"/>
      <c r="D287" s="1050"/>
      <c r="E287" s="1058"/>
      <c r="F287" s="1064"/>
      <c r="G287" s="1068"/>
      <c r="H287" s="1069"/>
      <c r="I287" s="1068"/>
      <c r="J287" s="1063"/>
      <c r="K287" s="1068"/>
      <c r="L287" s="1063"/>
      <c r="M287" s="1068"/>
      <c r="N287" s="1063"/>
      <c r="O287" s="1068"/>
      <c r="P287" s="1063"/>
      <c r="Q287" s="1068"/>
      <c r="R287" s="1063"/>
      <c r="S287" s="1068"/>
      <c r="T287" s="1063"/>
      <c r="U287" s="1068"/>
      <c r="V287" s="1063"/>
      <c r="W287" s="1068"/>
      <c r="X287" s="1063"/>
      <c r="Y287" s="1068"/>
      <c r="Z287" s="1063"/>
      <c r="AA287" s="1068"/>
      <c r="AB287" s="1063"/>
      <c r="AC287" s="1068"/>
      <c r="AD287" s="1063"/>
      <c r="AE287" s="1068"/>
      <c r="AF287" s="1062"/>
      <c r="AG287" s="1057"/>
      <c r="AH287" s="1051"/>
      <c r="AI287" s="1052"/>
      <c r="AJ287" s="1042"/>
      <c r="AK287" s="1039"/>
    </row>
    <row r="288" ht="18.75" customHeight="1">
      <c r="A288" s="1039"/>
      <c r="B288" s="1042"/>
      <c r="C288" s="1053"/>
      <c r="D288" s="1050"/>
      <c r="E288" s="1058"/>
      <c r="F288" s="1064" t="str">
        <f>Source!$S$35</f>
        <v/>
      </c>
      <c r="G288" s="1065" t="s">
        <v>1510</v>
      </c>
      <c r="H288" s="1060"/>
      <c r="I288" s="1060"/>
      <c r="J288" s="1060"/>
      <c r="K288" s="1060"/>
      <c r="L288" s="1060"/>
      <c r="M288" s="1060"/>
      <c r="N288" s="1060"/>
      <c r="O288" s="1060"/>
      <c r="P288" s="1060"/>
      <c r="Q288" s="1060"/>
      <c r="R288" s="1060"/>
      <c r="S288" s="1060"/>
      <c r="T288" s="1060"/>
      <c r="U288" s="1060"/>
      <c r="V288" s="1060"/>
      <c r="W288" s="1060"/>
      <c r="X288" s="1061"/>
      <c r="Y288" s="1066" t="str">
        <f>Source!$B$8</f>
        <v/>
      </c>
      <c r="Z288" s="1061"/>
      <c r="AA288" s="1067" t="s">
        <v>1511</v>
      </c>
      <c r="AB288" s="1060"/>
      <c r="AC288" s="1060"/>
      <c r="AD288" s="1060"/>
      <c r="AE288" s="1061"/>
      <c r="AF288" s="1062"/>
      <c r="AG288" s="1057"/>
      <c r="AH288" s="1051"/>
      <c r="AI288" s="1052"/>
      <c r="AJ288" s="1042"/>
      <c r="AK288" s="1039"/>
    </row>
    <row r="289" ht="3.75" customHeight="1">
      <c r="A289" s="1039"/>
      <c r="B289" s="1042"/>
      <c r="C289" s="1053"/>
      <c r="D289" s="1050"/>
      <c r="E289" s="1070"/>
      <c r="F289" s="1071"/>
      <c r="G289" s="1071"/>
      <c r="H289" s="1071"/>
      <c r="I289" s="1071"/>
      <c r="J289" s="1071"/>
      <c r="K289" s="1071"/>
      <c r="L289" s="1071"/>
      <c r="M289" s="1071"/>
      <c r="N289" s="1071"/>
      <c r="O289" s="1071"/>
      <c r="P289" s="1071"/>
      <c r="Q289" s="1071"/>
      <c r="R289" s="1071"/>
      <c r="S289" s="1071"/>
      <c r="T289" s="1071"/>
      <c r="U289" s="1071"/>
      <c r="V289" s="1071"/>
      <c r="W289" s="1071"/>
      <c r="X289" s="1071"/>
      <c r="Y289" s="1071"/>
      <c r="Z289" s="1071"/>
      <c r="AA289" s="1071"/>
      <c r="AB289" s="1071"/>
      <c r="AC289" s="1071"/>
      <c r="AD289" s="1071"/>
      <c r="AE289" s="1071"/>
      <c r="AF289" s="1072"/>
      <c r="AG289" s="1057"/>
      <c r="AH289" s="1051"/>
      <c r="AI289" s="1052"/>
      <c r="AJ289" s="1042"/>
      <c r="AK289" s="1039"/>
    </row>
    <row r="290" ht="9.0" customHeight="1">
      <c r="A290" s="1039"/>
      <c r="B290" s="1042"/>
      <c r="C290" s="1073"/>
      <c r="D290" s="1049"/>
      <c r="E290" s="1074"/>
      <c r="F290" s="1074"/>
      <c r="G290" s="1074"/>
      <c r="H290" s="1074"/>
      <c r="I290" s="1074"/>
      <c r="J290" s="1074"/>
      <c r="K290" s="1074"/>
      <c r="L290" s="1074"/>
      <c r="M290" s="1074"/>
      <c r="N290" s="1074"/>
      <c r="O290" s="1074"/>
      <c r="P290" s="1074"/>
      <c r="Q290" s="1074"/>
      <c r="R290" s="1074"/>
      <c r="S290" s="1074"/>
      <c r="T290" s="1074"/>
      <c r="U290" s="1074"/>
      <c r="V290" s="1074"/>
      <c r="W290" s="1074"/>
      <c r="X290" s="1074"/>
      <c r="Y290" s="1074"/>
      <c r="Z290" s="1074"/>
      <c r="AA290" s="1074"/>
      <c r="AB290" s="1074"/>
      <c r="AC290" s="1074"/>
      <c r="AD290" s="1074"/>
      <c r="AE290" s="1074"/>
      <c r="AF290" s="1074"/>
      <c r="AG290" s="1075"/>
      <c r="AH290" s="1051"/>
      <c r="AI290" s="1076"/>
      <c r="AJ290" s="1042"/>
      <c r="AK290" s="1039"/>
    </row>
    <row r="291" ht="4.5" customHeight="1">
      <c r="A291" s="1039"/>
      <c r="B291" s="1042"/>
      <c r="C291" s="1077"/>
      <c r="D291" s="1051"/>
      <c r="E291" s="1051"/>
      <c r="F291" s="1051"/>
      <c r="G291" s="1051"/>
      <c r="H291" s="1051"/>
      <c r="I291" s="1051"/>
      <c r="J291" s="1051"/>
      <c r="K291" s="1051"/>
      <c r="L291" s="1051"/>
      <c r="M291" s="1051"/>
      <c r="N291" s="1051"/>
      <c r="O291" s="1051"/>
      <c r="P291" s="1051"/>
      <c r="Q291" s="1051"/>
      <c r="R291" s="1051"/>
      <c r="S291" s="1051"/>
      <c r="T291" s="1051"/>
      <c r="U291" s="1051"/>
      <c r="V291" s="1051"/>
      <c r="W291" s="1051"/>
      <c r="X291" s="1051"/>
      <c r="Y291" s="1051"/>
      <c r="Z291" s="1051"/>
      <c r="AA291" s="1051"/>
      <c r="AB291" s="1051"/>
      <c r="AC291" s="1051"/>
      <c r="AD291" s="1051"/>
      <c r="AE291" s="1051"/>
      <c r="AF291" s="1051"/>
      <c r="AG291" s="1051"/>
      <c r="AH291" s="1051"/>
      <c r="AI291" s="1076"/>
      <c r="AJ291" s="1042"/>
      <c r="AK291" s="1039"/>
    </row>
    <row r="292" ht="5.25" customHeight="1">
      <c r="A292" s="1039"/>
      <c r="B292" s="1042"/>
      <c r="C292" s="1042"/>
      <c r="D292" s="1042"/>
      <c r="E292" s="1042"/>
      <c r="F292" s="1042"/>
      <c r="G292" s="1042"/>
      <c r="H292" s="1042"/>
      <c r="I292" s="1042"/>
      <c r="J292" s="1042"/>
      <c r="K292" s="1042"/>
      <c r="L292" s="1042"/>
      <c r="M292" s="1042"/>
      <c r="N292" s="1042"/>
      <c r="O292" s="1042"/>
      <c r="P292" s="1042"/>
      <c r="Q292" s="1042"/>
      <c r="R292" s="1042"/>
      <c r="S292" s="1042"/>
      <c r="T292" s="1042"/>
      <c r="U292" s="1042"/>
      <c r="V292" s="1042"/>
      <c r="W292" s="1042"/>
      <c r="X292" s="1042"/>
      <c r="Y292" s="1042"/>
      <c r="Z292" s="1042"/>
      <c r="AA292" s="1042"/>
      <c r="AB292" s="1042"/>
      <c r="AC292" s="1042"/>
      <c r="AD292" s="1042"/>
      <c r="AE292" s="1042"/>
      <c r="AF292" s="1042"/>
      <c r="AG292" s="1042"/>
      <c r="AH292" s="1042"/>
      <c r="AI292" s="1042"/>
      <c r="AJ292" s="1042"/>
      <c r="AK292" s="1039"/>
    </row>
    <row r="293" ht="3.75" customHeight="1">
      <c r="A293" s="1039"/>
      <c r="B293" s="1039"/>
      <c r="C293" s="1039"/>
      <c r="D293" s="1039"/>
      <c r="E293" s="1039"/>
      <c r="F293" s="1039"/>
      <c r="G293" s="1039"/>
      <c r="H293" s="1039"/>
      <c r="I293" s="1039"/>
      <c r="J293" s="1039"/>
      <c r="K293" s="1039"/>
      <c r="L293" s="1039"/>
      <c r="M293" s="1039"/>
      <c r="N293" s="1039"/>
      <c r="O293" s="1039"/>
      <c r="P293" s="1039"/>
      <c r="Q293" s="1039"/>
      <c r="R293" s="1039"/>
      <c r="S293" s="1039"/>
      <c r="T293" s="1039"/>
      <c r="U293" s="1039"/>
      <c r="V293" s="1039"/>
      <c r="W293" s="1039"/>
      <c r="X293" s="1039"/>
      <c r="Y293" s="1039"/>
      <c r="Z293" s="1039"/>
      <c r="AA293" s="1039"/>
      <c r="AB293" s="1039"/>
      <c r="AC293" s="1039"/>
      <c r="AD293" s="1039"/>
      <c r="AE293" s="1039"/>
      <c r="AF293" s="1039"/>
      <c r="AG293" s="1039"/>
      <c r="AH293" s="1039"/>
      <c r="AI293" s="1039"/>
      <c r="AJ293" s="1039"/>
      <c r="AK293" s="1039"/>
    </row>
    <row r="294" ht="5.25" customHeight="1">
      <c r="A294" s="1041"/>
      <c r="B294" s="1042"/>
      <c r="C294" s="1042"/>
      <c r="D294" s="1042"/>
      <c r="E294" s="1042"/>
      <c r="F294" s="1042"/>
      <c r="G294" s="1042"/>
      <c r="H294" s="1042"/>
      <c r="I294" s="1042"/>
      <c r="J294" s="1042"/>
      <c r="K294" s="1042"/>
      <c r="L294" s="1042"/>
      <c r="M294" s="1042"/>
      <c r="N294" s="1042"/>
      <c r="O294" s="1042"/>
      <c r="P294" s="1042"/>
      <c r="Q294" s="1042"/>
      <c r="R294" s="1042"/>
      <c r="S294" s="1042"/>
      <c r="T294" s="1042"/>
      <c r="U294" s="1042"/>
      <c r="V294" s="1042"/>
      <c r="W294" s="1042"/>
      <c r="X294" s="1042"/>
      <c r="Y294" s="1042"/>
      <c r="Z294" s="1042"/>
      <c r="AA294" s="1042"/>
      <c r="AB294" s="1042"/>
      <c r="AC294" s="1042"/>
      <c r="AD294" s="1042"/>
      <c r="AE294" s="1042"/>
      <c r="AF294" s="1042"/>
      <c r="AG294" s="1042"/>
      <c r="AH294" s="1042"/>
      <c r="AI294" s="1042"/>
      <c r="AJ294" s="1042"/>
      <c r="AK294" s="1039"/>
    </row>
    <row r="295" ht="5.25" customHeight="1">
      <c r="A295" s="1039"/>
      <c r="B295" s="1042"/>
      <c r="C295" s="1043"/>
      <c r="D295" s="1044"/>
      <c r="E295" s="1044"/>
      <c r="F295" s="1044"/>
      <c r="G295" s="1044"/>
      <c r="H295" s="1044"/>
      <c r="I295" s="1044"/>
      <c r="J295" s="1044"/>
      <c r="K295" s="1044"/>
      <c r="L295" s="1044"/>
      <c r="M295" s="1044"/>
      <c r="N295" s="1044"/>
      <c r="O295" s="1044"/>
      <c r="P295" s="1044"/>
      <c r="Q295" s="1044"/>
      <c r="R295" s="1044"/>
      <c r="S295" s="1044"/>
      <c r="T295" s="1044"/>
      <c r="U295" s="1044"/>
      <c r="V295" s="1044"/>
      <c r="W295" s="1044"/>
      <c r="X295" s="1044"/>
      <c r="Y295" s="1044"/>
      <c r="Z295" s="1044"/>
      <c r="AA295" s="1044"/>
      <c r="AB295" s="1044"/>
      <c r="AC295" s="1044"/>
      <c r="AD295" s="1044"/>
      <c r="AE295" s="1044"/>
      <c r="AF295" s="1044"/>
      <c r="AG295" s="1045"/>
      <c r="AH295" s="1045"/>
      <c r="AI295" s="1046"/>
      <c r="AJ295" s="1042"/>
      <c r="AK295" s="1039"/>
    </row>
    <row r="296" ht="9.0" customHeight="1">
      <c r="A296" s="1039"/>
      <c r="B296" s="1042"/>
      <c r="C296" s="1047"/>
      <c r="D296" s="1048"/>
      <c r="E296" s="1049"/>
      <c r="F296" s="1049"/>
      <c r="G296" s="1049"/>
      <c r="H296" s="1049"/>
      <c r="I296" s="1049"/>
      <c r="J296" s="1049"/>
      <c r="K296" s="1049"/>
      <c r="L296" s="1049"/>
      <c r="M296" s="1049"/>
      <c r="N296" s="1049"/>
      <c r="O296" s="1049"/>
      <c r="P296" s="1049"/>
      <c r="Q296" s="1049"/>
      <c r="R296" s="1049"/>
      <c r="S296" s="1049"/>
      <c r="T296" s="1049"/>
      <c r="U296" s="1049"/>
      <c r="V296" s="1049"/>
      <c r="W296" s="1049"/>
      <c r="X296" s="1049"/>
      <c r="Y296" s="1049"/>
      <c r="Z296" s="1049"/>
      <c r="AA296" s="1049"/>
      <c r="AB296" s="1049"/>
      <c r="AC296" s="1049"/>
      <c r="AD296" s="1049"/>
      <c r="AE296" s="1049"/>
      <c r="AF296" s="1049"/>
      <c r="AG296" s="1050"/>
      <c r="AH296" s="1051"/>
      <c r="AI296" s="1052"/>
      <c r="AJ296" s="1042"/>
      <c r="AK296" s="1039"/>
    </row>
    <row r="297" ht="3.75" customHeight="1">
      <c r="A297" s="1039"/>
      <c r="B297" s="1042"/>
      <c r="C297" s="1053"/>
      <c r="D297" s="1050"/>
      <c r="E297" s="1054"/>
      <c r="F297" s="1055"/>
      <c r="G297" s="1055"/>
      <c r="H297" s="1055"/>
      <c r="I297" s="1055"/>
      <c r="J297" s="1055"/>
      <c r="K297" s="1055"/>
      <c r="L297" s="1055"/>
      <c r="M297" s="1055"/>
      <c r="N297" s="1055"/>
      <c r="O297" s="1055"/>
      <c r="P297" s="1055"/>
      <c r="Q297" s="1055"/>
      <c r="R297" s="1055"/>
      <c r="S297" s="1055"/>
      <c r="T297" s="1055"/>
      <c r="U297" s="1055"/>
      <c r="V297" s="1055"/>
      <c r="W297" s="1055"/>
      <c r="X297" s="1055"/>
      <c r="Y297" s="1055"/>
      <c r="Z297" s="1055"/>
      <c r="AA297" s="1055"/>
      <c r="AB297" s="1055"/>
      <c r="AC297" s="1055"/>
      <c r="AD297" s="1055"/>
      <c r="AE297" s="1055"/>
      <c r="AF297" s="1056"/>
      <c r="AG297" s="1057"/>
      <c r="AH297" s="1051"/>
      <c r="AI297" s="1052"/>
      <c r="AJ297" s="1042"/>
      <c r="AK297" s="1039"/>
    </row>
    <row r="298">
      <c r="A298" s="1039"/>
      <c r="B298" s="1042"/>
      <c r="C298" s="1053"/>
      <c r="D298" s="1050"/>
      <c r="E298" s="1058"/>
      <c r="F298" s="1059" t="s">
        <v>1512</v>
      </c>
      <c r="G298" s="1060"/>
      <c r="H298" s="1060"/>
      <c r="I298" s="1060"/>
      <c r="J298" s="1060"/>
      <c r="K298" s="1060"/>
      <c r="L298" s="1060"/>
      <c r="M298" s="1060"/>
      <c r="N298" s="1060"/>
      <c r="O298" s="1060"/>
      <c r="P298" s="1060"/>
      <c r="Q298" s="1060"/>
      <c r="R298" s="1060"/>
      <c r="S298" s="1060"/>
      <c r="T298" s="1060"/>
      <c r="U298" s="1060"/>
      <c r="V298" s="1060"/>
      <c r="W298" s="1060"/>
      <c r="X298" s="1060"/>
      <c r="Y298" s="1060"/>
      <c r="Z298" s="1060"/>
      <c r="AA298" s="1060"/>
      <c r="AB298" s="1060"/>
      <c r="AC298" s="1060"/>
      <c r="AD298" s="1060"/>
      <c r="AE298" s="1061"/>
      <c r="AF298" s="1062"/>
      <c r="AG298" s="1057"/>
      <c r="AH298" s="1051"/>
      <c r="AI298" s="1052"/>
      <c r="AJ298" s="1042"/>
      <c r="AK298" s="1039"/>
    </row>
    <row r="299" ht="7.5" customHeight="1">
      <c r="A299" s="1039"/>
      <c r="B299" s="1042"/>
      <c r="C299" s="1053"/>
      <c r="D299" s="1050"/>
      <c r="E299" s="1058"/>
      <c r="F299" s="1063"/>
      <c r="G299" s="1063"/>
      <c r="H299" s="1063"/>
      <c r="I299" s="1063"/>
      <c r="J299" s="1063"/>
      <c r="K299" s="1063"/>
      <c r="L299" s="1063"/>
      <c r="M299" s="1063"/>
      <c r="N299" s="1063"/>
      <c r="O299" s="1063"/>
      <c r="P299" s="1063"/>
      <c r="Q299" s="1063"/>
      <c r="R299" s="1063"/>
      <c r="S299" s="1063"/>
      <c r="T299" s="1063"/>
      <c r="U299" s="1063"/>
      <c r="V299" s="1063"/>
      <c r="W299" s="1063"/>
      <c r="X299" s="1063"/>
      <c r="Y299" s="1063"/>
      <c r="Z299" s="1063"/>
      <c r="AA299" s="1063"/>
      <c r="AB299" s="1063"/>
      <c r="AC299" s="1063"/>
      <c r="AD299" s="1063"/>
      <c r="AE299" s="1063"/>
      <c r="AF299" s="1062"/>
      <c r="AG299" s="1057"/>
      <c r="AH299" s="1051"/>
      <c r="AI299" s="1052"/>
      <c r="AJ299" s="1042"/>
      <c r="AK299" s="1039"/>
    </row>
    <row r="300" ht="18.75" customHeight="1">
      <c r="A300" s="1039"/>
      <c r="B300" s="1042"/>
      <c r="C300" s="1053"/>
      <c r="D300" s="1050"/>
      <c r="E300" s="1058"/>
      <c r="F300" s="1064" t="str">
        <f>Source!$AB$16</f>
        <v/>
      </c>
      <c r="G300" s="1065" t="s">
        <v>1436</v>
      </c>
      <c r="H300" s="1060"/>
      <c r="I300" s="1060"/>
      <c r="J300" s="1060"/>
      <c r="K300" s="1060"/>
      <c r="L300" s="1060"/>
      <c r="M300" s="1060"/>
      <c r="N300" s="1060"/>
      <c r="O300" s="1060"/>
      <c r="P300" s="1060"/>
      <c r="Q300" s="1060"/>
      <c r="R300" s="1060"/>
      <c r="S300" s="1060"/>
      <c r="T300" s="1060"/>
      <c r="U300" s="1060"/>
      <c r="V300" s="1060"/>
      <c r="W300" s="1060"/>
      <c r="X300" s="1061"/>
      <c r="Y300" s="1066" t="str">
        <f>Source!$B$8</f>
        <v/>
      </c>
      <c r="Z300" s="1061"/>
      <c r="AA300" s="1067">
        <v>200.0</v>
      </c>
      <c r="AB300" s="1060"/>
      <c r="AC300" s="1060"/>
      <c r="AD300" s="1060"/>
      <c r="AE300" s="1061"/>
      <c r="AF300" s="1062"/>
      <c r="AG300" s="1057"/>
      <c r="AH300" s="1051"/>
      <c r="AI300" s="1052"/>
      <c r="AJ300" s="1042"/>
      <c r="AK300" s="1039"/>
    </row>
    <row r="301" ht="7.5" customHeight="1">
      <c r="A301" s="1039"/>
      <c r="B301" s="1042"/>
      <c r="C301" s="1053"/>
      <c r="D301" s="1050"/>
      <c r="E301" s="1058"/>
      <c r="F301" s="1064"/>
      <c r="G301" s="1068"/>
      <c r="H301" s="1069"/>
      <c r="I301" s="1068"/>
      <c r="J301" s="1063"/>
      <c r="K301" s="1068"/>
      <c r="L301" s="1063"/>
      <c r="M301" s="1068"/>
      <c r="N301" s="1063"/>
      <c r="O301" s="1068"/>
      <c r="P301" s="1063"/>
      <c r="Q301" s="1068"/>
      <c r="R301" s="1063"/>
      <c r="S301" s="1068"/>
      <c r="T301" s="1063"/>
      <c r="U301" s="1068"/>
      <c r="V301" s="1063"/>
      <c r="W301" s="1068"/>
      <c r="X301" s="1063"/>
      <c r="Y301" s="1068"/>
      <c r="Z301" s="1063"/>
      <c r="AA301" s="1068"/>
      <c r="AB301" s="1063"/>
      <c r="AC301" s="1068"/>
      <c r="AD301" s="1063"/>
      <c r="AE301" s="1068"/>
      <c r="AF301" s="1062"/>
      <c r="AG301" s="1057"/>
      <c r="AH301" s="1051"/>
      <c r="AI301" s="1052"/>
      <c r="AJ301" s="1042"/>
      <c r="AK301" s="1039"/>
    </row>
    <row r="302" ht="18.75" customHeight="1">
      <c r="A302" s="1039"/>
      <c r="B302" s="1042"/>
      <c r="C302" s="1053"/>
      <c r="D302" s="1050"/>
      <c r="E302" s="1058"/>
      <c r="F302" s="1064" t="str">
        <f>Source!$AE$30</f>
        <v/>
      </c>
      <c r="G302" s="1065" t="s">
        <v>1513</v>
      </c>
      <c r="H302" s="1060"/>
      <c r="I302" s="1060"/>
      <c r="J302" s="1060"/>
      <c r="K302" s="1060"/>
      <c r="L302" s="1060"/>
      <c r="M302" s="1060"/>
      <c r="N302" s="1060"/>
      <c r="O302" s="1060"/>
      <c r="P302" s="1060"/>
      <c r="Q302" s="1060"/>
      <c r="R302" s="1060"/>
      <c r="S302" s="1060"/>
      <c r="T302" s="1060"/>
      <c r="U302" s="1060"/>
      <c r="V302" s="1060"/>
      <c r="W302" s="1060"/>
      <c r="X302" s="1061"/>
      <c r="Y302" s="1066" t="str">
        <f>Source!$B$8</f>
        <v/>
      </c>
      <c r="Z302" s="1061"/>
      <c r="AA302" s="1067">
        <v>6000.0</v>
      </c>
      <c r="AB302" s="1060"/>
      <c r="AC302" s="1060"/>
      <c r="AD302" s="1060"/>
      <c r="AE302" s="1061"/>
      <c r="AF302" s="1062"/>
      <c r="AG302" s="1057"/>
      <c r="AH302" s="1051"/>
      <c r="AI302" s="1052"/>
      <c r="AJ302" s="1042"/>
      <c r="AK302" s="1039"/>
    </row>
    <row r="303" ht="7.5" customHeight="1">
      <c r="A303" s="1039"/>
      <c r="B303" s="1042"/>
      <c r="C303" s="1053"/>
      <c r="D303" s="1050"/>
      <c r="E303" s="1058"/>
      <c r="F303" s="1064"/>
      <c r="G303" s="1068"/>
      <c r="H303" s="1069"/>
      <c r="I303" s="1068"/>
      <c r="J303" s="1063"/>
      <c r="K303" s="1068"/>
      <c r="L303" s="1063"/>
      <c r="M303" s="1068"/>
      <c r="N303" s="1063"/>
      <c r="O303" s="1068"/>
      <c r="P303" s="1063"/>
      <c r="Q303" s="1068"/>
      <c r="R303" s="1063"/>
      <c r="S303" s="1068"/>
      <c r="T303" s="1063"/>
      <c r="U303" s="1068"/>
      <c r="V303" s="1063"/>
      <c r="W303" s="1068"/>
      <c r="X303" s="1063"/>
      <c r="Y303" s="1068"/>
      <c r="Z303" s="1063"/>
      <c r="AA303" s="1068"/>
      <c r="AB303" s="1063"/>
      <c r="AC303" s="1068"/>
      <c r="AD303" s="1063"/>
      <c r="AE303" s="1068"/>
      <c r="AF303" s="1062"/>
      <c r="AG303" s="1057"/>
      <c r="AH303" s="1051"/>
      <c r="AI303" s="1052"/>
      <c r="AJ303" s="1042"/>
      <c r="AK303" s="1039"/>
    </row>
    <row r="304" ht="18.75" customHeight="1">
      <c r="A304" s="1039"/>
      <c r="B304" s="1042"/>
      <c r="C304" s="1053"/>
      <c r="D304" s="1050"/>
      <c r="E304" s="1058"/>
      <c r="F304" s="1064" t="str">
        <f>Source!$AB$50</f>
        <v/>
      </c>
      <c r="G304" s="1065" t="s">
        <v>1437</v>
      </c>
      <c r="H304" s="1060"/>
      <c r="I304" s="1060"/>
      <c r="J304" s="1060"/>
      <c r="K304" s="1060"/>
      <c r="L304" s="1060"/>
      <c r="M304" s="1060"/>
      <c r="N304" s="1060"/>
      <c r="O304" s="1060"/>
      <c r="P304" s="1060"/>
      <c r="Q304" s="1060"/>
      <c r="R304" s="1060"/>
      <c r="S304" s="1060"/>
      <c r="T304" s="1060"/>
      <c r="U304" s="1060"/>
      <c r="V304" s="1060"/>
      <c r="W304" s="1060"/>
      <c r="X304" s="1061"/>
      <c r="Y304" s="1066" t="str">
        <f>Source!$B$8</f>
        <v/>
      </c>
      <c r="Z304" s="1061"/>
      <c r="AA304" s="1067">
        <v>300.0</v>
      </c>
      <c r="AB304" s="1060"/>
      <c r="AC304" s="1060"/>
      <c r="AD304" s="1060"/>
      <c r="AE304" s="1061"/>
      <c r="AF304" s="1062"/>
      <c r="AG304" s="1057"/>
      <c r="AH304" s="1051"/>
      <c r="AI304" s="1052"/>
      <c r="AJ304" s="1042"/>
      <c r="AK304" s="1039"/>
    </row>
    <row r="305" ht="7.5" customHeight="1">
      <c r="A305" s="1039"/>
      <c r="B305" s="1042"/>
      <c r="C305" s="1053"/>
      <c r="D305" s="1050"/>
      <c r="E305" s="1058"/>
      <c r="F305" s="1064"/>
      <c r="G305" s="1068"/>
      <c r="H305" s="1069"/>
      <c r="I305" s="1068"/>
      <c r="J305" s="1063"/>
      <c r="K305" s="1068"/>
      <c r="L305" s="1063"/>
      <c r="M305" s="1068"/>
      <c r="N305" s="1063"/>
      <c r="O305" s="1068"/>
      <c r="P305" s="1063"/>
      <c r="Q305" s="1068"/>
      <c r="R305" s="1063"/>
      <c r="S305" s="1068"/>
      <c r="T305" s="1063"/>
      <c r="U305" s="1068"/>
      <c r="V305" s="1063"/>
      <c r="W305" s="1068"/>
      <c r="X305" s="1063"/>
      <c r="Y305" s="1068"/>
      <c r="Z305" s="1063"/>
      <c r="AA305" s="1068"/>
      <c r="AB305" s="1063"/>
      <c r="AC305" s="1068"/>
      <c r="AD305" s="1063"/>
      <c r="AE305" s="1068"/>
      <c r="AF305" s="1062"/>
      <c r="AG305" s="1057"/>
      <c r="AH305" s="1051"/>
      <c r="AI305" s="1052"/>
      <c r="AJ305" s="1042"/>
      <c r="AK305" s="1039"/>
    </row>
    <row r="306" ht="18.75" customHeight="1">
      <c r="A306" s="1039"/>
      <c r="B306" s="1042"/>
      <c r="C306" s="1053"/>
      <c r="D306" s="1050"/>
      <c r="E306" s="1058"/>
      <c r="F306" s="1064" t="str">
        <f>Source!$Y$38</f>
        <v/>
      </c>
      <c r="G306" s="1065" t="s">
        <v>1514</v>
      </c>
      <c r="H306" s="1060"/>
      <c r="I306" s="1060"/>
      <c r="J306" s="1060"/>
      <c r="K306" s="1060"/>
      <c r="L306" s="1060"/>
      <c r="M306" s="1060"/>
      <c r="N306" s="1060"/>
      <c r="O306" s="1060"/>
      <c r="P306" s="1060"/>
      <c r="Q306" s="1060"/>
      <c r="R306" s="1060"/>
      <c r="S306" s="1060"/>
      <c r="T306" s="1060"/>
      <c r="U306" s="1060"/>
      <c r="V306" s="1060"/>
      <c r="W306" s="1060"/>
      <c r="X306" s="1061"/>
      <c r="Y306" s="1066" t="str">
        <f>Source!$B$8</f>
        <v/>
      </c>
      <c r="Z306" s="1061"/>
      <c r="AA306" s="1067">
        <v>800.0</v>
      </c>
      <c r="AB306" s="1060"/>
      <c r="AC306" s="1060"/>
      <c r="AD306" s="1060"/>
      <c r="AE306" s="1061"/>
      <c r="AF306" s="1062"/>
      <c r="AG306" s="1057"/>
      <c r="AH306" s="1051"/>
      <c r="AI306" s="1052"/>
      <c r="AJ306" s="1042"/>
      <c r="AK306" s="1039"/>
    </row>
    <row r="307" ht="7.5" customHeight="1">
      <c r="A307" s="1039"/>
      <c r="B307" s="1042"/>
      <c r="C307" s="1053"/>
      <c r="D307" s="1050"/>
      <c r="E307" s="1058"/>
      <c r="F307" s="1064"/>
      <c r="G307" s="1068"/>
      <c r="H307" s="1069"/>
      <c r="I307" s="1068"/>
      <c r="J307" s="1063"/>
      <c r="K307" s="1068"/>
      <c r="L307" s="1063"/>
      <c r="M307" s="1068"/>
      <c r="N307" s="1063"/>
      <c r="O307" s="1068"/>
      <c r="P307" s="1063"/>
      <c r="Q307" s="1068"/>
      <c r="R307" s="1063"/>
      <c r="S307" s="1068"/>
      <c r="T307" s="1063"/>
      <c r="U307" s="1068"/>
      <c r="V307" s="1063"/>
      <c r="W307" s="1068"/>
      <c r="X307" s="1063"/>
      <c r="Y307" s="1068"/>
      <c r="Z307" s="1063"/>
      <c r="AA307" s="1068"/>
      <c r="AB307" s="1063"/>
      <c r="AC307" s="1068"/>
      <c r="AD307" s="1063"/>
      <c r="AE307" s="1068"/>
      <c r="AF307" s="1062"/>
      <c r="AG307" s="1057"/>
      <c r="AH307" s="1051"/>
      <c r="AI307" s="1052"/>
      <c r="AJ307" s="1042"/>
      <c r="AK307" s="1039"/>
    </row>
    <row r="308" ht="18.75" customHeight="1">
      <c r="A308" s="1039"/>
      <c r="B308" s="1042"/>
      <c r="C308" s="1053"/>
      <c r="D308" s="1050"/>
      <c r="E308" s="1058"/>
      <c r="F308" s="1064" t="str">
        <f>Source!$AB$34</f>
        <v/>
      </c>
      <c r="G308" s="1065" t="s">
        <v>1515</v>
      </c>
      <c r="H308" s="1060"/>
      <c r="I308" s="1060"/>
      <c r="J308" s="1060"/>
      <c r="K308" s="1060"/>
      <c r="L308" s="1060"/>
      <c r="M308" s="1060"/>
      <c r="N308" s="1060"/>
      <c r="O308" s="1060"/>
      <c r="P308" s="1060"/>
      <c r="Q308" s="1060"/>
      <c r="R308" s="1060"/>
      <c r="S308" s="1060"/>
      <c r="T308" s="1060"/>
      <c r="U308" s="1060"/>
      <c r="V308" s="1060"/>
      <c r="W308" s="1060"/>
      <c r="X308" s="1061"/>
      <c r="Y308" s="1066" t="str">
        <f>Source!$B$8</f>
        <v/>
      </c>
      <c r="Z308" s="1061"/>
      <c r="AA308" s="1067">
        <v>600.0</v>
      </c>
      <c r="AB308" s="1060"/>
      <c r="AC308" s="1060"/>
      <c r="AD308" s="1060"/>
      <c r="AE308" s="1061"/>
      <c r="AF308" s="1062"/>
      <c r="AG308" s="1057"/>
      <c r="AH308" s="1051"/>
      <c r="AI308" s="1052"/>
      <c r="AJ308" s="1042"/>
      <c r="AK308" s="1039"/>
    </row>
    <row r="309" ht="7.5" customHeight="1">
      <c r="A309" s="1039"/>
      <c r="B309" s="1042"/>
      <c r="C309" s="1053"/>
      <c r="D309" s="1050"/>
      <c r="E309" s="1058"/>
      <c r="F309" s="1064"/>
      <c r="G309" s="1068"/>
      <c r="H309" s="1069"/>
      <c r="I309" s="1068"/>
      <c r="J309" s="1063"/>
      <c r="K309" s="1068"/>
      <c r="L309" s="1063"/>
      <c r="M309" s="1068"/>
      <c r="N309" s="1063"/>
      <c r="O309" s="1068"/>
      <c r="P309" s="1063"/>
      <c r="Q309" s="1068"/>
      <c r="R309" s="1063"/>
      <c r="S309" s="1068"/>
      <c r="T309" s="1063"/>
      <c r="U309" s="1068"/>
      <c r="V309" s="1063"/>
      <c r="W309" s="1068"/>
      <c r="X309" s="1063"/>
      <c r="Y309" s="1068"/>
      <c r="Z309" s="1063"/>
      <c r="AA309" s="1068"/>
      <c r="AB309" s="1063"/>
      <c r="AC309" s="1068"/>
      <c r="AD309" s="1063"/>
      <c r="AE309" s="1068"/>
      <c r="AF309" s="1062"/>
      <c r="AG309" s="1057"/>
      <c r="AH309" s="1051"/>
      <c r="AI309" s="1052"/>
      <c r="AJ309" s="1042"/>
      <c r="AK309" s="1039"/>
    </row>
    <row r="310" ht="18.75" customHeight="1">
      <c r="A310" s="1039"/>
      <c r="B310" s="1042"/>
      <c r="C310" s="1053"/>
      <c r="D310" s="1050"/>
      <c r="E310" s="1058"/>
      <c r="F310" s="1064" t="str">
        <f>Source!$AB$27</f>
        <v/>
      </c>
      <c r="G310" s="1065" t="s">
        <v>1438</v>
      </c>
      <c r="H310" s="1060"/>
      <c r="I310" s="1060"/>
      <c r="J310" s="1060"/>
      <c r="K310" s="1060"/>
      <c r="L310" s="1060"/>
      <c r="M310" s="1060"/>
      <c r="N310" s="1060"/>
      <c r="O310" s="1060"/>
      <c r="P310" s="1060"/>
      <c r="Q310" s="1060"/>
      <c r="R310" s="1060"/>
      <c r="S310" s="1060"/>
      <c r="T310" s="1060"/>
      <c r="U310" s="1060"/>
      <c r="V310" s="1060"/>
      <c r="W310" s="1060"/>
      <c r="X310" s="1061"/>
      <c r="Y310" s="1066" t="str">
        <f>Source!$B$8</f>
        <v/>
      </c>
      <c r="Z310" s="1061"/>
      <c r="AA310" s="1067">
        <v>350.0</v>
      </c>
      <c r="AB310" s="1060"/>
      <c r="AC310" s="1060"/>
      <c r="AD310" s="1060"/>
      <c r="AE310" s="1061"/>
      <c r="AF310" s="1062"/>
      <c r="AG310" s="1057"/>
      <c r="AH310" s="1051"/>
      <c r="AI310" s="1052"/>
      <c r="AJ310" s="1042"/>
      <c r="AK310" s="1039"/>
    </row>
    <row r="311" ht="3.75" customHeight="1">
      <c r="A311" s="1039"/>
      <c r="B311" s="1042"/>
      <c r="C311" s="1053"/>
      <c r="D311" s="1050"/>
      <c r="E311" s="1070"/>
      <c r="F311" s="1071"/>
      <c r="G311" s="1071"/>
      <c r="H311" s="1071"/>
      <c r="I311" s="1071"/>
      <c r="J311" s="1071"/>
      <c r="K311" s="1071"/>
      <c r="L311" s="1071"/>
      <c r="M311" s="1071"/>
      <c r="N311" s="1071"/>
      <c r="O311" s="1071"/>
      <c r="P311" s="1071"/>
      <c r="Q311" s="1071"/>
      <c r="R311" s="1071"/>
      <c r="S311" s="1071"/>
      <c r="T311" s="1071"/>
      <c r="U311" s="1071"/>
      <c r="V311" s="1071"/>
      <c r="W311" s="1071"/>
      <c r="X311" s="1071"/>
      <c r="Y311" s="1071"/>
      <c r="Z311" s="1071"/>
      <c r="AA311" s="1071"/>
      <c r="AB311" s="1071"/>
      <c r="AC311" s="1071"/>
      <c r="AD311" s="1071"/>
      <c r="AE311" s="1071"/>
      <c r="AF311" s="1072"/>
      <c r="AG311" s="1057"/>
      <c r="AH311" s="1051"/>
      <c r="AI311" s="1052"/>
      <c r="AJ311" s="1042"/>
      <c r="AK311" s="1039"/>
    </row>
    <row r="312" ht="9.0" customHeight="1">
      <c r="A312" s="1039"/>
      <c r="B312" s="1042"/>
      <c r="C312" s="1073"/>
      <c r="D312" s="1049"/>
      <c r="E312" s="1074"/>
      <c r="F312" s="1074"/>
      <c r="G312" s="1074"/>
      <c r="H312" s="1074"/>
      <c r="I312" s="1074"/>
      <c r="J312" s="1074"/>
      <c r="K312" s="1074"/>
      <c r="L312" s="1074"/>
      <c r="M312" s="1074"/>
      <c r="N312" s="1074"/>
      <c r="O312" s="1074"/>
      <c r="P312" s="1074"/>
      <c r="Q312" s="1074"/>
      <c r="R312" s="1074"/>
      <c r="S312" s="1074"/>
      <c r="T312" s="1074"/>
      <c r="U312" s="1074"/>
      <c r="V312" s="1074"/>
      <c r="W312" s="1074"/>
      <c r="X312" s="1074"/>
      <c r="Y312" s="1074"/>
      <c r="Z312" s="1074"/>
      <c r="AA312" s="1074"/>
      <c r="AB312" s="1074"/>
      <c r="AC312" s="1074"/>
      <c r="AD312" s="1074"/>
      <c r="AE312" s="1074"/>
      <c r="AF312" s="1074"/>
      <c r="AG312" s="1075"/>
      <c r="AH312" s="1051"/>
      <c r="AI312" s="1076"/>
      <c r="AJ312" s="1042"/>
      <c r="AK312" s="1039"/>
    </row>
    <row r="313" ht="4.5" customHeight="1">
      <c r="A313" s="1039"/>
      <c r="B313" s="1042"/>
      <c r="C313" s="1077"/>
      <c r="D313" s="1051"/>
      <c r="E313" s="1051"/>
      <c r="F313" s="1051"/>
      <c r="G313" s="1051"/>
      <c r="H313" s="1051"/>
      <c r="I313" s="1051"/>
      <c r="J313" s="1051"/>
      <c r="K313" s="1051"/>
      <c r="L313" s="1051"/>
      <c r="M313" s="1051"/>
      <c r="N313" s="1051"/>
      <c r="O313" s="1051"/>
      <c r="P313" s="1051"/>
      <c r="Q313" s="1051"/>
      <c r="R313" s="1051"/>
      <c r="S313" s="1051"/>
      <c r="T313" s="1051"/>
      <c r="U313" s="1051"/>
      <c r="V313" s="1051"/>
      <c r="W313" s="1051"/>
      <c r="X313" s="1051"/>
      <c r="Y313" s="1051"/>
      <c r="Z313" s="1051"/>
      <c r="AA313" s="1051"/>
      <c r="AB313" s="1051"/>
      <c r="AC313" s="1051"/>
      <c r="AD313" s="1051"/>
      <c r="AE313" s="1051"/>
      <c r="AF313" s="1051"/>
      <c r="AG313" s="1051"/>
      <c r="AH313" s="1051"/>
      <c r="AI313" s="1076"/>
      <c r="AJ313" s="1042"/>
      <c r="AK313" s="1039"/>
    </row>
    <row r="314" ht="5.25" customHeight="1">
      <c r="A314" s="1039"/>
      <c r="B314" s="1042"/>
      <c r="C314" s="1042"/>
      <c r="D314" s="1042"/>
      <c r="E314" s="1042"/>
      <c r="F314" s="1042"/>
      <c r="G314" s="1042"/>
      <c r="H314" s="1042"/>
      <c r="I314" s="1042"/>
      <c r="J314" s="1042"/>
      <c r="K314" s="1042"/>
      <c r="L314" s="1042"/>
      <c r="M314" s="1042"/>
      <c r="N314" s="1042"/>
      <c r="O314" s="1042"/>
      <c r="P314" s="1042"/>
      <c r="Q314" s="1042"/>
      <c r="R314" s="1042"/>
      <c r="S314" s="1042"/>
      <c r="T314" s="1042"/>
      <c r="U314" s="1042"/>
      <c r="V314" s="1042"/>
      <c r="W314" s="1042"/>
      <c r="X314" s="1042"/>
      <c r="Y314" s="1042"/>
      <c r="Z314" s="1042"/>
      <c r="AA314" s="1042"/>
      <c r="AB314" s="1042"/>
      <c r="AC314" s="1042"/>
      <c r="AD314" s="1042"/>
      <c r="AE314" s="1042"/>
      <c r="AF314" s="1042"/>
      <c r="AG314" s="1042"/>
      <c r="AH314" s="1042"/>
      <c r="AI314" s="1042"/>
      <c r="AJ314" s="1042"/>
      <c r="AK314" s="1039"/>
    </row>
    <row r="315" ht="3.75" customHeight="1">
      <c r="A315" s="1039"/>
      <c r="B315" s="1039"/>
      <c r="C315" s="1039"/>
      <c r="D315" s="1039"/>
      <c r="E315" s="1039"/>
      <c r="F315" s="1039"/>
      <c r="G315" s="1039"/>
      <c r="H315" s="1039"/>
      <c r="I315" s="1039"/>
      <c r="J315" s="1039"/>
      <c r="K315" s="1039"/>
      <c r="L315" s="1039"/>
      <c r="M315" s="1039"/>
      <c r="N315" s="1039"/>
      <c r="O315" s="1039"/>
      <c r="P315" s="1039"/>
      <c r="Q315" s="1039"/>
      <c r="R315" s="1039"/>
      <c r="S315" s="1039"/>
      <c r="T315" s="1039"/>
      <c r="U315" s="1039"/>
      <c r="V315" s="1039"/>
      <c r="W315" s="1039"/>
      <c r="X315" s="1039"/>
      <c r="Y315" s="1039"/>
      <c r="Z315" s="1039"/>
      <c r="AA315" s="1039"/>
      <c r="AB315" s="1039"/>
      <c r="AC315" s="1039"/>
      <c r="AD315" s="1039"/>
      <c r="AE315" s="1039"/>
      <c r="AF315" s="1039"/>
      <c r="AG315" s="1039"/>
      <c r="AH315" s="1039"/>
      <c r="AI315" s="1039"/>
      <c r="AJ315" s="1039"/>
      <c r="AK315" s="1039"/>
    </row>
  </sheetData>
  <mergeCells count="331">
    <mergeCell ref="Y42:Z42"/>
    <mergeCell ref="AA42:AE42"/>
    <mergeCell ref="G38:X38"/>
    <mergeCell ref="Y38:Z38"/>
    <mergeCell ref="AA38:AE38"/>
    <mergeCell ref="G40:X40"/>
    <mergeCell ref="Y40:Z40"/>
    <mergeCell ref="AA40:AE40"/>
    <mergeCell ref="G42:X42"/>
    <mergeCell ref="Y48:Z48"/>
    <mergeCell ref="AA48:AE48"/>
    <mergeCell ref="G44:X44"/>
    <mergeCell ref="Y44:Z44"/>
    <mergeCell ref="AA44:AE44"/>
    <mergeCell ref="G46:X46"/>
    <mergeCell ref="Y46:Z46"/>
    <mergeCell ref="AA46:AE46"/>
    <mergeCell ref="G48:X48"/>
    <mergeCell ref="Y54:Z54"/>
    <mergeCell ref="AA54:AE54"/>
    <mergeCell ref="G50:X50"/>
    <mergeCell ref="Y50:Z50"/>
    <mergeCell ref="AA50:AE50"/>
    <mergeCell ref="G52:X52"/>
    <mergeCell ref="Y52:Z52"/>
    <mergeCell ref="AA52:AE52"/>
    <mergeCell ref="G54:X54"/>
    <mergeCell ref="F6:AE6"/>
    <mergeCell ref="G8:X8"/>
    <mergeCell ref="Y8:Z8"/>
    <mergeCell ref="AA8:AE8"/>
    <mergeCell ref="G10:X10"/>
    <mergeCell ref="Y10:Z10"/>
    <mergeCell ref="AA10:AE10"/>
    <mergeCell ref="Y16:Z16"/>
    <mergeCell ref="AA16:AE16"/>
    <mergeCell ref="G12:X12"/>
    <mergeCell ref="Y12:Z12"/>
    <mergeCell ref="AA12:AE12"/>
    <mergeCell ref="G14:X14"/>
    <mergeCell ref="Y14:Z14"/>
    <mergeCell ref="AA14:AE14"/>
    <mergeCell ref="G16:X16"/>
    <mergeCell ref="G18:X18"/>
    <mergeCell ref="Y18:Z18"/>
    <mergeCell ref="AA18:AE18"/>
    <mergeCell ref="F28:AE28"/>
    <mergeCell ref="G30:X30"/>
    <mergeCell ref="Y30:Z30"/>
    <mergeCell ref="AA30:AE30"/>
    <mergeCell ref="Y36:Z36"/>
    <mergeCell ref="AA36:AE36"/>
    <mergeCell ref="G32:X32"/>
    <mergeCell ref="Y32:Z32"/>
    <mergeCell ref="AA32:AE32"/>
    <mergeCell ref="G34:X34"/>
    <mergeCell ref="Y34:Z34"/>
    <mergeCell ref="AA34:AE34"/>
    <mergeCell ref="G36:X36"/>
    <mergeCell ref="F64:AE64"/>
    <mergeCell ref="G66:X66"/>
    <mergeCell ref="Y66:Z66"/>
    <mergeCell ref="AA66:AE66"/>
    <mergeCell ref="G68:X68"/>
    <mergeCell ref="Y68:Z68"/>
    <mergeCell ref="AA68:AE68"/>
    <mergeCell ref="Y92:Z92"/>
    <mergeCell ref="AA92:AE92"/>
    <mergeCell ref="G88:X88"/>
    <mergeCell ref="Y88:Z88"/>
    <mergeCell ref="AA88:AE88"/>
    <mergeCell ref="G90:X90"/>
    <mergeCell ref="Y90:Z90"/>
    <mergeCell ref="AA90:AE90"/>
    <mergeCell ref="G92:X92"/>
    <mergeCell ref="Y74:Z74"/>
    <mergeCell ref="AA74:AE74"/>
    <mergeCell ref="G70:X70"/>
    <mergeCell ref="Y70:Z70"/>
    <mergeCell ref="AA70:AE70"/>
    <mergeCell ref="G72:X72"/>
    <mergeCell ref="Y72:Z72"/>
    <mergeCell ref="AA72:AE72"/>
    <mergeCell ref="G74:X74"/>
    <mergeCell ref="Y80:Z80"/>
    <mergeCell ref="AA80:AE80"/>
    <mergeCell ref="G76:X76"/>
    <mergeCell ref="Y76:Z76"/>
    <mergeCell ref="AA76:AE76"/>
    <mergeCell ref="G78:X78"/>
    <mergeCell ref="Y78:Z78"/>
    <mergeCell ref="AA78:AE78"/>
    <mergeCell ref="G80:X80"/>
    <mergeCell ref="Y86:Z86"/>
    <mergeCell ref="AA86:AE86"/>
    <mergeCell ref="G82:X82"/>
    <mergeCell ref="Y82:Z82"/>
    <mergeCell ref="AA82:AE82"/>
    <mergeCell ref="G84:X84"/>
    <mergeCell ref="Y84:Z84"/>
    <mergeCell ref="AA84:AE84"/>
    <mergeCell ref="G86:X86"/>
    <mergeCell ref="F102:AE102"/>
    <mergeCell ref="G104:X104"/>
    <mergeCell ref="Y104:Z104"/>
    <mergeCell ref="AA104:AE104"/>
    <mergeCell ref="G106:X106"/>
    <mergeCell ref="Y106:Z106"/>
    <mergeCell ref="AA106:AE106"/>
    <mergeCell ref="Y152:Z152"/>
    <mergeCell ref="AA152:AE152"/>
    <mergeCell ref="G148:X148"/>
    <mergeCell ref="Y148:Z148"/>
    <mergeCell ref="AA148:AE148"/>
    <mergeCell ref="G150:X150"/>
    <mergeCell ref="Y150:Z150"/>
    <mergeCell ref="AA150:AE150"/>
    <mergeCell ref="G152:X152"/>
    <mergeCell ref="Y226:Z226"/>
    <mergeCell ref="AA226:AE226"/>
    <mergeCell ref="G222:X222"/>
    <mergeCell ref="Y222:Z222"/>
    <mergeCell ref="AA222:AE222"/>
    <mergeCell ref="G224:X224"/>
    <mergeCell ref="Y224:Z224"/>
    <mergeCell ref="AA224:AE224"/>
    <mergeCell ref="G226:X226"/>
    <mergeCell ref="Y202:Z202"/>
    <mergeCell ref="AA202:AE202"/>
    <mergeCell ref="G198:X198"/>
    <mergeCell ref="Y198:Z198"/>
    <mergeCell ref="AA198:AE198"/>
    <mergeCell ref="G200:X200"/>
    <mergeCell ref="Y200:Z200"/>
    <mergeCell ref="AA200:AE200"/>
    <mergeCell ref="G202:X202"/>
    <mergeCell ref="Y208:Z208"/>
    <mergeCell ref="AA208:AE208"/>
    <mergeCell ref="G204:X204"/>
    <mergeCell ref="Y204:Z204"/>
    <mergeCell ref="AA204:AE204"/>
    <mergeCell ref="G206:X206"/>
    <mergeCell ref="Y206:Z206"/>
    <mergeCell ref="AA206:AE206"/>
    <mergeCell ref="G208:X208"/>
    <mergeCell ref="Y214:Z214"/>
    <mergeCell ref="AA214:AE214"/>
    <mergeCell ref="G210:X210"/>
    <mergeCell ref="Y210:Z210"/>
    <mergeCell ref="AA210:AE210"/>
    <mergeCell ref="G212:X212"/>
    <mergeCell ref="Y212:Z212"/>
    <mergeCell ref="AA212:AE212"/>
    <mergeCell ref="G214:X214"/>
    <mergeCell ref="G228:X228"/>
    <mergeCell ref="Y228:Z228"/>
    <mergeCell ref="AA228:AE228"/>
    <mergeCell ref="G230:X230"/>
    <mergeCell ref="Y230:Z230"/>
    <mergeCell ref="AA230:AE230"/>
    <mergeCell ref="F240:AE240"/>
    <mergeCell ref="Y246:Z246"/>
    <mergeCell ref="AA246:AE246"/>
    <mergeCell ref="G242:X242"/>
    <mergeCell ref="Y242:Z242"/>
    <mergeCell ref="AA242:AE242"/>
    <mergeCell ref="G244:X244"/>
    <mergeCell ref="Y244:Z244"/>
    <mergeCell ref="AA244:AE244"/>
    <mergeCell ref="G246:X246"/>
    <mergeCell ref="G248:X248"/>
    <mergeCell ref="Y248:Z248"/>
    <mergeCell ref="AA248:AE248"/>
    <mergeCell ref="F258:AE258"/>
    <mergeCell ref="G260:X260"/>
    <mergeCell ref="Y260:Z260"/>
    <mergeCell ref="AA260:AE260"/>
    <mergeCell ref="Y266:Z266"/>
    <mergeCell ref="AA266:AE266"/>
    <mergeCell ref="G262:X262"/>
    <mergeCell ref="Y262:Z262"/>
    <mergeCell ref="AA262:AE262"/>
    <mergeCell ref="G264:X264"/>
    <mergeCell ref="Y264:Z264"/>
    <mergeCell ref="AA264:AE264"/>
    <mergeCell ref="G266:X266"/>
    <mergeCell ref="Y272:Z272"/>
    <mergeCell ref="AA272:AE272"/>
    <mergeCell ref="G268:X268"/>
    <mergeCell ref="Y268:Z268"/>
    <mergeCell ref="AA268:AE268"/>
    <mergeCell ref="G270:X270"/>
    <mergeCell ref="Y270:Z270"/>
    <mergeCell ref="AA270:AE270"/>
    <mergeCell ref="G272:X272"/>
    <mergeCell ref="Y310:Z310"/>
    <mergeCell ref="AA310:AE310"/>
    <mergeCell ref="G306:X306"/>
    <mergeCell ref="Y306:Z306"/>
    <mergeCell ref="AA306:AE306"/>
    <mergeCell ref="G308:X308"/>
    <mergeCell ref="Y308:Z308"/>
    <mergeCell ref="AA308:AE308"/>
    <mergeCell ref="G310:X310"/>
    <mergeCell ref="Y278:Z278"/>
    <mergeCell ref="AA278:AE278"/>
    <mergeCell ref="G274:X274"/>
    <mergeCell ref="Y274:Z274"/>
    <mergeCell ref="AA274:AE274"/>
    <mergeCell ref="G276:X276"/>
    <mergeCell ref="Y276:Z276"/>
    <mergeCell ref="AA276:AE276"/>
    <mergeCell ref="G278:X278"/>
    <mergeCell ref="Y284:Z284"/>
    <mergeCell ref="AA284:AE284"/>
    <mergeCell ref="G280:X280"/>
    <mergeCell ref="Y280:Z280"/>
    <mergeCell ref="AA280:AE280"/>
    <mergeCell ref="G282:X282"/>
    <mergeCell ref="Y282:Z282"/>
    <mergeCell ref="AA282:AE282"/>
    <mergeCell ref="G284:X284"/>
    <mergeCell ref="G286:X286"/>
    <mergeCell ref="Y286:Z286"/>
    <mergeCell ref="AA286:AE286"/>
    <mergeCell ref="G288:X288"/>
    <mergeCell ref="Y288:Z288"/>
    <mergeCell ref="AA288:AE288"/>
    <mergeCell ref="F298:AE298"/>
    <mergeCell ref="Y304:Z304"/>
    <mergeCell ref="AA304:AE304"/>
    <mergeCell ref="G300:X300"/>
    <mergeCell ref="Y300:Z300"/>
    <mergeCell ref="AA300:AE300"/>
    <mergeCell ref="G302:X302"/>
    <mergeCell ref="Y302:Z302"/>
    <mergeCell ref="AA302:AE302"/>
    <mergeCell ref="G304:X304"/>
    <mergeCell ref="Y158:Z158"/>
    <mergeCell ref="AA158:AE158"/>
    <mergeCell ref="G154:X154"/>
    <mergeCell ref="Y154:Z154"/>
    <mergeCell ref="AA154:AE154"/>
    <mergeCell ref="G156:X156"/>
    <mergeCell ref="Y156:Z156"/>
    <mergeCell ref="AA156:AE156"/>
    <mergeCell ref="G158:X158"/>
    <mergeCell ref="Y164:Z164"/>
    <mergeCell ref="AA164:AE164"/>
    <mergeCell ref="G160:X160"/>
    <mergeCell ref="Y160:Z160"/>
    <mergeCell ref="AA160:AE160"/>
    <mergeCell ref="G162:X162"/>
    <mergeCell ref="Y162:Z162"/>
    <mergeCell ref="AA162:AE162"/>
    <mergeCell ref="G164:X164"/>
    <mergeCell ref="Y170:Z170"/>
    <mergeCell ref="AA170:AE170"/>
    <mergeCell ref="G166:X166"/>
    <mergeCell ref="Y166:Z166"/>
    <mergeCell ref="AA166:AE166"/>
    <mergeCell ref="G168:X168"/>
    <mergeCell ref="Y168:Z168"/>
    <mergeCell ref="AA168:AE168"/>
    <mergeCell ref="G170:X170"/>
    <mergeCell ref="Y176:Z176"/>
    <mergeCell ref="AA176:AE176"/>
    <mergeCell ref="G172:X172"/>
    <mergeCell ref="Y172:Z172"/>
    <mergeCell ref="AA172:AE172"/>
    <mergeCell ref="G174:X174"/>
    <mergeCell ref="Y174:Z174"/>
    <mergeCell ref="AA174:AE174"/>
    <mergeCell ref="G176:X176"/>
    <mergeCell ref="Y182:Z182"/>
    <mergeCell ref="AA182:AE182"/>
    <mergeCell ref="G178:X178"/>
    <mergeCell ref="Y178:Z178"/>
    <mergeCell ref="AA178:AE178"/>
    <mergeCell ref="G180:X180"/>
    <mergeCell ref="Y180:Z180"/>
    <mergeCell ref="AA180:AE180"/>
    <mergeCell ref="G182:X182"/>
    <mergeCell ref="Y112:Z112"/>
    <mergeCell ref="AA112:AE112"/>
    <mergeCell ref="G108:X108"/>
    <mergeCell ref="Y108:Z108"/>
    <mergeCell ref="AA108:AE108"/>
    <mergeCell ref="G110:X110"/>
    <mergeCell ref="Y110:Z110"/>
    <mergeCell ref="AA110:AE110"/>
    <mergeCell ref="G112:X112"/>
    <mergeCell ref="G114:X114"/>
    <mergeCell ref="Y114:Z114"/>
    <mergeCell ref="AA114:AE114"/>
    <mergeCell ref="F124:AE124"/>
    <mergeCell ref="G126:X126"/>
    <mergeCell ref="Y126:Z126"/>
    <mergeCell ref="AA126:AE126"/>
    <mergeCell ref="G128:X128"/>
    <mergeCell ref="Y128:Z128"/>
    <mergeCell ref="AA128:AE128"/>
    <mergeCell ref="G130:X130"/>
    <mergeCell ref="Y130:Z130"/>
    <mergeCell ref="AA130:AE130"/>
    <mergeCell ref="F140:AE140"/>
    <mergeCell ref="Y146:Z146"/>
    <mergeCell ref="AA146:AE146"/>
    <mergeCell ref="G142:X142"/>
    <mergeCell ref="Y142:Z142"/>
    <mergeCell ref="AA142:AE142"/>
    <mergeCell ref="G144:X144"/>
    <mergeCell ref="Y144:Z144"/>
    <mergeCell ref="AA144:AE144"/>
    <mergeCell ref="G146:X146"/>
    <mergeCell ref="G184:X184"/>
    <mergeCell ref="Y184:Z184"/>
    <mergeCell ref="AA184:AE184"/>
    <mergeCell ref="F194:AE194"/>
    <mergeCell ref="G196:X196"/>
    <mergeCell ref="Y196:Z196"/>
    <mergeCell ref="AA196:AE196"/>
    <mergeCell ref="Y220:Z220"/>
    <mergeCell ref="AA220:AE220"/>
    <mergeCell ref="G216:X216"/>
    <mergeCell ref="Y216:Z216"/>
    <mergeCell ref="AA216:AE216"/>
    <mergeCell ref="G218:X218"/>
    <mergeCell ref="Y218:Z218"/>
    <mergeCell ref="AA218:AE218"/>
    <mergeCell ref="G220:X2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4.43" defaultRowHeight="15.0"/>
  <cols>
    <col customWidth="1" min="1" max="3" width="1.29"/>
    <col customWidth="1" min="4" max="5" width="0.86"/>
    <col customWidth="1" min="6" max="6" width="4.14"/>
    <col customWidth="1" min="7" max="7" width="0.86"/>
    <col customWidth="1" min="8" max="9" width="11.57"/>
    <col customWidth="1" min="10" max="11" width="0.57"/>
    <col customWidth="1" min="12" max="12" width="4.14"/>
    <col customWidth="1" min="13" max="14" width="11.57"/>
    <col customWidth="1" min="15" max="15" width="0.86"/>
    <col customWidth="1" min="16" max="17" width="0.57"/>
    <col customWidth="1" min="18" max="18" width="4.14"/>
    <col customWidth="1" min="19" max="20" width="11.57"/>
    <col customWidth="1" min="21" max="23" width="0.86"/>
    <col customWidth="1" min="24" max="26" width="1.29"/>
  </cols>
  <sheetData>
    <row r="1" ht="6.0" customHeight="1">
      <c r="A1" s="1082"/>
      <c r="B1" s="1082"/>
      <c r="C1" s="1082"/>
      <c r="D1" s="1082"/>
      <c r="E1" s="1082"/>
      <c r="F1" s="1082"/>
      <c r="G1" s="1082"/>
      <c r="H1" s="1082"/>
      <c r="I1" s="1082"/>
      <c r="J1" s="1082"/>
      <c r="K1" s="1082"/>
      <c r="L1" s="1082"/>
      <c r="M1" s="1082"/>
      <c r="N1" s="1082"/>
      <c r="O1" s="1082"/>
      <c r="P1" s="1082"/>
      <c r="Q1" s="1082"/>
      <c r="R1" s="1082"/>
      <c r="S1" s="1082"/>
      <c r="T1" s="1082"/>
      <c r="U1" s="1082"/>
      <c r="V1" s="1082"/>
      <c r="W1" s="1082"/>
      <c r="X1" s="1082"/>
      <c r="Y1" s="1082"/>
      <c r="Z1" s="1082"/>
    </row>
    <row r="2" ht="6.0" customHeight="1">
      <c r="A2" s="1082"/>
      <c r="B2" s="1083"/>
      <c r="C2" s="1084"/>
      <c r="D2" s="1084"/>
      <c r="E2" s="1084"/>
      <c r="F2" s="1084"/>
      <c r="G2" s="1084"/>
      <c r="H2" s="1084"/>
      <c r="I2" s="1084"/>
      <c r="J2" s="1084"/>
      <c r="K2" s="1084"/>
      <c r="L2" s="1084"/>
      <c r="M2" s="1084"/>
      <c r="N2" s="1084"/>
      <c r="O2" s="1084"/>
      <c r="P2" s="1084"/>
      <c r="Q2" s="1084"/>
      <c r="R2" s="1084"/>
      <c r="S2" s="1084"/>
      <c r="T2" s="1084"/>
      <c r="U2" s="1084"/>
      <c r="V2" s="1084"/>
      <c r="W2" s="1084"/>
      <c r="X2" s="1084"/>
      <c r="Y2" s="1085"/>
      <c r="Z2" s="1082"/>
    </row>
    <row r="3" ht="6.0" customHeight="1">
      <c r="A3" s="1082"/>
      <c r="B3" s="1086"/>
      <c r="C3" s="1082"/>
      <c r="D3" s="1082"/>
      <c r="E3" s="1082"/>
      <c r="F3" s="1082"/>
      <c r="G3" s="1082"/>
      <c r="H3" s="1082"/>
      <c r="I3" s="1082"/>
      <c r="J3" s="1082"/>
      <c r="K3" s="1082"/>
      <c r="L3" s="1082"/>
      <c r="M3" s="1082"/>
      <c r="N3" s="1082"/>
      <c r="O3" s="1082"/>
      <c r="P3" s="1082"/>
      <c r="Q3" s="1082"/>
      <c r="R3" s="1082"/>
      <c r="S3" s="1082"/>
      <c r="T3" s="1082"/>
      <c r="U3" s="1082"/>
      <c r="V3" s="1082"/>
      <c r="W3" s="1082"/>
      <c r="X3" s="1082"/>
      <c r="Y3" s="1086"/>
      <c r="Z3" s="1082"/>
    </row>
    <row r="4" ht="3.75" customHeight="1">
      <c r="A4" s="1082"/>
      <c r="B4" s="1086"/>
      <c r="C4" s="1082"/>
      <c r="D4" s="1087"/>
      <c r="E4" s="1088"/>
      <c r="F4" s="1088"/>
      <c r="G4" s="1088"/>
      <c r="H4" s="1088"/>
      <c r="I4" s="1088"/>
      <c r="J4" s="1088"/>
      <c r="K4" s="1088"/>
      <c r="L4" s="1088"/>
      <c r="M4" s="1088"/>
      <c r="N4" s="1088"/>
      <c r="O4" s="1088"/>
      <c r="P4" s="1088"/>
      <c r="Q4" s="1088"/>
      <c r="R4" s="1088"/>
      <c r="S4" s="1088"/>
      <c r="T4" s="1088"/>
      <c r="U4" s="1088"/>
      <c r="V4" s="1088"/>
      <c r="W4" s="1089"/>
      <c r="X4" s="1082"/>
      <c r="Y4" s="1086"/>
      <c r="Z4" s="1082"/>
    </row>
    <row r="5">
      <c r="A5" s="1082"/>
      <c r="B5" s="1086"/>
      <c r="C5" s="1082"/>
      <c r="D5" s="1090"/>
      <c r="E5" s="1091" t="s">
        <v>1516</v>
      </c>
      <c r="F5" s="1092"/>
      <c r="G5" s="1092"/>
      <c r="H5" s="1092"/>
      <c r="I5" s="1092"/>
      <c r="J5" s="1092"/>
      <c r="K5" s="1092"/>
      <c r="L5" s="1092"/>
      <c r="M5" s="1092"/>
      <c r="N5" s="1092"/>
      <c r="O5" s="1092"/>
      <c r="P5" s="1092"/>
      <c r="Q5" s="1092"/>
      <c r="R5" s="1092"/>
      <c r="S5" s="1092"/>
      <c r="T5" s="1092"/>
      <c r="U5" s="1092"/>
      <c r="V5" s="1093"/>
      <c r="W5" s="1094"/>
      <c r="X5" s="1082"/>
      <c r="Y5" s="1086"/>
      <c r="Z5" s="1082"/>
    </row>
    <row r="6">
      <c r="A6" s="1082"/>
      <c r="B6" s="1086"/>
      <c r="C6" s="1082"/>
      <c r="D6" s="1090"/>
      <c r="E6" s="1095" t="s">
        <v>1517</v>
      </c>
      <c r="F6" s="1092"/>
      <c r="G6" s="1092"/>
      <c r="H6" s="1092"/>
      <c r="I6" s="1092"/>
      <c r="J6" s="1092"/>
      <c r="K6" s="1092"/>
      <c r="L6" s="1092"/>
      <c r="M6" s="1092"/>
      <c r="N6" s="1092"/>
      <c r="O6" s="1092"/>
      <c r="P6" s="1092"/>
      <c r="Q6" s="1092"/>
      <c r="R6" s="1092"/>
      <c r="S6" s="1092"/>
      <c r="T6" s="1092"/>
      <c r="U6" s="1092"/>
      <c r="V6" s="1093"/>
      <c r="W6" s="1094"/>
      <c r="X6" s="1082"/>
      <c r="Y6" s="1086"/>
      <c r="Z6" s="1082"/>
    </row>
    <row r="7">
      <c r="A7" s="1082"/>
      <c r="B7" s="1086"/>
      <c r="C7" s="1082"/>
      <c r="D7" s="1090"/>
      <c r="E7" s="1096"/>
      <c r="V7" s="1097"/>
      <c r="W7" s="1094"/>
      <c r="X7" s="1082"/>
      <c r="Y7" s="1086"/>
      <c r="Z7" s="1082"/>
    </row>
    <row r="8">
      <c r="A8" s="1082"/>
      <c r="B8" s="1086"/>
      <c r="C8" s="1082"/>
      <c r="D8" s="1090"/>
      <c r="E8" s="1096"/>
      <c r="V8" s="1097"/>
      <c r="W8" s="1094"/>
      <c r="X8" s="1082"/>
      <c r="Y8" s="1086"/>
      <c r="Z8" s="1082"/>
    </row>
    <row r="9">
      <c r="A9" s="1082"/>
      <c r="B9" s="1086"/>
      <c r="C9" s="1082"/>
      <c r="D9" s="1090"/>
      <c r="E9" s="1096"/>
      <c r="V9" s="1097"/>
      <c r="W9" s="1094"/>
      <c r="X9" s="1082"/>
      <c r="Y9" s="1086"/>
      <c r="Z9" s="1082"/>
    </row>
    <row r="10">
      <c r="A10" s="1082"/>
      <c r="B10" s="1086"/>
      <c r="C10" s="1082"/>
      <c r="D10" s="1090"/>
      <c r="E10" s="1096"/>
      <c r="V10" s="1097"/>
      <c r="W10" s="1094"/>
      <c r="X10" s="1082"/>
      <c r="Y10" s="1086"/>
      <c r="Z10" s="1082"/>
    </row>
    <row r="11">
      <c r="A11" s="1082"/>
      <c r="B11" s="1086"/>
      <c r="C11" s="1082"/>
      <c r="D11" s="1090"/>
      <c r="E11" s="1096"/>
      <c r="V11" s="1097"/>
      <c r="W11" s="1094"/>
      <c r="X11" s="1082"/>
      <c r="Y11" s="1086"/>
      <c r="Z11" s="1082"/>
    </row>
    <row r="12">
      <c r="A12" s="1082"/>
      <c r="B12" s="1086"/>
      <c r="C12" s="1082"/>
      <c r="D12" s="1090"/>
      <c r="E12" s="1096"/>
      <c r="V12" s="1097"/>
      <c r="W12" s="1094"/>
      <c r="X12" s="1082"/>
      <c r="Y12" s="1086"/>
      <c r="Z12" s="1082"/>
    </row>
    <row r="13">
      <c r="A13" s="1082"/>
      <c r="B13" s="1086"/>
      <c r="C13" s="1082"/>
      <c r="D13" s="1090"/>
      <c r="E13" s="1096"/>
      <c r="V13" s="1097"/>
      <c r="W13" s="1094"/>
      <c r="X13" s="1082"/>
      <c r="Y13" s="1086"/>
      <c r="Z13" s="1082"/>
    </row>
    <row r="14">
      <c r="A14" s="1082"/>
      <c r="B14" s="1086"/>
      <c r="C14" s="1082"/>
      <c r="D14" s="1090"/>
      <c r="E14" s="1098"/>
      <c r="F14" s="1099" t="s">
        <v>1518</v>
      </c>
      <c r="G14" s="1092"/>
      <c r="H14" s="1092"/>
      <c r="I14" s="1092"/>
      <c r="J14" s="1092"/>
      <c r="K14" s="1092"/>
      <c r="L14" s="1092"/>
      <c r="M14" s="1092"/>
      <c r="N14" s="1092"/>
      <c r="O14" s="1092"/>
      <c r="P14" s="1092"/>
      <c r="Q14" s="1092"/>
      <c r="R14" s="1092"/>
      <c r="S14" s="1092"/>
      <c r="T14" s="1092"/>
      <c r="U14" s="1093"/>
      <c r="V14" s="1098"/>
      <c r="W14" s="1094"/>
      <c r="X14" s="1082"/>
      <c r="Y14" s="1086"/>
      <c r="Z14" s="1082"/>
    </row>
    <row r="15">
      <c r="A15" s="1082"/>
      <c r="B15" s="1086"/>
      <c r="C15" s="1082"/>
      <c r="D15" s="1090"/>
      <c r="E15" s="1098"/>
      <c r="F15" s="1100" t="s">
        <v>1519</v>
      </c>
      <c r="G15" s="1092"/>
      <c r="H15" s="1092"/>
      <c r="I15" s="1092"/>
      <c r="J15" s="1092"/>
      <c r="K15" s="1092"/>
      <c r="L15" s="1092"/>
      <c r="M15" s="1092"/>
      <c r="N15" s="1092"/>
      <c r="O15" s="1092"/>
      <c r="P15" s="1092"/>
      <c r="Q15" s="1092"/>
      <c r="R15" s="1092"/>
      <c r="S15" s="1092"/>
      <c r="T15" s="1092"/>
      <c r="U15" s="1093"/>
      <c r="V15" s="1098"/>
      <c r="W15" s="1094"/>
      <c r="X15" s="1082"/>
      <c r="Y15" s="1086"/>
      <c r="Z15" s="1082"/>
    </row>
    <row r="16" ht="3.75" customHeight="1">
      <c r="A16" s="1082"/>
      <c r="B16" s="1086"/>
      <c r="C16" s="1082"/>
      <c r="D16" s="1090"/>
      <c r="E16" s="1101"/>
      <c r="F16" s="1101"/>
      <c r="G16" s="1101"/>
      <c r="H16" s="1101"/>
      <c r="I16" s="1101"/>
      <c r="J16" s="1101"/>
      <c r="K16" s="1101"/>
      <c r="L16" s="1101"/>
      <c r="M16" s="1101"/>
      <c r="N16" s="1101"/>
      <c r="O16" s="1101"/>
      <c r="P16" s="1101"/>
      <c r="Q16" s="1101"/>
      <c r="R16" s="1101"/>
      <c r="S16" s="1101"/>
      <c r="T16" s="1101"/>
      <c r="U16" s="1101"/>
      <c r="V16" s="1101"/>
      <c r="W16" s="1094"/>
      <c r="X16" s="1082"/>
      <c r="Y16" s="1086"/>
      <c r="Z16" s="1082"/>
    </row>
    <row r="17" ht="9.0" customHeight="1">
      <c r="A17" s="1082"/>
      <c r="B17" s="1086"/>
      <c r="C17" s="1082"/>
      <c r="D17" s="1082"/>
      <c r="E17" s="1082"/>
      <c r="F17" s="1082"/>
      <c r="G17" s="1082"/>
      <c r="H17" s="1082"/>
      <c r="I17" s="1082"/>
      <c r="J17" s="1082"/>
      <c r="K17" s="1082"/>
      <c r="L17" s="1082"/>
      <c r="M17" s="1082"/>
      <c r="N17" s="1082"/>
      <c r="O17" s="1082"/>
      <c r="P17" s="1082"/>
      <c r="Q17" s="1082"/>
      <c r="R17" s="1082"/>
      <c r="S17" s="1082"/>
      <c r="T17" s="1082"/>
      <c r="U17" s="1082"/>
      <c r="V17" s="1082"/>
      <c r="W17" s="1082"/>
      <c r="X17" s="1082"/>
      <c r="Y17" s="1086"/>
      <c r="Z17" s="1082"/>
    </row>
    <row r="18" ht="3.75" customHeight="1">
      <c r="A18" s="1082"/>
      <c r="B18" s="1086"/>
      <c r="C18" s="1082"/>
      <c r="D18" s="1090"/>
      <c r="E18" s="1102"/>
      <c r="F18" s="1102"/>
      <c r="G18" s="1102"/>
      <c r="H18" s="1102"/>
      <c r="I18" s="1102"/>
      <c r="J18" s="1102"/>
      <c r="K18" s="1102"/>
      <c r="L18" s="1102"/>
      <c r="M18" s="1102"/>
      <c r="N18" s="1102"/>
      <c r="O18" s="1102"/>
      <c r="P18" s="1102"/>
      <c r="Q18" s="1102"/>
      <c r="R18" s="1102"/>
      <c r="S18" s="1102"/>
      <c r="T18" s="1102"/>
      <c r="U18" s="1102"/>
      <c r="V18" s="1101"/>
      <c r="W18" s="1094"/>
      <c r="X18" s="1082"/>
      <c r="Y18" s="1086"/>
      <c r="Z18" s="1082"/>
    </row>
    <row r="19">
      <c r="A19" s="1082"/>
      <c r="B19" s="1086"/>
      <c r="C19" s="1082"/>
      <c r="D19" s="1103"/>
      <c r="E19" s="1104" t="s">
        <v>1520</v>
      </c>
      <c r="F19" s="1105"/>
      <c r="G19" s="1105"/>
      <c r="H19" s="1105"/>
      <c r="I19" s="1105"/>
      <c r="J19" s="1105"/>
      <c r="K19" s="1105"/>
      <c r="L19" s="1105"/>
      <c r="M19" s="1105"/>
      <c r="N19" s="1105"/>
      <c r="O19" s="1105"/>
      <c r="P19" s="1105"/>
      <c r="Q19" s="1105"/>
      <c r="R19" s="1105"/>
      <c r="S19" s="1105"/>
      <c r="T19" s="1105"/>
      <c r="U19" s="1105"/>
      <c r="V19" s="1106"/>
      <c r="W19" s="1094"/>
      <c r="X19" s="1082"/>
      <c r="Y19" s="1086"/>
      <c r="Z19" s="1082"/>
    </row>
    <row r="20" ht="3.75" customHeight="1">
      <c r="A20" s="1082"/>
      <c r="B20" s="1086"/>
      <c r="C20" s="1082"/>
      <c r="D20" s="1103"/>
      <c r="E20" s="1107"/>
      <c r="F20" s="1108"/>
      <c r="G20" s="1108"/>
      <c r="H20" s="1108"/>
      <c r="I20" s="1108"/>
      <c r="J20" s="1108"/>
      <c r="K20" s="1108"/>
      <c r="L20" s="1108"/>
      <c r="M20" s="1108"/>
      <c r="N20" s="1108"/>
      <c r="O20" s="1108"/>
      <c r="P20" s="1108"/>
      <c r="Q20" s="1108"/>
      <c r="R20" s="1108"/>
      <c r="S20" s="1108"/>
      <c r="T20" s="1108"/>
      <c r="U20" s="1108"/>
      <c r="V20" s="1109"/>
      <c r="W20" s="1103"/>
      <c r="X20" s="1082"/>
      <c r="Y20" s="1086"/>
      <c r="Z20" s="1082"/>
    </row>
    <row r="21" ht="20.25" customHeight="1">
      <c r="A21" s="1082"/>
      <c r="B21" s="1086"/>
      <c r="C21" s="1082"/>
      <c r="D21" s="1103"/>
      <c r="E21" s="1110"/>
      <c r="F21" s="1111" t="str">
        <f>Source!$AN$2</f>
        <v/>
      </c>
      <c r="G21" s="1112" t="s">
        <v>1521</v>
      </c>
      <c r="H21" s="1113"/>
      <c r="I21" s="1114"/>
      <c r="J21" s="1115"/>
      <c r="K21" s="1116"/>
      <c r="L21" s="1117" t="str">
        <f>Source!$AT$4</f>
        <v/>
      </c>
      <c r="M21" s="1118" t="s">
        <v>1522</v>
      </c>
      <c r="N21" s="1113"/>
      <c r="O21" s="1114"/>
      <c r="P21" s="1115"/>
      <c r="Q21" s="1116"/>
      <c r="R21" s="1111" t="str">
        <f>Source!$AH$3</f>
        <v/>
      </c>
      <c r="S21" s="1112" t="s">
        <v>1523</v>
      </c>
      <c r="T21" s="1113"/>
      <c r="U21" s="1119"/>
      <c r="V21" s="1120"/>
      <c r="W21" s="1103"/>
      <c r="X21" s="1082"/>
      <c r="Y21" s="1086"/>
      <c r="Z21" s="1082"/>
    </row>
    <row r="22" ht="2.25" customHeight="1">
      <c r="A22" s="1082"/>
      <c r="B22" s="1086"/>
      <c r="C22" s="1082"/>
      <c r="D22" s="1103"/>
      <c r="E22" s="1110"/>
      <c r="F22" s="1121"/>
      <c r="G22" s="1122"/>
      <c r="H22" s="1122"/>
      <c r="I22" s="1122"/>
      <c r="J22" s="1123"/>
      <c r="K22" s="1123"/>
      <c r="L22" s="1122"/>
      <c r="M22" s="1122"/>
      <c r="N22" s="1122"/>
      <c r="O22" s="1122"/>
      <c r="P22" s="1123"/>
      <c r="Q22" s="1123"/>
      <c r="R22" s="1122"/>
      <c r="S22" s="1122"/>
      <c r="T22" s="1122"/>
      <c r="U22" s="1122"/>
      <c r="V22" s="1124"/>
      <c r="W22" s="1103"/>
      <c r="X22" s="1082"/>
      <c r="Y22" s="1086"/>
      <c r="Z22" s="1082"/>
    </row>
    <row r="23" ht="2.25" customHeight="1">
      <c r="A23" s="1082"/>
      <c r="B23" s="1086"/>
      <c r="C23" s="1082"/>
      <c r="D23" s="1103"/>
      <c r="E23" s="1110"/>
      <c r="F23" s="1125"/>
      <c r="G23" s="1126"/>
      <c r="H23" s="1126"/>
      <c r="I23" s="1126"/>
      <c r="J23" s="1123"/>
      <c r="K23" s="1123"/>
      <c r="L23" s="1126"/>
      <c r="M23" s="1126"/>
      <c r="N23" s="1126"/>
      <c r="O23" s="1126"/>
      <c r="P23" s="1123"/>
      <c r="Q23" s="1123"/>
      <c r="R23" s="1126"/>
      <c r="S23" s="1126"/>
      <c r="T23" s="1126"/>
      <c r="U23" s="1126"/>
      <c r="V23" s="1124"/>
      <c r="W23" s="1103"/>
      <c r="X23" s="1082"/>
      <c r="Y23" s="1086"/>
      <c r="Z23" s="1082"/>
    </row>
    <row r="24" ht="20.25" customHeight="1">
      <c r="A24" s="1082"/>
      <c r="B24" s="1086"/>
      <c r="C24" s="1082"/>
      <c r="D24" s="1103"/>
      <c r="E24" s="1110"/>
      <c r="F24" s="1117" t="str">
        <f>Source!$AE$32</f>
        <v/>
      </c>
      <c r="G24" s="1118" t="s">
        <v>1524</v>
      </c>
      <c r="H24" s="1113"/>
      <c r="I24" s="1114"/>
      <c r="J24" s="1115"/>
      <c r="K24" s="1116"/>
      <c r="L24" s="1111" t="str">
        <f>Source!$AT$8</f>
        <v/>
      </c>
      <c r="M24" s="1112" t="s">
        <v>1525</v>
      </c>
      <c r="N24" s="1113"/>
      <c r="O24" s="1114"/>
      <c r="P24" s="1115"/>
      <c r="Q24" s="1116"/>
      <c r="R24" s="1117" t="str">
        <f>Source!$AT$11</f>
        <v/>
      </c>
      <c r="S24" s="1118" t="s">
        <v>1526</v>
      </c>
      <c r="T24" s="1113"/>
      <c r="U24" s="1114"/>
      <c r="V24" s="1120"/>
      <c r="W24" s="1103"/>
      <c r="X24" s="1082"/>
      <c r="Y24" s="1086"/>
      <c r="Z24" s="1082"/>
    </row>
    <row r="25" ht="2.25" customHeight="1">
      <c r="A25" s="1082"/>
      <c r="B25" s="1086"/>
      <c r="C25" s="1082"/>
      <c r="D25" s="1103"/>
      <c r="E25" s="1110"/>
      <c r="F25" s="1121"/>
      <c r="G25" s="1122"/>
      <c r="H25" s="1122"/>
      <c r="I25" s="1122"/>
      <c r="J25" s="1123"/>
      <c r="K25" s="1123"/>
      <c r="L25" s="1122"/>
      <c r="M25" s="1122"/>
      <c r="N25" s="1122"/>
      <c r="O25" s="1122"/>
      <c r="P25" s="1123"/>
      <c r="Q25" s="1123"/>
      <c r="R25" s="1122"/>
      <c r="S25" s="1122"/>
      <c r="T25" s="1122"/>
      <c r="U25" s="1122"/>
      <c r="V25" s="1124"/>
      <c r="W25" s="1103"/>
      <c r="X25" s="1082"/>
      <c r="Y25" s="1086"/>
      <c r="Z25" s="1082"/>
    </row>
    <row r="26" ht="2.25" customHeight="1">
      <c r="A26" s="1082"/>
      <c r="B26" s="1086"/>
      <c r="C26" s="1082"/>
      <c r="D26" s="1103"/>
      <c r="E26" s="1110"/>
      <c r="F26" s="1125"/>
      <c r="G26" s="1126"/>
      <c r="H26" s="1126"/>
      <c r="I26" s="1126"/>
      <c r="J26" s="1123"/>
      <c r="K26" s="1123"/>
      <c r="L26" s="1126"/>
      <c r="M26" s="1126"/>
      <c r="N26" s="1126"/>
      <c r="O26" s="1126"/>
      <c r="P26" s="1123"/>
      <c r="Q26" s="1123"/>
      <c r="R26" s="1126"/>
      <c r="S26" s="1126"/>
      <c r="T26" s="1126"/>
      <c r="U26" s="1126"/>
      <c r="V26" s="1124"/>
      <c r="W26" s="1103"/>
      <c r="X26" s="1082"/>
      <c r="Y26" s="1086"/>
      <c r="Z26" s="1082"/>
    </row>
    <row r="27" ht="20.25" customHeight="1">
      <c r="A27" s="1082"/>
      <c r="B27" s="1086"/>
      <c r="C27" s="1082"/>
      <c r="D27" s="1103"/>
      <c r="E27" s="1110"/>
      <c r="F27" s="1111" t="str">
        <f>Source!$AT$13</f>
        <v/>
      </c>
      <c r="G27" s="1112" t="s">
        <v>1527</v>
      </c>
      <c r="H27" s="1113"/>
      <c r="I27" s="1114"/>
      <c r="J27" s="1115"/>
      <c r="K27" s="1116"/>
      <c r="L27" s="1117" t="str">
        <f>Source!$AK$7</f>
        <v/>
      </c>
      <c r="M27" s="1118" t="s">
        <v>1528</v>
      </c>
      <c r="N27" s="1113"/>
      <c r="O27" s="1114"/>
      <c r="P27" s="1115"/>
      <c r="Q27" s="1116"/>
      <c r="R27" s="1111" t="str">
        <f>Source!$AK$8</f>
        <v/>
      </c>
      <c r="S27" s="1112" t="s">
        <v>1529</v>
      </c>
      <c r="T27" s="1113"/>
      <c r="U27" s="1114"/>
      <c r="V27" s="1120"/>
      <c r="W27" s="1103"/>
      <c r="X27" s="1082"/>
      <c r="Y27" s="1086"/>
      <c r="Z27" s="1082"/>
    </row>
    <row r="28" ht="2.25" customHeight="1">
      <c r="A28" s="1082"/>
      <c r="B28" s="1086"/>
      <c r="C28" s="1082"/>
      <c r="D28" s="1103"/>
      <c r="E28" s="1110"/>
      <c r="F28" s="1121"/>
      <c r="G28" s="1122"/>
      <c r="H28" s="1122"/>
      <c r="I28" s="1122"/>
      <c r="J28" s="1123"/>
      <c r="K28" s="1123"/>
      <c r="L28" s="1122"/>
      <c r="M28" s="1122"/>
      <c r="N28" s="1122"/>
      <c r="O28" s="1122"/>
      <c r="P28" s="1123"/>
      <c r="Q28" s="1123"/>
      <c r="R28" s="1122"/>
      <c r="S28" s="1122"/>
      <c r="T28" s="1122"/>
      <c r="U28" s="1122"/>
      <c r="V28" s="1124"/>
      <c r="W28" s="1103"/>
      <c r="X28" s="1082"/>
      <c r="Y28" s="1086"/>
      <c r="Z28" s="1082"/>
    </row>
    <row r="29" ht="2.25" customHeight="1">
      <c r="A29" s="1082"/>
      <c r="B29" s="1086"/>
      <c r="C29" s="1082"/>
      <c r="D29" s="1103"/>
      <c r="E29" s="1110"/>
      <c r="F29" s="1125"/>
      <c r="G29" s="1126"/>
      <c r="H29" s="1126"/>
      <c r="I29" s="1126"/>
      <c r="J29" s="1123"/>
      <c r="K29" s="1123"/>
      <c r="L29" s="1126"/>
      <c r="M29" s="1126"/>
      <c r="N29" s="1126"/>
      <c r="O29" s="1126"/>
      <c r="P29" s="1123"/>
      <c r="Q29" s="1123"/>
      <c r="R29" s="1126"/>
      <c r="S29" s="1126"/>
      <c r="T29" s="1126"/>
      <c r="U29" s="1126"/>
      <c r="V29" s="1124"/>
      <c r="W29" s="1103"/>
      <c r="X29" s="1082"/>
      <c r="Y29" s="1086"/>
      <c r="Z29" s="1082"/>
    </row>
    <row r="30" ht="20.25" customHeight="1">
      <c r="A30" s="1082"/>
      <c r="B30" s="1086"/>
      <c r="C30" s="1082"/>
      <c r="D30" s="1103"/>
      <c r="E30" s="1110"/>
      <c r="F30" s="1117" t="str">
        <f>Source!$AE$33</f>
        <v/>
      </c>
      <c r="G30" s="1118" t="s">
        <v>1530</v>
      </c>
      <c r="H30" s="1113"/>
      <c r="I30" s="1114"/>
      <c r="J30" s="1115"/>
      <c r="K30" s="1116"/>
      <c r="L30" s="1111" t="str">
        <f>Source!$AN$41</f>
        <v/>
      </c>
      <c r="M30" s="1112" t="s">
        <v>1531</v>
      </c>
      <c r="N30" s="1113"/>
      <c r="O30" s="1114"/>
      <c r="P30" s="1115"/>
      <c r="Q30" s="1116"/>
      <c r="R30" s="1117" t="str">
        <f>Source!$AT$30</f>
        <v/>
      </c>
      <c r="S30" s="1118" t="s">
        <v>1532</v>
      </c>
      <c r="T30" s="1113"/>
      <c r="U30" s="1114"/>
      <c r="V30" s="1120"/>
      <c r="W30" s="1103"/>
      <c r="X30" s="1082"/>
      <c r="Y30" s="1086"/>
      <c r="Z30" s="1082"/>
    </row>
    <row r="31" ht="2.25" customHeight="1">
      <c r="A31" s="1082"/>
      <c r="B31" s="1086"/>
      <c r="C31" s="1082"/>
      <c r="D31" s="1103"/>
      <c r="E31" s="1110"/>
      <c r="F31" s="1121"/>
      <c r="G31" s="1122"/>
      <c r="H31" s="1122"/>
      <c r="I31" s="1122"/>
      <c r="J31" s="1123"/>
      <c r="K31" s="1123"/>
      <c r="L31" s="1122"/>
      <c r="M31" s="1122"/>
      <c r="N31" s="1122"/>
      <c r="O31" s="1122"/>
      <c r="P31" s="1123"/>
      <c r="Q31" s="1123"/>
      <c r="R31" s="1122"/>
      <c r="S31" s="1122"/>
      <c r="T31" s="1122"/>
      <c r="U31" s="1122"/>
      <c r="V31" s="1124"/>
      <c r="W31" s="1103"/>
      <c r="X31" s="1082"/>
      <c r="Y31" s="1086"/>
      <c r="Z31" s="1082"/>
    </row>
    <row r="32" ht="2.25" customHeight="1">
      <c r="A32" s="1082"/>
      <c r="B32" s="1086"/>
      <c r="C32" s="1082"/>
      <c r="D32" s="1103"/>
      <c r="E32" s="1110"/>
      <c r="F32" s="1125"/>
      <c r="G32" s="1126"/>
      <c r="H32" s="1126"/>
      <c r="I32" s="1126"/>
      <c r="J32" s="1123"/>
      <c r="K32" s="1123"/>
      <c r="L32" s="1126"/>
      <c r="M32" s="1126"/>
      <c r="N32" s="1126"/>
      <c r="O32" s="1126"/>
      <c r="P32" s="1123"/>
      <c r="Q32" s="1123"/>
      <c r="R32" s="1126"/>
      <c r="S32" s="1126"/>
      <c r="T32" s="1126"/>
      <c r="U32" s="1126"/>
      <c r="V32" s="1124"/>
      <c r="W32" s="1103"/>
      <c r="X32" s="1082"/>
      <c r="Y32" s="1086"/>
      <c r="Z32" s="1082"/>
    </row>
    <row r="33" ht="20.25" customHeight="1">
      <c r="A33" s="1082"/>
      <c r="B33" s="1086"/>
      <c r="C33" s="1082"/>
      <c r="D33" s="1103"/>
      <c r="E33" s="1110"/>
      <c r="F33" s="1111" t="str">
        <f>IMAGE("https://raw.githubusercontent.com/msikma/pokesprite/master/items/hold-item/light-ball.png",4,32,32)</f>
        <v/>
      </c>
      <c r="G33" s="1112" t="s">
        <v>1533</v>
      </c>
      <c r="H33" s="1113"/>
      <c r="I33" s="1114"/>
      <c r="J33" s="1115"/>
      <c r="K33" s="1116"/>
      <c r="L33" s="1117" t="str">
        <f>IMAGE("https://raw.githubusercontent.com/msikma/pokesprite/master/items/hold-item/mental-herb.png",4,32,32)</f>
        <v/>
      </c>
      <c r="M33" s="1118" t="s">
        <v>1534</v>
      </c>
      <c r="N33" s="1113"/>
      <c r="O33" s="1114"/>
      <c r="P33" s="1115"/>
      <c r="Q33" s="1116"/>
      <c r="R33" s="1111" t="str">
        <f>IMAGE("https://raw.githubusercontent.com/msikma/pokesprite/master/items/hold-item/mystic-water.png",4,32,32)</f>
        <v/>
      </c>
      <c r="S33" s="1112" t="s">
        <v>1535</v>
      </c>
      <c r="T33" s="1113"/>
      <c r="U33" s="1114"/>
      <c r="V33" s="1120"/>
      <c r="W33" s="1103"/>
      <c r="X33" s="1082"/>
      <c r="Y33" s="1086"/>
      <c r="Z33" s="1082"/>
    </row>
    <row r="34" ht="2.25" customHeight="1">
      <c r="A34" s="1082"/>
      <c r="B34" s="1086"/>
      <c r="C34" s="1082"/>
      <c r="D34" s="1103"/>
      <c r="E34" s="1110"/>
      <c r="F34" s="1121"/>
      <c r="G34" s="1122"/>
      <c r="H34" s="1122"/>
      <c r="I34" s="1122"/>
      <c r="J34" s="1123"/>
      <c r="K34" s="1123"/>
      <c r="L34" s="1122"/>
      <c r="M34" s="1122"/>
      <c r="N34" s="1122"/>
      <c r="O34" s="1122"/>
      <c r="P34" s="1123"/>
      <c r="Q34" s="1123"/>
      <c r="R34" s="1122"/>
      <c r="S34" s="1122"/>
      <c r="T34" s="1122"/>
      <c r="U34" s="1122"/>
      <c r="V34" s="1124"/>
      <c r="W34" s="1103"/>
      <c r="X34" s="1082"/>
      <c r="Y34" s="1086"/>
      <c r="Z34" s="1082"/>
    </row>
    <row r="35" ht="2.25" customHeight="1">
      <c r="A35" s="1082"/>
      <c r="B35" s="1086"/>
      <c r="C35" s="1082"/>
      <c r="D35" s="1103"/>
      <c r="E35" s="1110"/>
      <c r="F35" s="1125"/>
      <c r="G35" s="1126"/>
      <c r="H35" s="1126"/>
      <c r="I35" s="1126"/>
      <c r="J35" s="1123"/>
      <c r="K35" s="1123"/>
      <c r="L35" s="1126"/>
      <c r="M35" s="1126"/>
      <c r="N35" s="1126"/>
      <c r="O35" s="1126"/>
      <c r="P35" s="1123"/>
      <c r="Q35" s="1123"/>
      <c r="R35" s="1126"/>
      <c r="S35" s="1126"/>
      <c r="T35" s="1126"/>
      <c r="U35" s="1126"/>
      <c r="V35" s="1124"/>
      <c r="W35" s="1103"/>
      <c r="X35" s="1082"/>
      <c r="Y35" s="1086"/>
      <c r="Z35" s="1082"/>
    </row>
    <row r="36" ht="20.25" customHeight="1">
      <c r="A36" s="1082"/>
      <c r="B36" s="1086"/>
      <c r="C36" s="1082"/>
      <c r="D36" s="1103"/>
      <c r="E36" s="1110"/>
      <c r="F36" s="1117" t="str">
        <f>IMAGE("https://raw.githubusercontent.com/msikma/pokesprite/master/items/hold-item/never-melt-ice.png",4,32,32)</f>
        <v/>
      </c>
      <c r="G36" s="1118" t="s">
        <v>1536</v>
      </c>
      <c r="H36" s="1113"/>
      <c r="I36" s="1114"/>
      <c r="J36" s="1115"/>
      <c r="K36" s="1116"/>
      <c r="L36" s="1111" t="str">
        <f>Source!$AH$7</f>
        <v/>
      </c>
      <c r="M36" s="1112" t="s">
        <v>1537</v>
      </c>
      <c r="N36" s="1113"/>
      <c r="O36" s="1114"/>
      <c r="P36" s="1115"/>
      <c r="Q36" s="1116"/>
      <c r="R36" s="1117" t="str">
        <f>Source!$AT$43</f>
        <v/>
      </c>
      <c r="S36" s="1118" t="s">
        <v>1538</v>
      </c>
      <c r="T36" s="1113"/>
      <c r="U36" s="1114"/>
      <c r="V36" s="1120"/>
      <c r="W36" s="1103"/>
      <c r="X36" s="1082"/>
      <c r="Y36" s="1086"/>
      <c r="Z36" s="1082"/>
    </row>
    <row r="37" ht="2.25" customHeight="1">
      <c r="A37" s="1082"/>
      <c r="B37" s="1086"/>
      <c r="C37" s="1082"/>
      <c r="D37" s="1103"/>
      <c r="E37" s="1110"/>
      <c r="F37" s="1121"/>
      <c r="G37" s="1122"/>
      <c r="H37" s="1122"/>
      <c r="I37" s="1122"/>
      <c r="J37" s="1123"/>
      <c r="K37" s="1123"/>
      <c r="L37" s="1122"/>
      <c r="M37" s="1122"/>
      <c r="N37" s="1122"/>
      <c r="O37" s="1122"/>
      <c r="P37" s="1123"/>
      <c r="Q37" s="1123"/>
      <c r="R37" s="1122"/>
      <c r="S37" s="1122"/>
      <c r="T37" s="1122"/>
      <c r="U37" s="1122"/>
      <c r="V37" s="1124"/>
      <c r="W37" s="1103"/>
      <c r="X37" s="1082"/>
      <c r="Y37" s="1086"/>
      <c r="Z37" s="1082"/>
    </row>
    <row r="38" ht="2.25" customHeight="1">
      <c r="A38" s="1082"/>
      <c r="B38" s="1086"/>
      <c r="C38" s="1082"/>
      <c r="D38" s="1103"/>
      <c r="E38" s="1110"/>
      <c r="F38" s="1125"/>
      <c r="G38" s="1126"/>
      <c r="H38" s="1126"/>
      <c r="I38" s="1126"/>
      <c r="J38" s="1123"/>
      <c r="K38" s="1123"/>
      <c r="L38" s="1126"/>
      <c r="M38" s="1126"/>
      <c r="N38" s="1126"/>
      <c r="O38" s="1126"/>
      <c r="P38" s="1123"/>
      <c r="Q38" s="1123"/>
      <c r="R38" s="1126"/>
      <c r="S38" s="1126"/>
      <c r="T38" s="1126"/>
      <c r="U38" s="1126"/>
      <c r="V38" s="1124"/>
      <c r="W38" s="1103"/>
      <c r="X38" s="1082"/>
      <c r="Y38" s="1086"/>
      <c r="Z38" s="1082"/>
    </row>
    <row r="39" ht="20.25" customHeight="1">
      <c r="A39" s="1082"/>
      <c r="B39" s="1086"/>
      <c r="C39" s="1082"/>
      <c r="D39" s="1103"/>
      <c r="E39" s="1110"/>
      <c r="F39" s="1111" t="str">
        <f>Source!$AT$44</f>
        <v/>
      </c>
      <c r="G39" s="1112" t="s">
        <v>506</v>
      </c>
      <c r="H39" s="1113"/>
      <c r="I39" s="1114"/>
      <c r="J39" s="1115"/>
      <c r="K39" s="1116"/>
      <c r="L39" s="1117" t="str">
        <f>Source!$AT$46</f>
        <v/>
      </c>
      <c r="M39" s="1118" t="s">
        <v>1539</v>
      </c>
      <c r="N39" s="1113"/>
      <c r="O39" s="1114"/>
      <c r="P39" s="1115"/>
      <c r="Q39" s="1116"/>
      <c r="R39" s="1111" t="str">
        <f>Source!$AT$47</f>
        <v/>
      </c>
      <c r="S39" s="1112" t="s">
        <v>1540</v>
      </c>
      <c r="T39" s="1113"/>
      <c r="U39" s="1114"/>
      <c r="V39" s="1120"/>
      <c r="W39" s="1103"/>
      <c r="X39" s="1082"/>
      <c r="Y39" s="1086"/>
      <c r="Z39" s="1082"/>
    </row>
    <row r="40" ht="2.25" customHeight="1">
      <c r="A40" s="1082"/>
      <c r="B40" s="1086"/>
      <c r="C40" s="1082"/>
      <c r="D40" s="1103"/>
      <c r="E40" s="1110"/>
      <c r="F40" s="1121"/>
      <c r="G40" s="1122"/>
      <c r="H40" s="1122"/>
      <c r="I40" s="1122"/>
      <c r="J40" s="1123"/>
      <c r="K40" s="1123"/>
      <c r="L40" s="1122"/>
      <c r="M40" s="1122"/>
      <c r="N40" s="1122"/>
      <c r="O40" s="1122"/>
      <c r="P40" s="1123"/>
      <c r="Q40" s="1123"/>
      <c r="R40" s="1122"/>
      <c r="S40" s="1122"/>
      <c r="T40" s="1122"/>
      <c r="U40" s="1122"/>
      <c r="V40" s="1124"/>
      <c r="W40" s="1103"/>
      <c r="X40" s="1082"/>
      <c r="Y40" s="1086"/>
      <c r="Z40" s="1082"/>
    </row>
    <row r="41" ht="2.25" customHeight="1">
      <c r="A41" s="1082"/>
      <c r="B41" s="1086"/>
      <c r="C41" s="1082"/>
      <c r="D41" s="1103"/>
      <c r="E41" s="1110"/>
      <c r="F41" s="1125"/>
      <c r="G41" s="1126"/>
      <c r="H41" s="1126"/>
      <c r="I41" s="1126"/>
      <c r="J41" s="1123"/>
      <c r="K41" s="1123"/>
      <c r="L41" s="1126"/>
      <c r="M41" s="1126"/>
      <c r="N41" s="1126"/>
      <c r="O41" s="1126"/>
      <c r="P41" s="1123"/>
      <c r="Q41" s="1123"/>
      <c r="R41" s="1126"/>
      <c r="S41" s="1126"/>
      <c r="T41" s="1126"/>
      <c r="U41" s="1126"/>
      <c r="V41" s="1124"/>
      <c r="W41" s="1103"/>
      <c r="X41" s="1082"/>
      <c r="Y41" s="1086"/>
      <c r="Z41" s="1082"/>
    </row>
    <row r="42" ht="20.25" customHeight="1">
      <c r="A42" s="1082"/>
      <c r="B42" s="1086"/>
      <c r="C42" s="1082"/>
      <c r="D42" s="1103"/>
      <c r="E42" s="1110"/>
      <c r="F42" s="1117" t="str">
        <f>Source!$AT$48</f>
        <v/>
      </c>
      <c r="G42" s="1118" t="s">
        <v>1541</v>
      </c>
      <c r="H42" s="1113"/>
      <c r="I42" s="1114"/>
      <c r="J42" s="1115"/>
      <c r="K42" s="1116"/>
      <c r="L42" s="1111" t="str">
        <f>IMAGE("https://raw.githubusercontent.com/msikma/pokesprite/master/items/plate/pixie.png",4,32,32)</f>
        <v/>
      </c>
      <c r="M42" s="1112" t="s">
        <v>1542</v>
      </c>
      <c r="N42" s="1113"/>
      <c r="O42" s="1114"/>
      <c r="P42" s="1115"/>
      <c r="Q42" s="1116"/>
      <c r="R42" s="1117" t="str">
        <f>IMAGE("https://raw.githubusercontent.com/msikma/pokesprite/master/items/hold-item/poison-barb.png",4,32,32)</f>
        <v/>
      </c>
      <c r="S42" s="1118" t="s">
        <v>1543</v>
      </c>
      <c r="T42" s="1113"/>
      <c r="U42" s="1114"/>
      <c r="V42" s="1120"/>
      <c r="W42" s="1103"/>
      <c r="X42" s="1082"/>
      <c r="Y42" s="1086"/>
      <c r="Z42" s="1082"/>
    </row>
    <row r="43" ht="2.25" customHeight="1">
      <c r="A43" s="1082"/>
      <c r="B43" s="1086"/>
      <c r="C43" s="1082"/>
      <c r="D43" s="1103"/>
      <c r="E43" s="1110"/>
      <c r="F43" s="1121"/>
      <c r="G43" s="1122"/>
      <c r="H43" s="1122"/>
      <c r="I43" s="1122"/>
      <c r="J43" s="1123"/>
      <c r="K43" s="1123"/>
      <c r="L43" s="1122"/>
      <c r="M43" s="1122"/>
      <c r="N43" s="1122"/>
      <c r="O43" s="1122"/>
      <c r="P43" s="1123"/>
      <c r="Q43" s="1123"/>
      <c r="R43" s="1122"/>
      <c r="S43" s="1122"/>
      <c r="T43" s="1122"/>
      <c r="U43" s="1122"/>
      <c r="V43" s="1124"/>
      <c r="W43" s="1103"/>
      <c r="X43" s="1082"/>
      <c r="Y43" s="1086"/>
      <c r="Z43" s="1082"/>
    </row>
    <row r="44" ht="2.25" customHeight="1">
      <c r="A44" s="1082"/>
      <c r="B44" s="1086"/>
      <c r="C44" s="1082"/>
      <c r="D44" s="1103"/>
      <c r="E44" s="1110"/>
      <c r="F44" s="1125"/>
      <c r="G44" s="1126"/>
      <c r="H44" s="1126"/>
      <c r="I44" s="1126"/>
      <c r="J44" s="1123"/>
      <c r="K44" s="1123"/>
      <c r="L44" s="1126"/>
      <c r="M44" s="1126"/>
      <c r="N44" s="1126"/>
      <c r="O44" s="1126"/>
      <c r="P44" s="1123"/>
      <c r="Q44" s="1123"/>
      <c r="R44" s="1126"/>
      <c r="S44" s="1126"/>
      <c r="T44" s="1126"/>
      <c r="U44" s="1126"/>
      <c r="V44" s="1124"/>
      <c r="W44" s="1103"/>
      <c r="X44" s="1082"/>
      <c r="Y44" s="1086"/>
      <c r="Z44" s="1082"/>
    </row>
    <row r="45" ht="20.25" customHeight="1">
      <c r="A45" s="1082"/>
      <c r="B45" s="1086"/>
      <c r="C45" s="1082"/>
      <c r="D45" s="1103"/>
      <c r="E45" s="1110"/>
      <c r="F45" s="1111" t="str">
        <f>Source!$AB$39</f>
        <v/>
      </c>
      <c r="G45" s="1112" t="s">
        <v>1544</v>
      </c>
      <c r="H45" s="1113"/>
      <c r="I45" s="1114"/>
      <c r="J45" s="1115"/>
      <c r="K45" s="1116"/>
      <c r="L45" s="1117" t="str">
        <f>Source!$AE$34</f>
        <v/>
      </c>
      <c r="M45" s="1118" t="s">
        <v>1545</v>
      </c>
      <c r="N45" s="1113"/>
      <c r="O45" s="1114"/>
      <c r="P45" s="1115"/>
      <c r="Q45" s="1116"/>
      <c r="R45" s="1111" t="str">
        <f>Source!$AB$47</f>
        <v/>
      </c>
      <c r="S45" s="1112" t="s">
        <v>1546</v>
      </c>
      <c r="T45" s="1113"/>
      <c r="U45" s="1114"/>
      <c r="V45" s="1120"/>
      <c r="W45" s="1103"/>
      <c r="X45" s="1082"/>
      <c r="Y45" s="1086"/>
      <c r="Z45" s="1082"/>
    </row>
    <row r="46" ht="2.25" customHeight="1">
      <c r="A46" s="1082"/>
      <c r="B46" s="1086"/>
      <c r="C46" s="1082"/>
      <c r="D46" s="1103"/>
      <c r="E46" s="1110"/>
      <c r="F46" s="1121"/>
      <c r="G46" s="1122"/>
      <c r="H46" s="1122"/>
      <c r="I46" s="1122"/>
      <c r="J46" s="1123"/>
      <c r="K46" s="1123"/>
      <c r="L46" s="1122"/>
      <c r="M46" s="1122"/>
      <c r="N46" s="1122"/>
      <c r="O46" s="1122"/>
      <c r="P46" s="1123"/>
      <c r="Q46" s="1123"/>
      <c r="R46" s="1122"/>
      <c r="S46" s="1122"/>
      <c r="T46" s="1122"/>
      <c r="U46" s="1122"/>
      <c r="V46" s="1124"/>
      <c r="W46" s="1103"/>
      <c r="X46" s="1082"/>
      <c r="Y46" s="1086"/>
      <c r="Z46" s="1082"/>
    </row>
    <row r="47" ht="2.25" customHeight="1">
      <c r="A47" s="1082"/>
      <c r="B47" s="1086"/>
      <c r="C47" s="1082"/>
      <c r="D47" s="1103"/>
      <c r="E47" s="1110"/>
      <c r="F47" s="1125"/>
      <c r="G47" s="1126"/>
      <c r="H47" s="1126"/>
      <c r="I47" s="1126"/>
      <c r="J47" s="1123"/>
      <c r="K47" s="1123"/>
      <c r="L47" s="1126"/>
      <c r="M47" s="1126"/>
      <c r="N47" s="1126"/>
      <c r="O47" s="1126"/>
      <c r="P47" s="1123"/>
      <c r="Q47" s="1123"/>
      <c r="R47" s="1126"/>
      <c r="S47" s="1126"/>
      <c r="T47" s="1126"/>
      <c r="U47" s="1126"/>
      <c r="V47" s="1124"/>
      <c r="W47" s="1103"/>
      <c r="X47" s="1082"/>
      <c r="Y47" s="1086"/>
      <c r="Z47" s="1082"/>
    </row>
    <row r="48" ht="20.25" customHeight="1">
      <c r="A48" s="1082"/>
      <c r="B48" s="1086"/>
      <c r="C48" s="1082"/>
      <c r="D48" s="1103"/>
      <c r="E48" s="1110"/>
      <c r="F48" s="1117" t="str">
        <f>Source!$AT$57</f>
        <v/>
      </c>
      <c r="G48" s="1118" t="s">
        <v>1547</v>
      </c>
      <c r="H48" s="1113"/>
      <c r="I48" s="1114"/>
      <c r="J48" s="1115"/>
      <c r="K48" s="1116"/>
      <c r="L48" s="1111" t="str">
        <f>IMAGE("https://raw.githubusercontent.com/msikma/pokesprite/master/items/hold-item/sharp-beak.png",4,32,32)</f>
        <v/>
      </c>
      <c r="M48" s="1112" t="s">
        <v>1548</v>
      </c>
      <c r="N48" s="1113"/>
      <c r="O48" s="1114"/>
      <c r="P48" s="1115"/>
      <c r="Q48" s="1116"/>
      <c r="R48" s="1117" t="str">
        <f>IMAGE("https://raw.githubusercontent.com/msikma/pokesprite/master/items/hold-item/silver-powder.png",4,32,32)</f>
        <v/>
      </c>
      <c r="S48" s="1118" t="s">
        <v>1549</v>
      </c>
      <c r="T48" s="1113"/>
      <c r="U48" s="1114"/>
      <c r="V48" s="1120"/>
      <c r="W48" s="1103"/>
      <c r="X48" s="1082"/>
      <c r="Y48" s="1086"/>
      <c r="Z48" s="1082"/>
    </row>
    <row r="49" ht="2.25" customHeight="1">
      <c r="A49" s="1082"/>
      <c r="B49" s="1086"/>
      <c r="C49" s="1082"/>
      <c r="D49" s="1103"/>
      <c r="E49" s="1110"/>
      <c r="F49" s="1121"/>
      <c r="G49" s="1122"/>
      <c r="H49" s="1122"/>
      <c r="I49" s="1122"/>
      <c r="J49" s="1123"/>
      <c r="K49" s="1123"/>
      <c r="L49" s="1122"/>
      <c r="M49" s="1122"/>
      <c r="N49" s="1122"/>
      <c r="O49" s="1122"/>
      <c r="P49" s="1123"/>
      <c r="Q49" s="1123"/>
      <c r="R49" s="1122"/>
      <c r="S49" s="1122"/>
      <c r="T49" s="1122"/>
      <c r="U49" s="1122"/>
      <c r="V49" s="1124"/>
      <c r="W49" s="1103"/>
      <c r="X49" s="1082"/>
      <c r="Y49" s="1086"/>
      <c r="Z49" s="1082"/>
    </row>
    <row r="50" ht="2.25" customHeight="1">
      <c r="A50" s="1082"/>
      <c r="B50" s="1086"/>
      <c r="C50" s="1082"/>
      <c r="D50" s="1103"/>
      <c r="E50" s="1110"/>
      <c r="F50" s="1125"/>
      <c r="G50" s="1126"/>
      <c r="H50" s="1126"/>
      <c r="I50" s="1126"/>
      <c r="J50" s="1123"/>
      <c r="K50" s="1123"/>
      <c r="L50" s="1126"/>
      <c r="M50" s="1126"/>
      <c r="N50" s="1126"/>
      <c r="O50" s="1126"/>
      <c r="P50" s="1123"/>
      <c r="Q50" s="1123"/>
      <c r="R50" s="1126"/>
      <c r="S50" s="1126"/>
      <c r="T50" s="1126"/>
      <c r="U50" s="1126"/>
      <c r="V50" s="1124"/>
      <c r="W50" s="1103"/>
      <c r="X50" s="1082"/>
      <c r="Y50" s="1086"/>
      <c r="Z50" s="1082"/>
    </row>
    <row r="51" ht="20.25" customHeight="1">
      <c r="A51" s="1082"/>
      <c r="B51" s="1086"/>
      <c r="C51" s="1082"/>
      <c r="D51" s="1103"/>
      <c r="E51" s="1110"/>
      <c r="F51" s="1111" t="str">
        <f>IMAGE("https://raw.githubusercontent.com/msikma/pokesprite/master/items/hold-item/soft-sand.png",4,32,32)</f>
        <v/>
      </c>
      <c r="G51" s="1112" t="s">
        <v>1550</v>
      </c>
      <c r="H51" s="1113"/>
      <c r="I51" s="1114"/>
      <c r="J51" s="1115"/>
      <c r="K51" s="1116"/>
      <c r="L51" s="1117" t="str">
        <f>IMAGE("https://raw.githubusercontent.com/msikma/pokesprite/master/items/hold-item/spell-tag.png",4,32,32)</f>
        <v/>
      </c>
      <c r="M51" s="1118" t="s">
        <v>1551</v>
      </c>
      <c r="N51" s="1113"/>
      <c r="O51" s="1114"/>
      <c r="P51" s="1115"/>
      <c r="Q51" s="1116"/>
      <c r="R51" s="1111" t="str">
        <f>Source!$AH$24</f>
        <v/>
      </c>
      <c r="S51" s="1112" t="s">
        <v>1552</v>
      </c>
      <c r="T51" s="1113"/>
      <c r="U51" s="1114"/>
      <c r="V51" s="1120"/>
      <c r="W51" s="1103"/>
      <c r="X51" s="1082"/>
      <c r="Y51" s="1086"/>
      <c r="Z51" s="1082"/>
    </row>
    <row r="52" ht="2.25" customHeight="1">
      <c r="A52" s="1082"/>
      <c r="B52" s="1086"/>
      <c r="C52" s="1082"/>
      <c r="D52" s="1103"/>
      <c r="E52" s="1110"/>
      <c r="F52" s="1121"/>
      <c r="G52" s="1122"/>
      <c r="H52" s="1122"/>
      <c r="I52" s="1122"/>
      <c r="J52" s="1123"/>
      <c r="K52" s="1123"/>
      <c r="L52" s="1122"/>
      <c r="M52" s="1122"/>
      <c r="N52" s="1122"/>
      <c r="O52" s="1122"/>
      <c r="P52" s="1123"/>
      <c r="Q52" s="1123"/>
      <c r="R52" s="1122"/>
      <c r="S52" s="1122"/>
      <c r="T52" s="1122"/>
      <c r="U52" s="1122"/>
      <c r="V52" s="1124"/>
      <c r="W52" s="1103"/>
      <c r="X52" s="1082"/>
      <c r="Y52" s="1086"/>
      <c r="Z52" s="1082"/>
    </row>
    <row r="53" ht="2.25" customHeight="1">
      <c r="A53" s="1082"/>
      <c r="B53" s="1086"/>
      <c r="C53" s="1082"/>
      <c r="D53" s="1103"/>
      <c r="E53" s="1110"/>
      <c r="F53" s="1125"/>
      <c r="G53" s="1126"/>
      <c r="H53" s="1126"/>
      <c r="I53" s="1126"/>
      <c r="J53" s="1123"/>
      <c r="K53" s="1123"/>
      <c r="L53" s="1126"/>
      <c r="M53" s="1126"/>
      <c r="N53" s="1126"/>
      <c r="O53" s="1126"/>
      <c r="P53" s="1123"/>
      <c r="Q53" s="1123"/>
      <c r="R53" s="1126"/>
      <c r="S53" s="1126"/>
      <c r="T53" s="1126"/>
      <c r="U53" s="1126"/>
      <c r="V53" s="1124"/>
      <c r="W53" s="1103"/>
      <c r="X53" s="1082"/>
      <c r="Y53" s="1086"/>
      <c r="Z53" s="1082"/>
    </row>
    <row r="54" ht="20.25" customHeight="1">
      <c r="A54" s="1082"/>
      <c r="B54" s="1086"/>
      <c r="C54" s="1082"/>
      <c r="D54" s="1103"/>
      <c r="E54" s="1110"/>
      <c r="F54" s="1117" t="str">
        <f>IMAGE("https://raw.githubusercontent.com/msikma/pokesprite/master/items/hold-item/twisted-spoon.png",4,32,32)</f>
        <v/>
      </c>
      <c r="G54" s="1118" t="s">
        <v>1553</v>
      </c>
      <c r="H54" s="1113"/>
      <c r="I54" s="1114"/>
      <c r="J54" s="1115"/>
      <c r="K54" s="1116"/>
      <c r="L54" s="1111" t="str">
        <f>Source!$AT$74</f>
        <v/>
      </c>
      <c r="M54" s="1112" t="s">
        <v>1554</v>
      </c>
      <c r="N54" s="1113"/>
      <c r="O54" s="1114"/>
      <c r="P54" s="1115"/>
      <c r="Q54" s="1116"/>
      <c r="R54" s="1117" t="str">
        <f>Source!$Y$32</f>
        <v/>
      </c>
      <c r="S54" s="1118" t="s">
        <v>1555</v>
      </c>
      <c r="T54" s="1113"/>
      <c r="U54" s="1114"/>
      <c r="V54" s="1120"/>
      <c r="W54" s="1103"/>
      <c r="X54" s="1082"/>
      <c r="Y54" s="1086"/>
      <c r="Z54" s="1082"/>
    </row>
    <row r="55" ht="2.25" customHeight="1">
      <c r="A55" s="1082"/>
      <c r="B55" s="1086"/>
      <c r="C55" s="1082"/>
      <c r="D55" s="1103"/>
      <c r="E55" s="1110"/>
      <c r="F55" s="1121"/>
      <c r="G55" s="1122"/>
      <c r="H55" s="1122"/>
      <c r="I55" s="1122"/>
      <c r="J55" s="1123"/>
      <c r="K55" s="1123"/>
      <c r="L55" s="1122"/>
      <c r="M55" s="1122"/>
      <c r="N55" s="1122"/>
      <c r="O55" s="1122"/>
      <c r="P55" s="1123"/>
      <c r="Q55" s="1116"/>
      <c r="R55" s="1122"/>
      <c r="S55" s="1122"/>
      <c r="T55" s="1122"/>
      <c r="U55" s="1122"/>
      <c r="V55" s="1124"/>
      <c r="W55" s="1103"/>
      <c r="X55" s="1082"/>
      <c r="Y55" s="1086"/>
      <c r="Z55" s="1082"/>
    </row>
    <row r="56" ht="2.25" customHeight="1">
      <c r="A56" s="1082"/>
      <c r="B56" s="1086"/>
      <c r="C56" s="1082"/>
      <c r="D56" s="1103"/>
      <c r="E56" s="1110"/>
      <c r="F56" s="1125"/>
      <c r="G56" s="1126"/>
      <c r="H56" s="1126"/>
      <c r="I56" s="1126"/>
      <c r="J56" s="1123"/>
      <c r="K56" s="1123"/>
      <c r="L56" s="1126"/>
      <c r="M56" s="1126"/>
      <c r="N56" s="1126"/>
      <c r="O56" s="1126"/>
      <c r="P56" s="1123"/>
      <c r="Q56" s="1116"/>
      <c r="R56" s="1126"/>
      <c r="S56" s="1126"/>
      <c r="T56" s="1126"/>
      <c r="U56" s="1126"/>
      <c r="V56" s="1124"/>
      <c r="W56" s="1103"/>
      <c r="X56" s="1082"/>
      <c r="Y56" s="1086"/>
      <c r="Z56" s="1082"/>
    </row>
    <row r="57" ht="20.25" customHeight="1">
      <c r="A57" s="1082"/>
      <c r="B57" s="1086"/>
      <c r="C57" s="1082"/>
      <c r="D57" s="1103"/>
      <c r="E57" s="1110"/>
      <c r="F57" s="1111" t="str">
        <f>IMAGE("https://raw.githubusercontent.com/msikma/pokesprite/master/items/hold-item/magnet.png",4,32,32)</f>
        <v/>
      </c>
      <c r="G57" s="1112" t="s">
        <v>1556</v>
      </c>
      <c r="H57" s="1113"/>
      <c r="I57" s="1114"/>
      <c r="J57" s="1115"/>
      <c r="K57" s="1116"/>
      <c r="L57" s="1117" t="str">
        <f>IMAGE("https://raw.githubusercontent.com/msikma/pokesprite/master/items/hold-item/shell-bell.png",4,32,32)</f>
        <v/>
      </c>
      <c r="M57" s="1118" t="s">
        <v>1557</v>
      </c>
      <c r="N57" s="1113"/>
      <c r="O57" s="1114"/>
      <c r="P57" s="1115"/>
      <c r="Q57" s="1116"/>
      <c r="R57" s="1127" t="str">
        <f>IMAGE("https://raw.githubusercontent.com/msikma/pokesprite/master/items/hold-item/cleanse-tag.png",4,32,32)</f>
        <v/>
      </c>
      <c r="S57" s="1128" t="s">
        <v>1558</v>
      </c>
      <c r="T57" s="1113"/>
      <c r="U57" s="1114"/>
      <c r="V57" s="1129"/>
      <c r="W57" s="1103"/>
      <c r="X57" s="1082"/>
      <c r="Y57" s="1086"/>
      <c r="Z57" s="1082"/>
    </row>
    <row r="58" ht="3.75" customHeight="1">
      <c r="A58" s="1082"/>
      <c r="B58" s="1086"/>
      <c r="C58" s="1082"/>
      <c r="D58" s="1103"/>
      <c r="E58" s="1130"/>
      <c r="F58" s="1131"/>
      <c r="G58" s="1131"/>
      <c r="H58" s="1131"/>
      <c r="I58" s="1131"/>
      <c r="J58" s="1132"/>
      <c r="K58" s="1132"/>
      <c r="L58" s="1131"/>
      <c r="M58" s="1131"/>
      <c r="N58" s="1131"/>
      <c r="O58" s="1131"/>
      <c r="P58" s="1132"/>
      <c r="Q58" s="1133"/>
      <c r="R58" s="1131"/>
      <c r="S58" s="1131"/>
      <c r="T58" s="1131"/>
      <c r="U58" s="1131"/>
      <c r="V58" s="1134"/>
      <c r="W58" s="1103"/>
      <c r="X58" s="1082"/>
      <c r="Y58" s="1086"/>
      <c r="Z58" s="1082"/>
    </row>
    <row r="59" ht="22.5" customHeight="1">
      <c r="A59" s="1082"/>
      <c r="B59" s="1086"/>
      <c r="C59" s="1082"/>
      <c r="D59" s="1090"/>
      <c r="E59" s="1135"/>
      <c r="F59" s="1135"/>
      <c r="G59" s="1135"/>
      <c r="H59" s="1135"/>
      <c r="I59" s="1135"/>
      <c r="J59" s="1135"/>
      <c r="K59" s="1135"/>
      <c r="L59" s="1135"/>
      <c r="M59" s="1135"/>
      <c r="N59" s="1135"/>
      <c r="O59" s="1135"/>
      <c r="P59" s="1135"/>
      <c r="Q59" s="1135"/>
      <c r="R59" s="1135"/>
      <c r="S59" s="1135"/>
      <c r="T59" s="1135"/>
      <c r="U59" s="1135"/>
      <c r="V59" s="1135"/>
      <c r="W59" s="1094"/>
      <c r="X59" s="1082"/>
      <c r="Y59" s="1086"/>
      <c r="Z59" s="1082"/>
    </row>
    <row r="60">
      <c r="A60" s="1082"/>
      <c r="B60" s="1086"/>
      <c r="C60" s="1082"/>
      <c r="D60" s="1103"/>
      <c r="E60" s="1104" t="s">
        <v>1559</v>
      </c>
      <c r="F60" s="1105"/>
      <c r="G60" s="1105"/>
      <c r="H60" s="1105"/>
      <c r="I60" s="1105"/>
      <c r="J60" s="1105"/>
      <c r="K60" s="1105"/>
      <c r="L60" s="1105"/>
      <c r="M60" s="1105"/>
      <c r="N60" s="1105"/>
      <c r="O60" s="1105"/>
      <c r="P60" s="1105"/>
      <c r="Q60" s="1105"/>
      <c r="R60" s="1105"/>
      <c r="S60" s="1105"/>
      <c r="T60" s="1105"/>
      <c r="U60" s="1105"/>
      <c r="V60" s="1106"/>
      <c r="W60" s="1103"/>
      <c r="X60" s="1082"/>
      <c r="Y60" s="1086"/>
      <c r="Z60" s="1082"/>
    </row>
    <row r="61" ht="3.75" customHeight="1">
      <c r="A61" s="1082"/>
      <c r="B61" s="1086"/>
      <c r="C61" s="1082"/>
      <c r="D61" s="1103"/>
      <c r="E61" s="1136"/>
      <c r="F61" s="1137"/>
      <c r="G61" s="1137"/>
      <c r="H61" s="1137"/>
      <c r="I61" s="1137"/>
      <c r="J61" s="1137"/>
      <c r="K61" s="1137"/>
      <c r="L61" s="1137"/>
      <c r="M61" s="1137"/>
      <c r="N61" s="1137"/>
      <c r="O61" s="1137"/>
      <c r="P61" s="1137"/>
      <c r="Q61" s="1137"/>
      <c r="R61" s="1137"/>
      <c r="S61" s="1137"/>
      <c r="T61" s="1137"/>
      <c r="U61" s="1137"/>
      <c r="V61" s="1138"/>
      <c r="W61" s="1103"/>
      <c r="X61" s="1082"/>
      <c r="Y61" s="1086"/>
      <c r="Z61" s="1082"/>
    </row>
    <row r="62" ht="20.25" customHeight="1">
      <c r="A62" s="1082"/>
      <c r="B62" s="1086"/>
      <c r="C62" s="1082"/>
      <c r="D62" s="1103"/>
      <c r="E62" s="1110"/>
      <c r="F62" s="1111" t="str">
        <f>Source!$AN$61</f>
        <v/>
      </c>
      <c r="G62" s="1112" t="s">
        <v>1560</v>
      </c>
      <c r="H62" s="1113"/>
      <c r="I62" s="1114"/>
      <c r="J62" s="1115"/>
      <c r="K62" s="1116"/>
      <c r="L62" s="1117" t="str">
        <f>Source!$AT$69</f>
        <v/>
      </c>
      <c r="M62" s="1118" t="s">
        <v>1561</v>
      </c>
      <c r="N62" s="1113"/>
      <c r="O62" s="1114"/>
      <c r="P62" s="1115"/>
      <c r="Q62" s="1116"/>
      <c r="R62" s="1111" t="str">
        <f>Source!$AT$55</f>
        <v/>
      </c>
      <c r="S62" s="1112" t="s">
        <v>1562</v>
      </c>
      <c r="T62" s="1113"/>
      <c r="U62" s="1119"/>
      <c r="V62" s="1120"/>
      <c r="W62" s="1103"/>
      <c r="X62" s="1082"/>
      <c r="Y62" s="1086"/>
      <c r="Z62" s="1082"/>
    </row>
    <row r="63" ht="2.25" customHeight="1">
      <c r="A63" s="1082"/>
      <c r="B63" s="1086"/>
      <c r="C63" s="1082"/>
      <c r="D63" s="1103"/>
      <c r="E63" s="1110"/>
      <c r="F63" s="1121"/>
      <c r="G63" s="1122"/>
      <c r="H63" s="1122"/>
      <c r="I63" s="1122"/>
      <c r="J63" s="1123"/>
      <c r="K63" s="1123"/>
      <c r="L63" s="1122"/>
      <c r="M63" s="1122"/>
      <c r="N63" s="1122"/>
      <c r="O63" s="1122"/>
      <c r="P63" s="1123"/>
      <c r="Q63" s="1116"/>
      <c r="R63" s="1122"/>
      <c r="S63" s="1122"/>
      <c r="T63" s="1122"/>
      <c r="U63" s="1122"/>
      <c r="V63" s="1124"/>
      <c r="W63" s="1103"/>
      <c r="X63" s="1082"/>
      <c r="Y63" s="1086"/>
      <c r="Z63" s="1082"/>
    </row>
    <row r="64" ht="2.25" customHeight="1">
      <c r="A64" s="1082"/>
      <c r="B64" s="1086"/>
      <c r="C64" s="1082"/>
      <c r="D64" s="1103"/>
      <c r="E64" s="1110"/>
      <c r="F64" s="1125"/>
      <c r="G64" s="1126"/>
      <c r="H64" s="1126"/>
      <c r="I64" s="1126"/>
      <c r="J64" s="1123"/>
      <c r="K64" s="1123"/>
      <c r="L64" s="1126"/>
      <c r="M64" s="1126"/>
      <c r="N64" s="1126"/>
      <c r="O64" s="1126"/>
      <c r="P64" s="1123"/>
      <c r="Q64" s="1116"/>
      <c r="R64" s="1126"/>
      <c r="S64" s="1126"/>
      <c r="T64" s="1126"/>
      <c r="U64" s="1126"/>
      <c r="V64" s="1124"/>
      <c r="W64" s="1103"/>
      <c r="X64" s="1082"/>
      <c r="Y64" s="1086"/>
      <c r="Z64" s="1082"/>
    </row>
    <row r="65" ht="20.25" customHeight="1">
      <c r="A65" s="1082"/>
      <c r="B65" s="1086"/>
      <c r="C65" s="1082"/>
      <c r="D65" s="1103"/>
      <c r="E65" s="1110"/>
      <c r="F65" s="1117" t="str">
        <f>Source!$AT$49</f>
        <v/>
      </c>
      <c r="G65" s="1118" t="s">
        <v>1563</v>
      </c>
      <c r="H65" s="1113"/>
      <c r="I65" s="1114"/>
      <c r="J65" s="1115"/>
      <c r="K65" s="1116"/>
      <c r="L65" s="1111" t="str">
        <f>Source!$AN$27</f>
        <v/>
      </c>
      <c r="M65" s="1112" t="s">
        <v>1564</v>
      </c>
      <c r="N65" s="1113"/>
      <c r="O65" s="1114"/>
      <c r="P65" s="1115"/>
      <c r="Q65" s="1116"/>
      <c r="R65" s="1117" t="str">
        <f>Source!$AN$11</f>
        <v/>
      </c>
      <c r="S65" s="1118" t="s">
        <v>1565</v>
      </c>
      <c r="T65" s="1113"/>
      <c r="U65" s="1114"/>
      <c r="V65" s="1120"/>
      <c r="W65" s="1103"/>
      <c r="X65" s="1082"/>
      <c r="Y65" s="1086"/>
      <c r="Z65" s="1082"/>
    </row>
    <row r="66" ht="2.25" customHeight="1">
      <c r="A66" s="1082"/>
      <c r="B66" s="1086"/>
      <c r="C66" s="1082"/>
      <c r="D66" s="1103"/>
      <c r="E66" s="1110"/>
      <c r="F66" s="1121"/>
      <c r="G66" s="1122"/>
      <c r="H66" s="1122"/>
      <c r="I66" s="1122"/>
      <c r="J66" s="1123"/>
      <c r="K66" s="1123"/>
      <c r="L66" s="1122"/>
      <c r="M66" s="1122"/>
      <c r="N66" s="1122"/>
      <c r="O66" s="1122"/>
      <c r="P66" s="1123"/>
      <c r="Q66" s="1116"/>
      <c r="R66" s="1122"/>
      <c r="S66" s="1122"/>
      <c r="T66" s="1122"/>
      <c r="U66" s="1122"/>
      <c r="V66" s="1124"/>
      <c r="W66" s="1103"/>
      <c r="X66" s="1082"/>
      <c r="Y66" s="1086"/>
      <c r="Z66" s="1082"/>
    </row>
    <row r="67" ht="2.25" customHeight="1">
      <c r="A67" s="1082"/>
      <c r="B67" s="1086"/>
      <c r="C67" s="1082"/>
      <c r="D67" s="1103"/>
      <c r="E67" s="1110"/>
      <c r="F67" s="1125"/>
      <c r="G67" s="1126"/>
      <c r="H67" s="1126"/>
      <c r="I67" s="1126"/>
      <c r="J67" s="1123"/>
      <c r="K67" s="1123"/>
      <c r="L67" s="1126"/>
      <c r="M67" s="1126"/>
      <c r="N67" s="1126"/>
      <c r="O67" s="1126"/>
      <c r="P67" s="1123"/>
      <c r="Q67" s="1116"/>
      <c r="R67" s="1123"/>
      <c r="S67" s="1123"/>
      <c r="T67" s="1123"/>
      <c r="U67" s="1123"/>
      <c r="V67" s="1124"/>
      <c r="W67" s="1103"/>
      <c r="X67" s="1082"/>
      <c r="Y67" s="1086"/>
      <c r="Z67" s="1082"/>
    </row>
    <row r="68" ht="20.25" customHeight="1">
      <c r="A68" s="1082"/>
      <c r="B68" s="1086"/>
      <c r="C68" s="1082"/>
      <c r="D68" s="1103"/>
      <c r="E68" s="1110"/>
      <c r="F68" s="1111" t="str">
        <f>Source!$AN$10</f>
        <v/>
      </c>
      <c r="G68" s="1112" t="s">
        <v>1566</v>
      </c>
      <c r="H68" s="1113"/>
      <c r="I68" s="1114"/>
      <c r="J68" s="1115"/>
      <c r="K68" s="1116"/>
      <c r="L68" s="1139" t="str">
        <f>Source!$AN$69</f>
        <v/>
      </c>
      <c r="M68" s="1140" t="s">
        <v>1567</v>
      </c>
      <c r="N68" s="1113"/>
      <c r="O68" s="1114"/>
      <c r="P68" s="1115"/>
      <c r="Q68" s="1123"/>
      <c r="R68" s="1087"/>
      <c r="S68" s="1088"/>
      <c r="T68" s="1088"/>
      <c r="U68" s="1088"/>
      <c r="V68" s="1088"/>
      <c r="W68" s="1103"/>
      <c r="X68" s="1082"/>
      <c r="Y68" s="1086"/>
      <c r="Z68" s="1082"/>
    </row>
    <row r="69" ht="3.75" customHeight="1">
      <c r="A69" s="1082"/>
      <c r="B69" s="1086"/>
      <c r="C69" s="1082"/>
      <c r="D69" s="1103"/>
      <c r="E69" s="1141"/>
      <c r="F69" s="1131"/>
      <c r="G69" s="1142"/>
      <c r="H69" s="1142"/>
      <c r="I69" s="1142"/>
      <c r="J69" s="1133"/>
      <c r="K69" s="1133"/>
      <c r="L69" s="1142"/>
      <c r="M69" s="1142"/>
      <c r="N69" s="1142"/>
      <c r="O69" s="1142"/>
      <c r="P69" s="1133"/>
      <c r="Q69" s="1133"/>
      <c r="R69" s="1101"/>
      <c r="S69" s="1101"/>
      <c r="T69" s="1101"/>
      <c r="U69" s="1101"/>
      <c r="V69" s="1101"/>
      <c r="W69" s="1103"/>
      <c r="X69" s="1082"/>
      <c r="Y69" s="1086"/>
      <c r="Z69" s="1082"/>
    </row>
    <row r="70" ht="22.5" customHeight="1">
      <c r="A70" s="1082"/>
      <c r="B70" s="1086"/>
      <c r="C70" s="1082"/>
      <c r="D70" s="1090"/>
      <c r="E70" s="1102"/>
      <c r="F70" s="1102"/>
      <c r="G70" s="1102"/>
      <c r="H70" s="1102"/>
      <c r="I70" s="1102"/>
      <c r="J70" s="1102"/>
      <c r="K70" s="1102"/>
      <c r="L70" s="1102"/>
      <c r="M70" s="1102"/>
      <c r="N70" s="1102"/>
      <c r="O70" s="1102"/>
      <c r="P70" s="1102"/>
      <c r="Q70" s="1102"/>
      <c r="R70" s="1102"/>
      <c r="S70" s="1102"/>
      <c r="T70" s="1102"/>
      <c r="U70" s="1102"/>
      <c r="V70" s="1102"/>
      <c r="W70" s="1094"/>
      <c r="X70" s="1082"/>
      <c r="Y70" s="1086"/>
      <c r="Z70" s="1082"/>
    </row>
    <row r="71">
      <c r="A71" s="1082"/>
      <c r="B71" s="1086"/>
      <c r="C71" s="1082"/>
      <c r="D71" s="1103"/>
      <c r="E71" s="1104" t="s">
        <v>1568</v>
      </c>
      <c r="F71" s="1105"/>
      <c r="G71" s="1105"/>
      <c r="H71" s="1105"/>
      <c r="I71" s="1105"/>
      <c r="J71" s="1105"/>
      <c r="K71" s="1105"/>
      <c r="L71" s="1105"/>
      <c r="M71" s="1105"/>
      <c r="N71" s="1105"/>
      <c r="O71" s="1105"/>
      <c r="P71" s="1105"/>
      <c r="Q71" s="1105"/>
      <c r="R71" s="1105"/>
      <c r="S71" s="1105"/>
      <c r="T71" s="1105"/>
      <c r="U71" s="1105"/>
      <c r="V71" s="1106"/>
      <c r="W71" s="1103"/>
      <c r="X71" s="1082"/>
      <c r="Y71" s="1086"/>
      <c r="Z71" s="1082"/>
    </row>
    <row r="72" ht="3.75" customHeight="1">
      <c r="A72" s="1082"/>
      <c r="B72" s="1086"/>
      <c r="C72" s="1082"/>
      <c r="D72" s="1103"/>
      <c r="E72" s="1143"/>
      <c r="F72" s="1137"/>
      <c r="G72" s="1137"/>
      <c r="H72" s="1137"/>
      <c r="I72" s="1137"/>
      <c r="J72" s="1121"/>
      <c r="K72" s="1121"/>
      <c r="L72" s="1137"/>
      <c r="M72" s="1137"/>
      <c r="N72" s="1137"/>
      <c r="O72" s="1137"/>
      <c r="P72" s="1121"/>
      <c r="Q72" s="1121"/>
      <c r="R72" s="1137"/>
      <c r="S72" s="1137"/>
      <c r="T72" s="1137"/>
      <c r="U72" s="1137"/>
      <c r="V72" s="1144"/>
      <c r="W72" s="1103"/>
      <c r="X72" s="1082"/>
      <c r="Y72" s="1086"/>
      <c r="Z72" s="1082"/>
    </row>
    <row r="73" ht="20.25" customHeight="1">
      <c r="A73" s="1082"/>
      <c r="B73" s="1086"/>
      <c r="C73" s="1082"/>
      <c r="D73" s="1103"/>
      <c r="E73" s="1145"/>
      <c r="F73" s="1111" t="str">
        <f>Source!$AT$9</f>
        <v/>
      </c>
      <c r="G73" s="1112" t="s">
        <v>1569</v>
      </c>
      <c r="H73" s="1113"/>
      <c r="I73" s="1114"/>
      <c r="J73" s="1115"/>
      <c r="K73" s="1116"/>
      <c r="L73" s="1117" t="str">
        <f>Source!$AT$12</f>
        <v/>
      </c>
      <c r="M73" s="1118" t="s">
        <v>1570</v>
      </c>
      <c r="N73" s="1113"/>
      <c r="O73" s="1114"/>
      <c r="P73" s="1115"/>
      <c r="Q73" s="1116"/>
      <c r="R73" s="1111" t="str">
        <f>Source!$AK$23</f>
        <v/>
      </c>
      <c r="S73" s="1112" t="s">
        <v>1571</v>
      </c>
      <c r="T73" s="1113"/>
      <c r="U73" s="1119"/>
      <c r="V73" s="1146"/>
      <c r="W73" s="1103"/>
      <c r="X73" s="1082"/>
      <c r="Y73" s="1086"/>
      <c r="Z73" s="1082"/>
    </row>
    <row r="74" ht="3.75" customHeight="1">
      <c r="A74" s="1082"/>
      <c r="B74" s="1086"/>
      <c r="C74" s="1082"/>
      <c r="D74" s="1103"/>
      <c r="E74" s="1147"/>
      <c r="F74" s="1131"/>
      <c r="G74" s="1131"/>
      <c r="H74" s="1131"/>
      <c r="I74" s="1131"/>
      <c r="J74" s="1132"/>
      <c r="K74" s="1132"/>
      <c r="L74" s="1131"/>
      <c r="M74" s="1131"/>
      <c r="N74" s="1131"/>
      <c r="O74" s="1131"/>
      <c r="P74" s="1132"/>
      <c r="Q74" s="1132"/>
      <c r="R74" s="1131"/>
      <c r="S74" s="1131"/>
      <c r="T74" s="1131"/>
      <c r="U74" s="1131"/>
      <c r="V74" s="1148"/>
      <c r="W74" s="1103"/>
      <c r="X74" s="1082"/>
      <c r="Y74" s="1086"/>
      <c r="Z74" s="1082"/>
    </row>
    <row r="75" ht="22.5" customHeight="1">
      <c r="A75" s="1082"/>
      <c r="B75" s="1086"/>
      <c r="C75" s="1082"/>
      <c r="D75" s="1090"/>
      <c r="E75" s="1135"/>
      <c r="F75" s="1135"/>
      <c r="G75" s="1135"/>
      <c r="H75" s="1135"/>
      <c r="I75" s="1135"/>
      <c r="J75" s="1135"/>
      <c r="K75" s="1135"/>
      <c r="L75" s="1135"/>
      <c r="M75" s="1135"/>
      <c r="N75" s="1135"/>
      <c r="O75" s="1135"/>
      <c r="P75" s="1135"/>
      <c r="Q75" s="1135"/>
      <c r="R75" s="1135"/>
      <c r="S75" s="1135"/>
      <c r="T75" s="1135"/>
      <c r="U75" s="1135"/>
      <c r="V75" s="1135"/>
      <c r="W75" s="1094"/>
      <c r="X75" s="1082"/>
      <c r="Y75" s="1086"/>
      <c r="Z75" s="1082"/>
    </row>
    <row r="76">
      <c r="A76" s="1082"/>
      <c r="B76" s="1086"/>
      <c r="C76" s="1082"/>
      <c r="D76" s="1103"/>
      <c r="E76" s="1104" t="s">
        <v>1572</v>
      </c>
      <c r="F76" s="1105"/>
      <c r="G76" s="1105"/>
      <c r="H76" s="1105"/>
      <c r="I76" s="1105"/>
      <c r="J76" s="1105"/>
      <c r="K76" s="1105"/>
      <c r="L76" s="1105"/>
      <c r="M76" s="1105"/>
      <c r="N76" s="1105"/>
      <c r="O76" s="1105"/>
      <c r="P76" s="1105"/>
      <c r="Q76" s="1105"/>
      <c r="R76" s="1105"/>
      <c r="S76" s="1105"/>
      <c r="T76" s="1105"/>
      <c r="U76" s="1105"/>
      <c r="V76" s="1106"/>
      <c r="W76" s="1103"/>
      <c r="X76" s="1082"/>
      <c r="Y76" s="1086"/>
      <c r="Z76" s="1082"/>
    </row>
    <row r="77" ht="3.75" customHeight="1">
      <c r="A77" s="1082"/>
      <c r="B77" s="1086"/>
      <c r="C77" s="1082"/>
      <c r="D77" s="1103"/>
      <c r="E77" s="1107"/>
      <c r="F77" s="1108"/>
      <c r="G77" s="1108"/>
      <c r="H77" s="1108"/>
      <c r="I77" s="1108"/>
      <c r="J77" s="1108"/>
      <c r="K77" s="1108"/>
      <c r="L77" s="1108"/>
      <c r="M77" s="1108"/>
      <c r="N77" s="1108"/>
      <c r="O77" s="1108"/>
      <c r="P77" s="1108"/>
      <c r="Q77" s="1108"/>
      <c r="R77" s="1108"/>
      <c r="S77" s="1108"/>
      <c r="T77" s="1108"/>
      <c r="U77" s="1108"/>
      <c r="V77" s="1109"/>
      <c r="W77" s="1103"/>
      <c r="X77" s="1082"/>
      <c r="Y77" s="1086"/>
      <c r="Z77" s="1082"/>
    </row>
    <row r="78" ht="20.25" customHeight="1">
      <c r="A78" s="1082"/>
      <c r="B78" s="1086"/>
      <c r="C78" s="1082"/>
      <c r="D78" s="1103"/>
      <c r="E78" s="1110"/>
      <c r="F78" s="1149" t="str">
        <f>Source!$AB$35</f>
        <v/>
      </c>
      <c r="G78" s="1150" t="s">
        <v>1573</v>
      </c>
      <c r="H78" s="1113"/>
      <c r="I78" s="1114"/>
      <c r="J78" s="1115"/>
      <c r="K78" s="1116"/>
      <c r="L78" s="1149" t="str">
        <f>Source!$AB$42</f>
        <v/>
      </c>
      <c r="M78" s="1150" t="s">
        <v>1574</v>
      </c>
      <c r="N78" s="1113"/>
      <c r="O78" s="1114"/>
      <c r="P78" s="1115"/>
      <c r="Q78" s="1116"/>
      <c r="R78" s="1149" t="str">
        <f>Source!$AB$9</f>
        <v/>
      </c>
      <c r="S78" s="1150" t="s">
        <v>1575</v>
      </c>
      <c r="T78" s="1113"/>
      <c r="U78" s="1114"/>
      <c r="V78" s="1120"/>
      <c r="W78" s="1103"/>
      <c r="X78" s="1082"/>
      <c r="Y78" s="1086"/>
      <c r="Z78" s="1082"/>
    </row>
    <row r="79" ht="2.25" customHeight="1">
      <c r="A79" s="1082"/>
      <c r="B79" s="1086"/>
      <c r="C79" s="1082"/>
      <c r="D79" s="1103"/>
      <c r="E79" s="1110"/>
      <c r="F79" s="1121"/>
      <c r="G79" s="1122"/>
      <c r="H79" s="1122"/>
      <c r="I79" s="1122"/>
      <c r="J79" s="1123"/>
      <c r="K79" s="1123"/>
      <c r="L79" s="1122"/>
      <c r="M79" s="1122"/>
      <c r="N79" s="1122"/>
      <c r="O79" s="1122"/>
      <c r="P79" s="1123"/>
      <c r="Q79" s="1123"/>
      <c r="R79" s="1122"/>
      <c r="S79" s="1122"/>
      <c r="T79" s="1122"/>
      <c r="U79" s="1122"/>
      <c r="V79" s="1124"/>
      <c r="W79" s="1103"/>
      <c r="X79" s="1082"/>
      <c r="Y79" s="1086"/>
      <c r="Z79" s="1082"/>
    </row>
    <row r="80" ht="2.25" customHeight="1">
      <c r="A80" s="1082"/>
      <c r="B80" s="1086"/>
      <c r="C80" s="1082"/>
      <c r="D80" s="1103"/>
      <c r="E80" s="1110"/>
      <c r="F80" s="1125"/>
      <c r="G80" s="1126"/>
      <c r="H80" s="1126"/>
      <c r="I80" s="1126"/>
      <c r="J80" s="1123"/>
      <c r="K80" s="1123"/>
      <c r="L80" s="1126"/>
      <c r="M80" s="1126"/>
      <c r="N80" s="1126"/>
      <c r="O80" s="1126"/>
      <c r="P80" s="1123"/>
      <c r="Q80" s="1123"/>
      <c r="R80" s="1126"/>
      <c r="S80" s="1126"/>
      <c r="T80" s="1126"/>
      <c r="U80" s="1126"/>
      <c r="V80" s="1124"/>
      <c r="W80" s="1103"/>
      <c r="X80" s="1082"/>
      <c r="Y80" s="1086"/>
      <c r="Z80" s="1082"/>
    </row>
    <row r="81" ht="20.25" customHeight="1">
      <c r="A81" s="1082"/>
      <c r="B81" s="1086"/>
      <c r="C81" s="1082"/>
      <c r="D81" s="1103"/>
      <c r="E81" s="1110"/>
      <c r="F81" s="1149" t="str">
        <f>Source!$AB$53</f>
        <v/>
      </c>
      <c r="G81" s="1150" t="s">
        <v>1576</v>
      </c>
      <c r="H81" s="1113"/>
      <c r="I81" s="1114"/>
      <c r="J81" s="1115"/>
      <c r="K81" s="1116"/>
      <c r="L81" s="1139" t="str">
        <f>Source!$AN$97</f>
        <v/>
      </c>
      <c r="M81" s="1140" t="s">
        <v>1577</v>
      </c>
      <c r="N81" s="1113"/>
      <c r="O81" s="1114"/>
      <c r="P81" s="1115"/>
      <c r="Q81" s="1116"/>
      <c r="R81" s="1117" t="str">
        <f>Source!$AB$5</f>
        <v/>
      </c>
      <c r="S81" s="1151" t="s">
        <v>1578</v>
      </c>
      <c r="T81" s="1113"/>
      <c r="U81" s="1114"/>
      <c r="V81" s="1120"/>
      <c r="W81" s="1103"/>
      <c r="X81" s="1082"/>
      <c r="Y81" s="1086"/>
      <c r="Z81" s="1082"/>
    </row>
    <row r="82" ht="2.25" customHeight="1">
      <c r="A82" s="1082"/>
      <c r="B82" s="1086"/>
      <c r="C82" s="1082"/>
      <c r="D82" s="1103"/>
      <c r="E82" s="1110"/>
      <c r="F82" s="1121"/>
      <c r="G82" s="1122"/>
      <c r="H82" s="1122"/>
      <c r="I82" s="1122"/>
      <c r="J82" s="1123"/>
      <c r="K82" s="1123"/>
      <c r="L82" s="1122"/>
      <c r="M82" s="1122"/>
      <c r="N82" s="1122"/>
      <c r="O82" s="1122"/>
      <c r="P82" s="1123"/>
      <c r="Q82" s="1123"/>
      <c r="R82" s="1122"/>
      <c r="S82" s="1122"/>
      <c r="T82" s="1122"/>
      <c r="U82" s="1122"/>
      <c r="V82" s="1124"/>
      <c r="W82" s="1103"/>
      <c r="X82" s="1082"/>
      <c r="Y82" s="1086"/>
      <c r="Z82" s="1082"/>
    </row>
    <row r="83" ht="2.25" customHeight="1">
      <c r="A83" s="1082"/>
      <c r="B83" s="1086"/>
      <c r="C83" s="1082"/>
      <c r="D83" s="1103"/>
      <c r="E83" s="1110"/>
      <c r="F83" s="1125"/>
      <c r="G83" s="1126"/>
      <c r="H83" s="1126"/>
      <c r="I83" s="1126"/>
      <c r="J83" s="1123"/>
      <c r="K83" s="1123"/>
      <c r="L83" s="1126"/>
      <c r="M83" s="1126"/>
      <c r="N83" s="1126"/>
      <c r="O83" s="1126"/>
      <c r="P83" s="1123"/>
      <c r="Q83" s="1123"/>
      <c r="R83" s="1126"/>
      <c r="S83" s="1126"/>
      <c r="T83" s="1126"/>
      <c r="U83" s="1126"/>
      <c r="V83" s="1124"/>
      <c r="W83" s="1103"/>
      <c r="X83" s="1082"/>
      <c r="Y83" s="1086"/>
      <c r="Z83" s="1082"/>
    </row>
    <row r="84" ht="20.25" customHeight="1">
      <c r="A84" s="1082"/>
      <c r="B84" s="1086"/>
      <c r="C84" s="1082"/>
      <c r="D84" s="1103"/>
      <c r="E84" s="1110"/>
      <c r="F84" s="1111" t="str">
        <f>Source!$AT$10</f>
        <v/>
      </c>
      <c r="G84" s="1128" t="s">
        <v>1579</v>
      </c>
      <c r="H84" s="1113"/>
      <c r="I84" s="1114"/>
      <c r="J84" s="1115"/>
      <c r="K84" s="1116"/>
      <c r="L84" s="1117" t="str">
        <f>Source!$AB$15</f>
        <v/>
      </c>
      <c r="M84" s="1151" t="s">
        <v>1580</v>
      </c>
      <c r="N84" s="1113"/>
      <c r="O84" s="1114"/>
      <c r="P84" s="1115"/>
      <c r="Q84" s="1116"/>
      <c r="R84" s="1111" t="str">
        <f>Source!$Y$12</f>
        <v/>
      </c>
      <c r="S84" s="1128" t="s">
        <v>1581</v>
      </c>
      <c r="T84" s="1113"/>
      <c r="U84" s="1114"/>
      <c r="V84" s="1120"/>
      <c r="W84" s="1103"/>
      <c r="X84" s="1082"/>
      <c r="Y84" s="1086"/>
      <c r="Z84" s="1082"/>
    </row>
    <row r="85" ht="2.25" customHeight="1">
      <c r="A85" s="1082"/>
      <c r="B85" s="1086"/>
      <c r="C85" s="1082"/>
      <c r="D85" s="1103"/>
      <c r="E85" s="1110"/>
      <c r="F85" s="1121"/>
      <c r="G85" s="1122"/>
      <c r="H85" s="1122"/>
      <c r="I85" s="1122"/>
      <c r="J85" s="1123"/>
      <c r="K85" s="1123"/>
      <c r="L85" s="1122"/>
      <c r="M85" s="1122"/>
      <c r="N85" s="1122"/>
      <c r="O85" s="1122"/>
      <c r="P85" s="1123"/>
      <c r="Q85" s="1123"/>
      <c r="R85" s="1122"/>
      <c r="S85" s="1122"/>
      <c r="T85" s="1122"/>
      <c r="U85" s="1122"/>
      <c r="V85" s="1124"/>
      <c r="W85" s="1103"/>
      <c r="X85" s="1082"/>
      <c r="Y85" s="1086"/>
      <c r="Z85" s="1082"/>
    </row>
    <row r="86" ht="2.25" customHeight="1">
      <c r="A86" s="1082"/>
      <c r="B86" s="1086"/>
      <c r="C86" s="1082"/>
      <c r="D86" s="1103"/>
      <c r="E86" s="1110"/>
      <c r="F86" s="1125"/>
      <c r="G86" s="1126"/>
      <c r="H86" s="1126"/>
      <c r="I86" s="1126"/>
      <c r="J86" s="1123"/>
      <c r="K86" s="1123"/>
      <c r="L86" s="1126"/>
      <c r="M86" s="1126"/>
      <c r="N86" s="1126"/>
      <c r="O86" s="1126"/>
      <c r="P86" s="1123"/>
      <c r="Q86" s="1123"/>
      <c r="R86" s="1126"/>
      <c r="S86" s="1126"/>
      <c r="T86" s="1126"/>
      <c r="U86" s="1126"/>
      <c r="V86" s="1124"/>
      <c r="W86" s="1103"/>
      <c r="X86" s="1082"/>
      <c r="Y86" s="1086"/>
      <c r="Z86" s="1082"/>
    </row>
    <row r="87" ht="20.25" customHeight="1">
      <c r="A87" s="1082"/>
      <c r="B87" s="1086"/>
      <c r="C87" s="1082"/>
      <c r="D87" s="1103"/>
      <c r="E87" s="1110"/>
      <c r="F87" s="1117" t="str">
        <f>Source!$AT$34</f>
        <v/>
      </c>
      <c r="G87" s="1151" t="s">
        <v>1582</v>
      </c>
      <c r="H87" s="1113"/>
      <c r="I87" s="1114"/>
      <c r="J87" s="1115"/>
      <c r="K87" s="1116"/>
      <c r="L87" s="1111" t="str">
        <f>Source!$AN$52</f>
        <v/>
      </c>
      <c r="M87" s="1128" t="s">
        <v>1583</v>
      </c>
      <c r="N87" s="1113"/>
      <c r="O87" s="1114"/>
      <c r="P87" s="1115"/>
      <c r="Q87" s="1116"/>
      <c r="R87" s="1117" t="str">
        <f>Source!$AB$41</f>
        <v/>
      </c>
      <c r="S87" s="1151" t="s">
        <v>1584</v>
      </c>
      <c r="T87" s="1113"/>
      <c r="U87" s="1114"/>
      <c r="V87" s="1120"/>
      <c r="W87" s="1103"/>
      <c r="X87" s="1082"/>
      <c r="Y87" s="1086"/>
      <c r="Z87" s="1082"/>
    </row>
    <row r="88" ht="2.25" customHeight="1">
      <c r="A88" s="1082"/>
      <c r="B88" s="1086"/>
      <c r="C88" s="1082"/>
      <c r="D88" s="1103"/>
      <c r="E88" s="1110"/>
      <c r="F88" s="1121"/>
      <c r="G88" s="1122"/>
      <c r="H88" s="1122"/>
      <c r="I88" s="1122"/>
      <c r="J88" s="1123"/>
      <c r="K88" s="1123"/>
      <c r="L88" s="1122"/>
      <c r="M88" s="1122"/>
      <c r="N88" s="1122"/>
      <c r="O88" s="1122"/>
      <c r="P88" s="1123"/>
      <c r="Q88" s="1123"/>
      <c r="R88" s="1122"/>
      <c r="S88" s="1122"/>
      <c r="T88" s="1122"/>
      <c r="U88" s="1122"/>
      <c r="V88" s="1124"/>
      <c r="W88" s="1103"/>
      <c r="X88" s="1082"/>
      <c r="Y88" s="1086"/>
      <c r="Z88" s="1082"/>
    </row>
    <row r="89" ht="2.25" customHeight="1">
      <c r="A89" s="1082"/>
      <c r="B89" s="1086"/>
      <c r="C89" s="1082"/>
      <c r="D89" s="1103"/>
      <c r="E89" s="1110"/>
      <c r="F89" s="1125"/>
      <c r="G89" s="1126"/>
      <c r="H89" s="1126"/>
      <c r="I89" s="1126"/>
      <c r="J89" s="1123"/>
      <c r="K89" s="1123"/>
      <c r="L89" s="1126"/>
      <c r="M89" s="1126"/>
      <c r="N89" s="1126"/>
      <c r="O89" s="1126"/>
      <c r="P89" s="1123"/>
      <c r="Q89" s="1123"/>
      <c r="R89" s="1126"/>
      <c r="S89" s="1126"/>
      <c r="T89" s="1126"/>
      <c r="U89" s="1126"/>
      <c r="V89" s="1124"/>
      <c r="W89" s="1103"/>
      <c r="X89" s="1082"/>
      <c r="Y89" s="1086"/>
      <c r="Z89" s="1082"/>
    </row>
    <row r="90" ht="20.25" customHeight="1">
      <c r="A90" s="1082"/>
      <c r="B90" s="1086"/>
      <c r="C90" s="1082"/>
      <c r="D90" s="1103"/>
      <c r="E90" s="1110"/>
      <c r="F90" s="1111" t="str">
        <f>Source!$AT$65</f>
        <v/>
      </c>
      <c r="G90" s="1128" t="s">
        <v>1585</v>
      </c>
      <c r="H90" s="1113"/>
      <c r="I90" s="1114"/>
      <c r="J90" s="1115"/>
      <c r="K90" s="1116"/>
      <c r="L90" s="1117" t="str">
        <f>Source!$AH$23</f>
        <v/>
      </c>
      <c r="M90" s="1151" t="s">
        <v>1586</v>
      </c>
      <c r="N90" s="1113"/>
      <c r="O90" s="1114"/>
      <c r="P90" s="1115"/>
      <c r="Q90" s="1116"/>
      <c r="R90" s="1111" t="str">
        <f>Source!$AN$45</f>
        <v/>
      </c>
      <c r="S90" s="1128" t="s">
        <v>1587</v>
      </c>
      <c r="T90" s="1113"/>
      <c r="U90" s="1114"/>
      <c r="V90" s="1120"/>
      <c r="W90" s="1103"/>
      <c r="X90" s="1082"/>
      <c r="Y90" s="1086"/>
      <c r="Z90" s="1082"/>
    </row>
    <row r="91" ht="3.75" customHeight="1">
      <c r="A91" s="1082"/>
      <c r="B91" s="1086"/>
      <c r="C91" s="1082"/>
      <c r="D91" s="1103"/>
      <c r="E91" s="1147"/>
      <c r="F91" s="1131"/>
      <c r="G91" s="1131"/>
      <c r="H91" s="1131"/>
      <c r="I91" s="1131"/>
      <c r="J91" s="1132"/>
      <c r="K91" s="1132"/>
      <c r="L91" s="1131"/>
      <c r="M91" s="1131"/>
      <c r="N91" s="1131"/>
      <c r="O91" s="1131"/>
      <c r="P91" s="1132"/>
      <c r="Q91" s="1132"/>
      <c r="R91" s="1131"/>
      <c r="S91" s="1131"/>
      <c r="T91" s="1131"/>
      <c r="U91" s="1131"/>
      <c r="V91" s="1152"/>
      <c r="W91" s="1103"/>
      <c r="X91" s="1082"/>
      <c r="Y91" s="1086"/>
      <c r="Z91" s="1082"/>
    </row>
    <row r="92" ht="22.5" customHeight="1">
      <c r="A92" s="1082"/>
      <c r="B92" s="1086"/>
      <c r="C92" s="1082"/>
      <c r="D92" s="1090"/>
      <c r="E92" s="1135"/>
      <c r="F92" s="1135"/>
      <c r="G92" s="1135"/>
      <c r="H92" s="1135"/>
      <c r="I92" s="1135"/>
      <c r="J92" s="1135"/>
      <c r="K92" s="1135"/>
      <c r="L92" s="1135"/>
      <c r="M92" s="1135"/>
      <c r="N92" s="1135"/>
      <c r="O92" s="1135"/>
      <c r="P92" s="1135"/>
      <c r="Q92" s="1135"/>
      <c r="R92" s="1135"/>
      <c r="S92" s="1135"/>
      <c r="T92" s="1135"/>
      <c r="U92" s="1135"/>
      <c r="V92" s="1135"/>
      <c r="W92" s="1094"/>
      <c r="X92" s="1082"/>
      <c r="Y92" s="1086"/>
      <c r="Z92" s="1082"/>
    </row>
    <row r="93">
      <c r="A93" s="1082"/>
      <c r="B93" s="1086"/>
      <c r="C93" s="1082"/>
      <c r="D93" s="1103"/>
      <c r="E93" s="1104" t="s">
        <v>1588</v>
      </c>
      <c r="F93" s="1105"/>
      <c r="G93" s="1105"/>
      <c r="H93" s="1105"/>
      <c r="I93" s="1105"/>
      <c r="J93" s="1105"/>
      <c r="K93" s="1105"/>
      <c r="L93" s="1105"/>
      <c r="M93" s="1105"/>
      <c r="N93" s="1105"/>
      <c r="O93" s="1105"/>
      <c r="P93" s="1105"/>
      <c r="Q93" s="1105"/>
      <c r="R93" s="1105"/>
      <c r="S93" s="1105"/>
      <c r="T93" s="1105"/>
      <c r="U93" s="1105"/>
      <c r="V93" s="1106"/>
      <c r="W93" s="1103"/>
      <c r="X93" s="1082"/>
      <c r="Y93" s="1086"/>
      <c r="Z93" s="1082"/>
    </row>
    <row r="94" ht="3.75" customHeight="1">
      <c r="A94" s="1082"/>
      <c r="B94" s="1086"/>
      <c r="C94" s="1082"/>
      <c r="D94" s="1103"/>
      <c r="E94" s="1107"/>
      <c r="F94" s="1108"/>
      <c r="G94" s="1108"/>
      <c r="H94" s="1108"/>
      <c r="I94" s="1108"/>
      <c r="J94" s="1108"/>
      <c r="K94" s="1108"/>
      <c r="L94" s="1108"/>
      <c r="M94" s="1108"/>
      <c r="N94" s="1108"/>
      <c r="O94" s="1108"/>
      <c r="P94" s="1108"/>
      <c r="Q94" s="1108"/>
      <c r="R94" s="1108"/>
      <c r="S94" s="1108"/>
      <c r="T94" s="1108"/>
      <c r="U94" s="1108"/>
      <c r="V94" s="1109"/>
      <c r="W94" s="1103"/>
      <c r="X94" s="1082"/>
      <c r="Y94" s="1086"/>
      <c r="Z94" s="1082"/>
    </row>
    <row r="95" ht="20.25" customHeight="1">
      <c r="A95" s="1082"/>
      <c r="B95" s="1086"/>
      <c r="C95" s="1082"/>
      <c r="D95" s="1103"/>
      <c r="E95" s="1110"/>
      <c r="F95" s="1149" t="str">
        <f>Source!$AB$9</f>
        <v/>
      </c>
      <c r="G95" s="1150" t="s">
        <v>1575</v>
      </c>
      <c r="H95" s="1113"/>
      <c r="I95" s="1114"/>
      <c r="J95" s="1115"/>
      <c r="K95" s="1116"/>
      <c r="L95" s="1149" t="str">
        <f>Source!$AB$53</f>
        <v/>
      </c>
      <c r="M95" s="1150" t="s">
        <v>1576</v>
      </c>
      <c r="N95" s="1113"/>
      <c r="O95" s="1114"/>
      <c r="P95" s="1115"/>
      <c r="Q95" s="1116"/>
      <c r="R95" s="1149" t="str">
        <f>Source!$AB$8</f>
        <v/>
      </c>
      <c r="S95" s="1150" t="s">
        <v>1589</v>
      </c>
      <c r="T95" s="1113"/>
      <c r="U95" s="1114"/>
      <c r="V95" s="1120"/>
      <c r="W95" s="1103"/>
      <c r="X95" s="1082"/>
      <c r="Y95" s="1086"/>
      <c r="Z95" s="1082"/>
    </row>
    <row r="96" ht="2.25" customHeight="1">
      <c r="A96" s="1082"/>
      <c r="B96" s="1086"/>
      <c r="C96" s="1082"/>
      <c r="D96" s="1103"/>
      <c r="E96" s="1110"/>
      <c r="F96" s="1121"/>
      <c r="G96" s="1122"/>
      <c r="H96" s="1122"/>
      <c r="I96" s="1122"/>
      <c r="J96" s="1123"/>
      <c r="K96" s="1123"/>
      <c r="L96" s="1122"/>
      <c r="M96" s="1122"/>
      <c r="N96" s="1122"/>
      <c r="O96" s="1122"/>
      <c r="P96" s="1123"/>
      <c r="Q96" s="1123"/>
      <c r="R96" s="1122"/>
      <c r="S96" s="1122"/>
      <c r="T96" s="1122"/>
      <c r="U96" s="1122"/>
      <c r="V96" s="1124"/>
      <c r="W96" s="1103"/>
      <c r="X96" s="1082"/>
      <c r="Y96" s="1086"/>
      <c r="Z96" s="1082"/>
    </row>
    <row r="97" ht="2.25" customHeight="1">
      <c r="A97" s="1082"/>
      <c r="B97" s="1086"/>
      <c r="C97" s="1082"/>
      <c r="D97" s="1103"/>
      <c r="E97" s="1110"/>
      <c r="F97" s="1125"/>
      <c r="G97" s="1126"/>
      <c r="H97" s="1126"/>
      <c r="I97" s="1126"/>
      <c r="J97" s="1123"/>
      <c r="K97" s="1123"/>
      <c r="L97" s="1126"/>
      <c r="M97" s="1126"/>
      <c r="N97" s="1126"/>
      <c r="O97" s="1126"/>
      <c r="P97" s="1123"/>
      <c r="Q97" s="1123"/>
      <c r="R97" s="1126"/>
      <c r="S97" s="1126"/>
      <c r="T97" s="1126"/>
      <c r="U97" s="1126"/>
      <c r="V97" s="1124"/>
      <c r="W97" s="1103"/>
      <c r="X97" s="1082"/>
      <c r="Y97" s="1086"/>
      <c r="Z97" s="1082"/>
    </row>
    <row r="98" ht="20.25" customHeight="1">
      <c r="A98" s="1082"/>
      <c r="B98" s="1086"/>
      <c r="C98" s="1082"/>
      <c r="D98" s="1103"/>
      <c r="E98" s="1110"/>
      <c r="F98" s="1149" t="str">
        <f>Source!$AB$19</f>
        <v/>
      </c>
      <c r="G98" s="1150" t="s">
        <v>1590</v>
      </c>
      <c r="H98" s="1113"/>
      <c r="I98" s="1114"/>
      <c r="J98" s="1115"/>
      <c r="K98" s="1116"/>
      <c r="L98" s="1139" t="str">
        <f>Source!$AN$42</f>
        <v/>
      </c>
      <c r="M98" s="1140" t="s">
        <v>1591</v>
      </c>
      <c r="N98" s="1113"/>
      <c r="O98" s="1114"/>
      <c r="P98" s="1115"/>
      <c r="Q98" s="1116"/>
      <c r="R98" s="1117" t="str">
        <f>Source!$AH$22</f>
        <v/>
      </c>
      <c r="S98" s="1151" t="s">
        <v>1592</v>
      </c>
      <c r="T98" s="1113"/>
      <c r="U98" s="1114"/>
      <c r="V98" s="1120"/>
      <c r="W98" s="1103"/>
      <c r="X98" s="1082"/>
      <c r="Y98" s="1086"/>
      <c r="Z98" s="1082"/>
    </row>
    <row r="99" ht="2.25" customHeight="1">
      <c r="A99" s="1082"/>
      <c r="B99" s="1086"/>
      <c r="C99" s="1082"/>
      <c r="D99" s="1103"/>
      <c r="E99" s="1110"/>
      <c r="F99" s="1121"/>
      <c r="G99" s="1122"/>
      <c r="H99" s="1122"/>
      <c r="I99" s="1122"/>
      <c r="J99" s="1123"/>
      <c r="K99" s="1123"/>
      <c r="L99" s="1122"/>
      <c r="M99" s="1122"/>
      <c r="N99" s="1122"/>
      <c r="O99" s="1122"/>
      <c r="P99" s="1123"/>
      <c r="Q99" s="1123"/>
      <c r="R99" s="1122"/>
      <c r="S99" s="1122"/>
      <c r="T99" s="1122"/>
      <c r="U99" s="1122"/>
      <c r="V99" s="1124"/>
      <c r="W99" s="1103"/>
      <c r="X99" s="1082"/>
      <c r="Y99" s="1086"/>
      <c r="Z99" s="1082"/>
    </row>
    <row r="100" ht="2.25" customHeight="1">
      <c r="A100" s="1082"/>
      <c r="B100" s="1086"/>
      <c r="C100" s="1082"/>
      <c r="D100" s="1103"/>
      <c r="E100" s="1110"/>
      <c r="F100" s="1125"/>
      <c r="G100" s="1126"/>
      <c r="H100" s="1126"/>
      <c r="I100" s="1126"/>
      <c r="J100" s="1123"/>
      <c r="K100" s="1123"/>
      <c r="L100" s="1126"/>
      <c r="M100" s="1126"/>
      <c r="N100" s="1126"/>
      <c r="O100" s="1126"/>
      <c r="P100" s="1123"/>
      <c r="Q100" s="1116"/>
      <c r="R100" s="1123"/>
      <c r="S100" s="1123"/>
      <c r="T100" s="1123"/>
      <c r="U100" s="1123"/>
      <c r="V100" s="1124"/>
      <c r="W100" s="1103"/>
      <c r="X100" s="1082"/>
      <c r="Y100" s="1086"/>
      <c r="Z100" s="1082"/>
    </row>
    <row r="101" ht="20.25" customHeight="1">
      <c r="A101" s="1082"/>
      <c r="B101" s="1086"/>
      <c r="C101" s="1082"/>
      <c r="D101" s="1103"/>
      <c r="E101" s="1110"/>
      <c r="F101" s="1111" t="str">
        <f>Source!$AT$14</f>
        <v/>
      </c>
      <c r="G101" s="1128" t="s">
        <v>1593</v>
      </c>
      <c r="H101" s="1113"/>
      <c r="I101" s="1114"/>
      <c r="J101" s="1115"/>
      <c r="K101" s="1116"/>
      <c r="L101" s="1117" t="str">
        <f>Source!$AN$103</f>
        <v/>
      </c>
      <c r="M101" s="1151" t="s">
        <v>1594</v>
      </c>
      <c r="N101" s="1113"/>
      <c r="O101" s="1114"/>
      <c r="P101" s="1115"/>
      <c r="Q101" s="1123"/>
      <c r="R101" s="1087"/>
      <c r="S101" s="1088"/>
      <c r="T101" s="1088"/>
      <c r="U101" s="1088"/>
      <c r="V101" s="1088"/>
      <c r="W101" s="1103"/>
      <c r="X101" s="1082"/>
      <c r="Y101" s="1086"/>
      <c r="Z101" s="1082"/>
    </row>
    <row r="102" ht="3.75" customHeight="1">
      <c r="A102" s="1082"/>
      <c r="B102" s="1086"/>
      <c r="C102" s="1082"/>
      <c r="D102" s="1103"/>
      <c r="E102" s="1147"/>
      <c r="F102" s="1131"/>
      <c r="G102" s="1131"/>
      <c r="H102" s="1131"/>
      <c r="I102" s="1131"/>
      <c r="J102" s="1132"/>
      <c r="K102" s="1132"/>
      <c r="L102" s="1131"/>
      <c r="M102" s="1131"/>
      <c r="N102" s="1131"/>
      <c r="O102" s="1131"/>
      <c r="P102" s="1132"/>
      <c r="Q102" s="1133"/>
      <c r="R102" s="1101"/>
      <c r="S102" s="1101"/>
      <c r="T102" s="1101"/>
      <c r="U102" s="1101"/>
      <c r="V102" s="1101"/>
      <c r="W102" s="1103"/>
      <c r="X102" s="1082"/>
      <c r="Y102" s="1086"/>
      <c r="Z102" s="1082"/>
    </row>
    <row r="103" ht="22.5" customHeight="1">
      <c r="A103" s="1082"/>
      <c r="B103" s="1086"/>
      <c r="C103" s="1082"/>
      <c r="D103" s="1090"/>
      <c r="E103" s="1135"/>
      <c r="F103" s="1135"/>
      <c r="G103" s="1135"/>
      <c r="H103" s="1135"/>
      <c r="I103" s="1135"/>
      <c r="J103" s="1135"/>
      <c r="K103" s="1135"/>
      <c r="L103" s="1135"/>
      <c r="M103" s="1135"/>
      <c r="N103" s="1135"/>
      <c r="O103" s="1135"/>
      <c r="P103" s="1135"/>
      <c r="Q103" s="1135"/>
      <c r="R103" s="1135"/>
      <c r="S103" s="1135"/>
      <c r="T103" s="1135"/>
      <c r="U103" s="1135"/>
      <c r="V103" s="1135"/>
      <c r="W103" s="1094"/>
      <c r="X103" s="1082"/>
      <c r="Y103" s="1086"/>
      <c r="Z103" s="1082"/>
    </row>
    <row r="104">
      <c r="A104" s="1082"/>
      <c r="B104" s="1086"/>
      <c r="C104" s="1082"/>
      <c r="D104" s="1103"/>
      <c r="E104" s="1104" t="s">
        <v>1595</v>
      </c>
      <c r="F104" s="1105"/>
      <c r="G104" s="1105"/>
      <c r="H104" s="1105"/>
      <c r="I104" s="1105"/>
      <c r="J104" s="1105"/>
      <c r="K104" s="1105"/>
      <c r="L104" s="1105"/>
      <c r="M104" s="1105"/>
      <c r="N104" s="1105"/>
      <c r="O104" s="1105"/>
      <c r="P104" s="1105"/>
      <c r="Q104" s="1105"/>
      <c r="R104" s="1105"/>
      <c r="S104" s="1105"/>
      <c r="T104" s="1105"/>
      <c r="U104" s="1105"/>
      <c r="V104" s="1106"/>
      <c r="W104" s="1103"/>
      <c r="X104" s="1082"/>
      <c r="Y104" s="1086"/>
      <c r="Z104" s="1082"/>
    </row>
    <row r="105" ht="3.75" customHeight="1">
      <c r="A105" s="1082"/>
      <c r="B105" s="1086"/>
      <c r="C105" s="1082"/>
      <c r="D105" s="1103"/>
      <c r="E105" s="1107"/>
      <c r="F105" s="1108"/>
      <c r="G105" s="1108"/>
      <c r="H105" s="1108"/>
      <c r="I105" s="1108"/>
      <c r="J105" s="1108"/>
      <c r="K105" s="1108"/>
      <c r="L105" s="1108"/>
      <c r="M105" s="1108"/>
      <c r="N105" s="1108"/>
      <c r="O105" s="1108"/>
      <c r="P105" s="1108"/>
      <c r="Q105" s="1108"/>
      <c r="R105" s="1108"/>
      <c r="S105" s="1108"/>
      <c r="T105" s="1108"/>
      <c r="U105" s="1108"/>
      <c r="V105" s="1109"/>
      <c r="W105" s="1103"/>
      <c r="X105" s="1082"/>
      <c r="Y105" s="1086"/>
      <c r="Z105" s="1082"/>
    </row>
    <row r="106" ht="20.25" customHeight="1">
      <c r="A106" s="1082"/>
      <c r="B106" s="1086"/>
      <c r="C106" s="1082"/>
      <c r="D106" s="1103"/>
      <c r="E106" s="1110"/>
      <c r="F106" s="1149" t="str">
        <f>Source!$AB$21</f>
        <v/>
      </c>
      <c r="G106" s="1150" t="s">
        <v>1596</v>
      </c>
      <c r="H106" s="1113"/>
      <c r="I106" s="1114"/>
      <c r="J106" s="1115"/>
      <c r="K106" s="1116"/>
      <c r="L106" s="1149" t="str">
        <f>Source!$AB$22</f>
        <v/>
      </c>
      <c r="M106" s="1150" t="s">
        <v>1597</v>
      </c>
      <c r="N106" s="1113"/>
      <c r="O106" s="1114"/>
      <c r="P106" s="1115"/>
      <c r="Q106" s="1116"/>
      <c r="R106" s="1111" t="str">
        <f>Source!$CD$14</f>
        <v/>
      </c>
      <c r="S106" s="1128" t="s">
        <v>1598</v>
      </c>
      <c r="T106" s="1113"/>
      <c r="U106" s="1119"/>
      <c r="V106" s="1120"/>
      <c r="W106" s="1103"/>
      <c r="X106" s="1082"/>
      <c r="Y106" s="1086"/>
      <c r="Z106" s="1082"/>
    </row>
    <row r="107" ht="2.25" customHeight="1">
      <c r="A107" s="1082"/>
      <c r="B107" s="1086"/>
      <c r="C107" s="1082"/>
      <c r="D107" s="1103"/>
      <c r="E107" s="1110"/>
      <c r="F107" s="1121"/>
      <c r="G107" s="1122"/>
      <c r="H107" s="1122"/>
      <c r="I107" s="1122"/>
      <c r="J107" s="1123"/>
      <c r="K107" s="1123"/>
      <c r="L107" s="1122"/>
      <c r="M107" s="1122"/>
      <c r="N107" s="1122"/>
      <c r="O107" s="1122"/>
      <c r="P107" s="1123"/>
      <c r="Q107" s="1123"/>
      <c r="R107" s="1122"/>
      <c r="S107" s="1122"/>
      <c r="T107" s="1122"/>
      <c r="U107" s="1122"/>
      <c r="V107" s="1124"/>
      <c r="W107" s="1103"/>
      <c r="X107" s="1082"/>
      <c r="Y107" s="1086"/>
      <c r="Z107" s="1082"/>
    </row>
    <row r="108" ht="2.25" customHeight="1">
      <c r="A108" s="1082"/>
      <c r="B108" s="1086"/>
      <c r="C108" s="1082"/>
      <c r="D108" s="1103"/>
      <c r="E108" s="1110"/>
      <c r="F108" s="1125"/>
      <c r="G108" s="1126"/>
      <c r="H108" s="1126"/>
      <c r="I108" s="1126"/>
      <c r="J108" s="1123"/>
      <c r="K108" s="1123"/>
      <c r="L108" s="1126"/>
      <c r="M108" s="1126"/>
      <c r="N108" s="1126"/>
      <c r="O108" s="1126"/>
      <c r="P108" s="1123"/>
      <c r="Q108" s="1116"/>
      <c r="R108" s="1123"/>
      <c r="S108" s="1123"/>
      <c r="T108" s="1123"/>
      <c r="U108" s="1123"/>
      <c r="V108" s="1124"/>
      <c r="W108" s="1103"/>
      <c r="X108" s="1082"/>
      <c r="Y108" s="1086"/>
      <c r="Z108" s="1082"/>
    </row>
    <row r="109" ht="20.25" customHeight="1">
      <c r="A109" s="1082"/>
      <c r="B109" s="1086"/>
      <c r="C109" s="1082"/>
      <c r="D109" s="1103"/>
      <c r="E109" s="1110"/>
      <c r="F109" s="1117" t="str">
        <f>Source!$AN$85</f>
        <v/>
      </c>
      <c r="G109" s="1151" t="s">
        <v>1599</v>
      </c>
      <c r="H109" s="1113"/>
      <c r="I109" s="1114"/>
      <c r="J109" s="1115"/>
      <c r="K109" s="1116"/>
      <c r="L109" s="1127" t="str">
        <f>Source!$AT$70</f>
        <v/>
      </c>
      <c r="M109" s="1128" t="s">
        <v>1600</v>
      </c>
      <c r="N109" s="1113"/>
      <c r="O109" s="1114"/>
      <c r="P109" s="1115"/>
      <c r="Q109" s="1123"/>
      <c r="R109" s="1087"/>
      <c r="S109" s="1088"/>
      <c r="T109" s="1088"/>
      <c r="U109" s="1088"/>
      <c r="V109" s="1088"/>
      <c r="W109" s="1103"/>
      <c r="X109" s="1082"/>
      <c r="Y109" s="1086"/>
      <c r="Z109" s="1082"/>
    </row>
    <row r="110" ht="3.75" customHeight="1">
      <c r="A110" s="1082"/>
      <c r="B110" s="1086"/>
      <c r="C110" s="1082"/>
      <c r="D110" s="1103"/>
      <c r="E110" s="1147"/>
      <c r="F110" s="1131"/>
      <c r="G110" s="1131"/>
      <c r="H110" s="1131"/>
      <c r="I110" s="1131"/>
      <c r="J110" s="1132"/>
      <c r="K110" s="1132"/>
      <c r="L110" s="1131"/>
      <c r="M110" s="1131"/>
      <c r="N110" s="1131"/>
      <c r="O110" s="1131"/>
      <c r="P110" s="1132"/>
      <c r="Q110" s="1133"/>
      <c r="R110" s="1101"/>
      <c r="S110" s="1101"/>
      <c r="T110" s="1101"/>
      <c r="U110" s="1101"/>
      <c r="V110" s="1101"/>
      <c r="W110" s="1103"/>
      <c r="X110" s="1082"/>
      <c r="Y110" s="1086"/>
      <c r="Z110" s="1082"/>
    </row>
    <row r="111" ht="22.5" customHeight="1">
      <c r="A111" s="1082"/>
      <c r="B111" s="1086"/>
      <c r="C111" s="1082"/>
      <c r="D111" s="1090"/>
      <c r="E111" s="1135"/>
      <c r="F111" s="1135"/>
      <c r="G111" s="1135"/>
      <c r="H111" s="1135"/>
      <c r="I111" s="1135"/>
      <c r="J111" s="1135"/>
      <c r="K111" s="1135"/>
      <c r="L111" s="1135"/>
      <c r="M111" s="1135"/>
      <c r="N111" s="1135"/>
      <c r="O111" s="1135"/>
      <c r="P111" s="1135"/>
      <c r="Q111" s="1135"/>
      <c r="R111" s="1135"/>
      <c r="S111" s="1135"/>
      <c r="T111" s="1135"/>
      <c r="U111" s="1135"/>
      <c r="V111" s="1135"/>
      <c r="W111" s="1094"/>
      <c r="X111" s="1082"/>
      <c r="Y111" s="1086"/>
      <c r="Z111" s="1082"/>
    </row>
    <row r="112">
      <c r="A112" s="1082"/>
      <c r="B112" s="1086"/>
      <c r="C112" s="1082"/>
      <c r="D112" s="1103"/>
      <c r="E112" s="1104" t="s">
        <v>1601</v>
      </c>
      <c r="F112" s="1105"/>
      <c r="G112" s="1105"/>
      <c r="H112" s="1105"/>
      <c r="I112" s="1105"/>
      <c r="J112" s="1105"/>
      <c r="K112" s="1105"/>
      <c r="L112" s="1105"/>
      <c r="M112" s="1105"/>
      <c r="N112" s="1105"/>
      <c r="O112" s="1105"/>
      <c r="P112" s="1105"/>
      <c r="Q112" s="1105"/>
      <c r="R112" s="1105"/>
      <c r="S112" s="1105"/>
      <c r="T112" s="1105"/>
      <c r="U112" s="1105"/>
      <c r="V112" s="1106"/>
      <c r="W112" s="1103"/>
      <c r="X112" s="1082"/>
      <c r="Y112" s="1086"/>
      <c r="Z112" s="1082"/>
    </row>
    <row r="113" ht="3.75" customHeight="1">
      <c r="A113" s="1082"/>
      <c r="B113" s="1086"/>
      <c r="C113" s="1082"/>
      <c r="D113" s="1103"/>
      <c r="E113" s="1107"/>
      <c r="F113" s="1108"/>
      <c r="G113" s="1108"/>
      <c r="H113" s="1108"/>
      <c r="I113" s="1108"/>
      <c r="J113" s="1108"/>
      <c r="K113" s="1108"/>
      <c r="L113" s="1108"/>
      <c r="M113" s="1108"/>
      <c r="N113" s="1108"/>
      <c r="O113" s="1108"/>
      <c r="P113" s="1108"/>
      <c r="Q113" s="1108"/>
      <c r="R113" s="1108"/>
      <c r="S113" s="1108"/>
      <c r="T113" s="1108"/>
      <c r="U113" s="1108"/>
      <c r="V113" s="1109"/>
      <c r="W113" s="1103"/>
      <c r="X113" s="1082"/>
      <c r="Y113" s="1086"/>
      <c r="Z113" s="1082"/>
    </row>
    <row r="114" ht="20.25" customHeight="1">
      <c r="A114" s="1082"/>
      <c r="B114" s="1086"/>
      <c r="C114" s="1082"/>
      <c r="D114" s="1103"/>
      <c r="E114" s="1110"/>
      <c r="F114" s="1111" t="str">
        <f>Source!$AB$2</f>
        <v/>
      </c>
      <c r="G114" s="1128" t="s">
        <v>1602</v>
      </c>
      <c r="H114" s="1113"/>
      <c r="I114" s="1114"/>
      <c r="J114" s="1115"/>
      <c r="K114" s="1116"/>
      <c r="L114" s="1117" t="str">
        <f>Source!$AH$5</f>
        <v/>
      </c>
      <c r="M114" s="1151" t="s">
        <v>1603</v>
      </c>
      <c r="N114" s="1113"/>
      <c r="O114" s="1114"/>
      <c r="P114" s="1115"/>
      <c r="Q114" s="1116"/>
      <c r="R114" s="1111" t="str">
        <f>Source!$AN$18</f>
        <v/>
      </c>
      <c r="S114" s="1128" t="s">
        <v>1604</v>
      </c>
      <c r="T114" s="1113"/>
      <c r="U114" s="1119"/>
      <c r="V114" s="1120"/>
      <c r="W114" s="1103"/>
      <c r="X114" s="1082"/>
      <c r="Y114" s="1086"/>
      <c r="Z114" s="1082"/>
    </row>
    <row r="115" ht="2.25" customHeight="1">
      <c r="A115" s="1082"/>
      <c r="B115" s="1086"/>
      <c r="C115" s="1082"/>
      <c r="D115" s="1103"/>
      <c r="E115" s="1110"/>
      <c r="F115" s="1121"/>
      <c r="G115" s="1122"/>
      <c r="H115" s="1122"/>
      <c r="I115" s="1122"/>
      <c r="J115" s="1123"/>
      <c r="K115" s="1123"/>
      <c r="L115" s="1122"/>
      <c r="M115" s="1122"/>
      <c r="N115" s="1122"/>
      <c r="O115" s="1122"/>
      <c r="P115" s="1123"/>
      <c r="Q115" s="1123"/>
      <c r="R115" s="1122"/>
      <c r="S115" s="1122"/>
      <c r="T115" s="1122"/>
      <c r="U115" s="1122"/>
      <c r="V115" s="1124"/>
      <c r="W115" s="1103"/>
      <c r="X115" s="1082"/>
      <c r="Y115" s="1086"/>
      <c r="Z115" s="1082"/>
    </row>
    <row r="116" ht="2.25" customHeight="1">
      <c r="A116" s="1082"/>
      <c r="B116" s="1086"/>
      <c r="C116" s="1082"/>
      <c r="D116" s="1103"/>
      <c r="E116" s="1110"/>
      <c r="F116" s="1125"/>
      <c r="G116" s="1126"/>
      <c r="H116" s="1126"/>
      <c r="I116" s="1126"/>
      <c r="J116" s="1123"/>
      <c r="K116" s="1123"/>
      <c r="L116" s="1126"/>
      <c r="M116" s="1126"/>
      <c r="N116" s="1126"/>
      <c r="O116" s="1126"/>
      <c r="P116" s="1123"/>
      <c r="Q116" s="1123"/>
      <c r="R116" s="1126"/>
      <c r="S116" s="1126"/>
      <c r="T116" s="1126"/>
      <c r="U116" s="1126"/>
      <c r="V116" s="1124"/>
      <c r="W116" s="1103"/>
      <c r="X116" s="1082"/>
      <c r="Y116" s="1086"/>
      <c r="Z116" s="1082"/>
    </row>
    <row r="117" ht="20.25" customHeight="1">
      <c r="A117" s="1082"/>
      <c r="B117" s="1086"/>
      <c r="C117" s="1082"/>
      <c r="D117" s="1103"/>
      <c r="E117" s="1110"/>
      <c r="F117" s="1117" t="str">
        <f>Source!$AT$25</f>
        <v/>
      </c>
      <c r="G117" s="1151" t="s">
        <v>1605</v>
      </c>
      <c r="H117" s="1113"/>
      <c r="I117" s="1114"/>
      <c r="J117" s="1115"/>
      <c r="K117" s="1116"/>
      <c r="L117" s="1111" t="str">
        <f>Source!$AH$8</f>
        <v/>
      </c>
      <c r="M117" s="1128" t="s">
        <v>1606</v>
      </c>
      <c r="N117" s="1113"/>
      <c r="O117" s="1114"/>
      <c r="P117" s="1115"/>
      <c r="Q117" s="1116"/>
      <c r="R117" s="1117" t="str">
        <f>Source!$Y$38</f>
        <v/>
      </c>
      <c r="S117" s="1151" t="s">
        <v>1607</v>
      </c>
      <c r="T117" s="1113"/>
      <c r="U117" s="1114"/>
      <c r="V117" s="1120"/>
      <c r="W117" s="1103"/>
      <c r="X117" s="1082"/>
      <c r="Y117" s="1086"/>
      <c r="Z117" s="1082"/>
    </row>
    <row r="118" ht="2.25" customHeight="1">
      <c r="A118" s="1082"/>
      <c r="B118" s="1086"/>
      <c r="C118" s="1082"/>
      <c r="D118" s="1103"/>
      <c r="E118" s="1110"/>
      <c r="F118" s="1121"/>
      <c r="G118" s="1122"/>
      <c r="H118" s="1122"/>
      <c r="I118" s="1122"/>
      <c r="J118" s="1123"/>
      <c r="K118" s="1123"/>
      <c r="L118" s="1122"/>
      <c r="M118" s="1122"/>
      <c r="N118" s="1122"/>
      <c r="O118" s="1122"/>
      <c r="P118" s="1123"/>
      <c r="Q118" s="1123"/>
      <c r="R118" s="1122"/>
      <c r="S118" s="1122"/>
      <c r="T118" s="1122"/>
      <c r="U118" s="1122"/>
      <c r="V118" s="1124"/>
      <c r="W118" s="1103"/>
      <c r="X118" s="1082"/>
      <c r="Y118" s="1086"/>
      <c r="Z118" s="1082"/>
    </row>
    <row r="119" ht="2.25" customHeight="1">
      <c r="A119" s="1082"/>
      <c r="B119" s="1086"/>
      <c r="C119" s="1082"/>
      <c r="D119" s="1103"/>
      <c r="E119" s="1110"/>
      <c r="F119" s="1125"/>
      <c r="G119" s="1126"/>
      <c r="H119" s="1126"/>
      <c r="I119" s="1126"/>
      <c r="J119" s="1123"/>
      <c r="K119" s="1123"/>
      <c r="L119" s="1126"/>
      <c r="M119" s="1126"/>
      <c r="N119" s="1126"/>
      <c r="O119" s="1126"/>
      <c r="P119" s="1123"/>
      <c r="Q119" s="1123"/>
      <c r="R119" s="1126"/>
      <c r="S119" s="1126"/>
      <c r="T119" s="1126"/>
      <c r="U119" s="1126"/>
      <c r="V119" s="1124"/>
      <c r="W119" s="1103"/>
      <c r="X119" s="1082"/>
      <c r="Y119" s="1086"/>
      <c r="Z119" s="1082"/>
    </row>
    <row r="120" ht="20.25" customHeight="1">
      <c r="A120" s="1082"/>
      <c r="B120" s="1086"/>
      <c r="C120" s="1082"/>
      <c r="D120" s="1103"/>
      <c r="E120" s="1110"/>
      <c r="F120" s="1149" t="str">
        <f>Source!$AB$11</f>
        <v/>
      </c>
      <c r="G120" s="1150" t="s">
        <v>1608</v>
      </c>
      <c r="H120" s="1113"/>
      <c r="I120" s="1114"/>
      <c r="J120" s="1115"/>
      <c r="K120" s="1116"/>
      <c r="L120" s="1149" t="str">
        <f>Source!$AB$45</f>
        <v/>
      </c>
      <c r="M120" s="1150" t="s">
        <v>1609</v>
      </c>
      <c r="N120" s="1113"/>
      <c r="O120" s="1114"/>
      <c r="P120" s="1115"/>
      <c r="Q120" s="1116"/>
      <c r="R120" s="1149" t="str">
        <f>Source!$AB$54</f>
        <v/>
      </c>
      <c r="S120" s="1150" t="s">
        <v>1610</v>
      </c>
      <c r="T120" s="1113"/>
      <c r="U120" s="1114"/>
      <c r="V120" s="1120"/>
      <c r="W120" s="1103"/>
      <c r="X120" s="1082"/>
      <c r="Y120" s="1086"/>
      <c r="Z120" s="1082"/>
    </row>
    <row r="121" ht="2.25" customHeight="1">
      <c r="A121" s="1082"/>
      <c r="B121" s="1086"/>
      <c r="C121" s="1082"/>
      <c r="D121" s="1103"/>
      <c r="E121" s="1110"/>
      <c r="F121" s="1121"/>
      <c r="G121" s="1122"/>
      <c r="H121" s="1122"/>
      <c r="I121" s="1122"/>
      <c r="J121" s="1123"/>
      <c r="K121" s="1123"/>
      <c r="L121" s="1122"/>
      <c r="M121" s="1122"/>
      <c r="N121" s="1122"/>
      <c r="O121" s="1122"/>
      <c r="P121" s="1123"/>
      <c r="Q121" s="1123"/>
      <c r="R121" s="1122"/>
      <c r="S121" s="1122"/>
      <c r="T121" s="1122"/>
      <c r="U121" s="1122"/>
      <c r="V121" s="1124"/>
      <c r="W121" s="1103"/>
      <c r="X121" s="1082"/>
      <c r="Y121" s="1086"/>
      <c r="Z121" s="1082"/>
    </row>
    <row r="122" ht="2.25" customHeight="1">
      <c r="A122" s="1082"/>
      <c r="B122" s="1086"/>
      <c r="C122" s="1082"/>
      <c r="D122" s="1103"/>
      <c r="E122" s="1110"/>
      <c r="F122" s="1125"/>
      <c r="G122" s="1126"/>
      <c r="H122" s="1126"/>
      <c r="I122" s="1126"/>
      <c r="J122" s="1123"/>
      <c r="K122" s="1123"/>
      <c r="L122" s="1126"/>
      <c r="M122" s="1126"/>
      <c r="N122" s="1126"/>
      <c r="O122" s="1126"/>
      <c r="P122" s="1123"/>
      <c r="Q122" s="1123"/>
      <c r="R122" s="1126"/>
      <c r="S122" s="1126"/>
      <c r="T122" s="1126"/>
      <c r="U122" s="1126"/>
      <c r="V122" s="1124"/>
      <c r="W122" s="1103"/>
      <c r="X122" s="1082"/>
      <c r="Y122" s="1086"/>
      <c r="Z122" s="1082"/>
    </row>
    <row r="123" ht="20.25" customHeight="1">
      <c r="A123" s="1082"/>
      <c r="B123" s="1086"/>
      <c r="C123" s="1082"/>
      <c r="D123" s="1103"/>
      <c r="E123" s="1110"/>
      <c r="F123" s="1149" t="str">
        <f>Source!$AB$25</f>
        <v/>
      </c>
      <c r="G123" s="1150" t="s">
        <v>1611</v>
      </c>
      <c r="H123" s="1113"/>
      <c r="I123" s="1114"/>
      <c r="J123" s="1115"/>
      <c r="K123" s="1116"/>
      <c r="L123" s="1139" t="str">
        <f>Source!$AN$5</f>
        <v/>
      </c>
      <c r="M123" s="1140" t="s">
        <v>1612</v>
      </c>
      <c r="N123" s="1113"/>
      <c r="O123" s="1114"/>
      <c r="P123" s="1115"/>
      <c r="Q123" s="1116"/>
      <c r="R123" s="1139" t="str">
        <f>Source!$AN$95</f>
        <v/>
      </c>
      <c r="S123" s="1140" t="s">
        <v>1613</v>
      </c>
      <c r="T123" s="1113"/>
      <c r="U123" s="1114"/>
      <c r="V123" s="1120"/>
      <c r="W123" s="1103"/>
      <c r="X123" s="1082"/>
      <c r="Y123" s="1086"/>
      <c r="Z123" s="1082"/>
    </row>
    <row r="124" ht="3.75" customHeight="1">
      <c r="A124" s="1082"/>
      <c r="B124" s="1086"/>
      <c r="C124" s="1082"/>
      <c r="D124" s="1103"/>
      <c r="E124" s="1147"/>
      <c r="F124" s="1131"/>
      <c r="G124" s="1131"/>
      <c r="H124" s="1131"/>
      <c r="I124" s="1131"/>
      <c r="J124" s="1132"/>
      <c r="K124" s="1132"/>
      <c r="L124" s="1131"/>
      <c r="M124" s="1131"/>
      <c r="N124" s="1131"/>
      <c r="O124" s="1131"/>
      <c r="P124" s="1132"/>
      <c r="Q124" s="1132"/>
      <c r="R124" s="1131"/>
      <c r="S124" s="1131"/>
      <c r="T124" s="1131"/>
      <c r="U124" s="1131"/>
      <c r="V124" s="1152"/>
      <c r="W124" s="1103"/>
      <c r="X124" s="1082"/>
      <c r="Y124" s="1086"/>
      <c r="Z124" s="1082"/>
    </row>
    <row r="125" ht="22.5" customHeight="1">
      <c r="A125" s="1082"/>
      <c r="B125" s="1086"/>
      <c r="C125" s="1082"/>
      <c r="D125" s="1090"/>
      <c r="E125" s="1135"/>
      <c r="F125" s="1135"/>
      <c r="G125" s="1135"/>
      <c r="H125" s="1135"/>
      <c r="I125" s="1135"/>
      <c r="J125" s="1135"/>
      <c r="K125" s="1135"/>
      <c r="L125" s="1135"/>
      <c r="M125" s="1135"/>
      <c r="N125" s="1135"/>
      <c r="O125" s="1135"/>
      <c r="P125" s="1135"/>
      <c r="Q125" s="1135"/>
      <c r="R125" s="1135"/>
      <c r="S125" s="1135"/>
      <c r="T125" s="1135"/>
      <c r="U125" s="1135"/>
      <c r="V125" s="1135"/>
      <c r="W125" s="1094"/>
      <c r="X125" s="1082"/>
      <c r="Y125" s="1086"/>
      <c r="Z125" s="1082"/>
    </row>
    <row r="126">
      <c r="A126" s="1082"/>
      <c r="B126" s="1086"/>
      <c r="C126" s="1082"/>
      <c r="D126" s="1103"/>
      <c r="E126" s="1104" t="s">
        <v>1614</v>
      </c>
      <c r="F126" s="1105"/>
      <c r="G126" s="1105"/>
      <c r="H126" s="1105"/>
      <c r="I126" s="1105"/>
      <c r="J126" s="1105"/>
      <c r="K126" s="1105"/>
      <c r="L126" s="1105"/>
      <c r="M126" s="1105"/>
      <c r="N126" s="1105"/>
      <c r="O126" s="1105"/>
      <c r="P126" s="1105"/>
      <c r="Q126" s="1105"/>
      <c r="R126" s="1105"/>
      <c r="S126" s="1105"/>
      <c r="T126" s="1105"/>
      <c r="U126" s="1105"/>
      <c r="V126" s="1106"/>
      <c r="W126" s="1103"/>
      <c r="X126" s="1082"/>
      <c r="Y126" s="1086"/>
      <c r="Z126" s="1082"/>
    </row>
    <row r="127" ht="3.75" customHeight="1">
      <c r="A127" s="1082"/>
      <c r="B127" s="1086"/>
      <c r="C127" s="1082"/>
      <c r="D127" s="1103"/>
      <c r="E127" s="1107"/>
      <c r="F127" s="1108"/>
      <c r="G127" s="1108"/>
      <c r="H127" s="1108"/>
      <c r="I127" s="1108"/>
      <c r="J127" s="1108"/>
      <c r="K127" s="1108"/>
      <c r="L127" s="1108"/>
      <c r="M127" s="1108"/>
      <c r="N127" s="1108"/>
      <c r="O127" s="1108"/>
      <c r="P127" s="1108"/>
      <c r="Q127" s="1108"/>
      <c r="R127" s="1108"/>
      <c r="S127" s="1108"/>
      <c r="T127" s="1108"/>
      <c r="U127" s="1108"/>
      <c r="V127" s="1109"/>
      <c r="W127" s="1103"/>
      <c r="X127" s="1082"/>
      <c r="Y127" s="1086"/>
      <c r="Z127" s="1082"/>
    </row>
    <row r="128" ht="20.25" customHeight="1">
      <c r="A128" s="1082"/>
      <c r="B128" s="1086"/>
      <c r="C128" s="1082"/>
      <c r="D128" s="1103"/>
      <c r="E128" s="1110"/>
      <c r="F128" s="1111" t="str">
        <f>Source!$Y$11</f>
        <v/>
      </c>
      <c r="G128" s="1128" t="s">
        <v>1615</v>
      </c>
      <c r="H128" s="1113"/>
      <c r="I128" s="1114"/>
      <c r="J128" s="1115"/>
      <c r="K128" s="1116"/>
      <c r="L128" s="1117" t="str">
        <f>Source!$AK$25</f>
        <v/>
      </c>
      <c r="M128" s="1151" t="s">
        <v>1616</v>
      </c>
      <c r="N128" s="1113"/>
      <c r="O128" s="1114"/>
      <c r="P128" s="1115"/>
      <c r="Q128" s="1116"/>
      <c r="R128" s="1111" t="str">
        <f>Source!$AT$58</f>
        <v/>
      </c>
      <c r="S128" s="1128" t="s">
        <v>1617</v>
      </c>
      <c r="T128" s="1113"/>
      <c r="U128" s="1119"/>
      <c r="V128" s="1120"/>
      <c r="W128" s="1103"/>
      <c r="X128" s="1082"/>
      <c r="Y128" s="1086"/>
      <c r="Z128" s="1082"/>
    </row>
    <row r="129" ht="2.25" customHeight="1">
      <c r="A129" s="1082"/>
      <c r="B129" s="1086"/>
      <c r="C129" s="1082"/>
      <c r="D129" s="1103"/>
      <c r="E129" s="1110"/>
      <c r="F129" s="1121"/>
      <c r="G129" s="1122"/>
      <c r="H129" s="1122"/>
      <c r="I129" s="1122"/>
      <c r="J129" s="1123"/>
      <c r="K129" s="1123"/>
      <c r="L129" s="1122"/>
      <c r="M129" s="1122"/>
      <c r="N129" s="1122"/>
      <c r="O129" s="1122"/>
      <c r="P129" s="1123"/>
      <c r="Q129" s="1123"/>
      <c r="R129" s="1122"/>
      <c r="S129" s="1122"/>
      <c r="T129" s="1122"/>
      <c r="U129" s="1122"/>
      <c r="V129" s="1124"/>
      <c r="W129" s="1103"/>
      <c r="X129" s="1082"/>
      <c r="Y129" s="1086"/>
      <c r="Z129" s="1082"/>
    </row>
    <row r="130" ht="2.25" customHeight="1">
      <c r="A130" s="1082"/>
      <c r="B130" s="1086"/>
      <c r="C130" s="1082"/>
      <c r="D130" s="1103"/>
      <c r="E130" s="1110"/>
      <c r="F130" s="1125"/>
      <c r="G130" s="1126"/>
      <c r="H130" s="1126"/>
      <c r="I130" s="1126"/>
      <c r="J130" s="1123"/>
      <c r="K130" s="1123"/>
      <c r="L130" s="1126"/>
      <c r="M130" s="1126"/>
      <c r="N130" s="1126"/>
      <c r="O130" s="1126"/>
      <c r="P130" s="1123"/>
      <c r="Q130" s="1116"/>
      <c r="R130" s="1123"/>
      <c r="S130" s="1123"/>
      <c r="T130" s="1123"/>
      <c r="U130" s="1123"/>
      <c r="V130" s="1124"/>
      <c r="W130" s="1103"/>
      <c r="X130" s="1082"/>
      <c r="Y130" s="1086"/>
      <c r="Z130" s="1082"/>
    </row>
    <row r="131" ht="20.25" customHeight="1">
      <c r="A131" s="1082"/>
      <c r="B131" s="1086"/>
      <c r="C131" s="1082"/>
      <c r="D131" s="1103"/>
      <c r="E131" s="1110"/>
      <c r="F131" s="1117" t="str">
        <f>Source!$AT$61</f>
        <v/>
      </c>
      <c r="G131" s="1151" t="s">
        <v>1618</v>
      </c>
      <c r="H131" s="1113"/>
      <c r="I131" s="1114"/>
      <c r="J131" s="1115"/>
      <c r="K131" s="1116"/>
      <c r="L131" s="1111" t="str">
        <f>Source!$AE$35</f>
        <v/>
      </c>
      <c r="M131" s="1128" t="s">
        <v>1619</v>
      </c>
      <c r="N131" s="1113"/>
      <c r="O131" s="1114"/>
      <c r="P131" s="1115"/>
      <c r="Q131" s="1123"/>
      <c r="R131" s="1087"/>
      <c r="S131" s="1088"/>
      <c r="T131" s="1088"/>
      <c r="U131" s="1088"/>
      <c r="V131" s="1088"/>
      <c r="W131" s="1103"/>
      <c r="X131" s="1082"/>
      <c r="Y131" s="1086"/>
      <c r="Z131" s="1082"/>
    </row>
    <row r="132" ht="3.75" customHeight="1">
      <c r="A132" s="1082"/>
      <c r="B132" s="1086"/>
      <c r="C132" s="1082"/>
      <c r="D132" s="1103"/>
      <c r="E132" s="1147"/>
      <c r="F132" s="1131"/>
      <c r="G132" s="1131"/>
      <c r="H132" s="1131"/>
      <c r="I132" s="1131"/>
      <c r="J132" s="1132"/>
      <c r="K132" s="1132"/>
      <c r="L132" s="1131"/>
      <c r="M132" s="1131"/>
      <c r="N132" s="1131"/>
      <c r="O132" s="1131"/>
      <c r="P132" s="1132"/>
      <c r="Q132" s="1133"/>
      <c r="R132" s="1101"/>
      <c r="S132" s="1101"/>
      <c r="T132" s="1101"/>
      <c r="U132" s="1101"/>
      <c r="V132" s="1101"/>
      <c r="W132" s="1103"/>
      <c r="X132" s="1082"/>
      <c r="Y132" s="1086"/>
      <c r="Z132" s="1082"/>
    </row>
    <row r="133" ht="22.5" customHeight="1">
      <c r="A133" s="1082"/>
      <c r="B133" s="1086"/>
      <c r="C133" s="1082"/>
      <c r="D133" s="1090"/>
      <c r="E133" s="1135"/>
      <c r="F133" s="1135"/>
      <c r="G133" s="1135"/>
      <c r="H133" s="1135"/>
      <c r="I133" s="1135"/>
      <c r="J133" s="1135"/>
      <c r="K133" s="1135"/>
      <c r="L133" s="1135"/>
      <c r="M133" s="1135"/>
      <c r="N133" s="1135"/>
      <c r="O133" s="1135"/>
      <c r="P133" s="1135"/>
      <c r="Q133" s="1135"/>
      <c r="R133" s="1135"/>
      <c r="S133" s="1135"/>
      <c r="T133" s="1135"/>
      <c r="U133" s="1135"/>
      <c r="V133" s="1135"/>
      <c r="W133" s="1094"/>
      <c r="X133" s="1082"/>
      <c r="Y133" s="1086"/>
      <c r="Z133" s="1082"/>
    </row>
    <row r="134">
      <c r="A134" s="1082"/>
      <c r="B134" s="1086"/>
      <c r="C134" s="1082"/>
      <c r="D134" s="1103"/>
      <c r="E134" s="1104" t="s">
        <v>1620</v>
      </c>
      <c r="F134" s="1105"/>
      <c r="G134" s="1105"/>
      <c r="H134" s="1105"/>
      <c r="I134" s="1105"/>
      <c r="J134" s="1105"/>
      <c r="K134" s="1105"/>
      <c r="L134" s="1105"/>
      <c r="M134" s="1105"/>
      <c r="N134" s="1105"/>
      <c r="O134" s="1105"/>
      <c r="P134" s="1105"/>
      <c r="Q134" s="1105"/>
      <c r="R134" s="1105"/>
      <c r="S134" s="1105"/>
      <c r="T134" s="1105"/>
      <c r="U134" s="1105"/>
      <c r="V134" s="1106"/>
      <c r="W134" s="1103"/>
      <c r="X134" s="1082"/>
      <c r="Y134" s="1086"/>
      <c r="Z134" s="1082"/>
    </row>
    <row r="135" ht="3.75" customHeight="1">
      <c r="A135" s="1082"/>
      <c r="B135" s="1086"/>
      <c r="C135" s="1082"/>
      <c r="D135" s="1103"/>
      <c r="E135" s="1136"/>
      <c r="F135" s="1137"/>
      <c r="G135" s="1137"/>
      <c r="H135" s="1137"/>
      <c r="I135" s="1137"/>
      <c r="J135" s="1137"/>
      <c r="K135" s="1137"/>
      <c r="L135" s="1123"/>
      <c r="M135" s="1123"/>
      <c r="N135" s="1123"/>
      <c r="O135" s="1123"/>
      <c r="P135" s="1123"/>
      <c r="Q135" s="1123"/>
      <c r="R135" s="1123"/>
      <c r="S135" s="1123"/>
      <c r="T135" s="1123"/>
      <c r="U135" s="1123"/>
      <c r="V135" s="1124"/>
      <c r="W135" s="1103"/>
      <c r="X135" s="1082"/>
      <c r="Y135" s="1086"/>
      <c r="Z135" s="1082"/>
    </row>
    <row r="136" ht="20.25" customHeight="1">
      <c r="A136" s="1082"/>
      <c r="B136" s="1086"/>
      <c r="C136" s="1082"/>
      <c r="D136" s="1103"/>
      <c r="E136" s="1110"/>
      <c r="F136" s="1127" t="str">
        <f>Source!$Y$5</f>
        <v/>
      </c>
      <c r="G136" s="1128" t="s">
        <v>1621</v>
      </c>
      <c r="H136" s="1113"/>
      <c r="I136" s="1114"/>
      <c r="J136" s="1115"/>
      <c r="K136" s="1123"/>
      <c r="L136" s="1087"/>
      <c r="M136" s="1088"/>
      <c r="N136" s="1088"/>
      <c r="O136" s="1088"/>
      <c r="P136" s="1088"/>
      <c r="Q136" s="1088"/>
      <c r="R136" s="1087"/>
      <c r="S136" s="1088"/>
      <c r="T136" s="1088"/>
      <c r="U136" s="1088"/>
      <c r="V136" s="1088"/>
      <c r="W136" s="1103"/>
      <c r="X136" s="1082"/>
      <c r="Y136" s="1086"/>
      <c r="Z136" s="1082"/>
    </row>
    <row r="137" ht="3.75" customHeight="1">
      <c r="A137" s="1082"/>
      <c r="B137" s="1086"/>
      <c r="C137" s="1082"/>
      <c r="D137" s="1103"/>
      <c r="E137" s="1141"/>
      <c r="F137" s="1131"/>
      <c r="G137" s="1142"/>
      <c r="H137" s="1142"/>
      <c r="I137" s="1142"/>
      <c r="J137" s="1133"/>
      <c r="K137" s="1133"/>
      <c r="L137" s="1101"/>
      <c r="M137" s="1101"/>
      <c r="N137" s="1101"/>
      <c r="O137" s="1101"/>
      <c r="P137" s="1101"/>
      <c r="Q137" s="1101"/>
      <c r="R137" s="1101"/>
      <c r="S137" s="1101"/>
      <c r="T137" s="1101"/>
      <c r="U137" s="1101"/>
      <c r="V137" s="1101"/>
      <c r="W137" s="1103"/>
      <c r="X137" s="1082"/>
      <c r="Y137" s="1086"/>
      <c r="Z137" s="1082"/>
    </row>
    <row r="138" ht="22.5" customHeight="1">
      <c r="A138" s="1082"/>
      <c r="B138" s="1086"/>
      <c r="C138" s="1082"/>
      <c r="D138" s="1090"/>
      <c r="E138" s="1135"/>
      <c r="F138" s="1135"/>
      <c r="G138" s="1135"/>
      <c r="H138" s="1135"/>
      <c r="I138" s="1135"/>
      <c r="J138" s="1135"/>
      <c r="K138" s="1135"/>
      <c r="L138" s="1135"/>
      <c r="M138" s="1135"/>
      <c r="N138" s="1135"/>
      <c r="O138" s="1135"/>
      <c r="P138" s="1135"/>
      <c r="Q138" s="1135"/>
      <c r="R138" s="1135"/>
      <c r="S138" s="1135"/>
      <c r="T138" s="1135"/>
      <c r="U138" s="1135"/>
      <c r="V138" s="1135"/>
      <c r="W138" s="1094"/>
      <c r="X138" s="1082"/>
      <c r="Y138" s="1086"/>
      <c r="Z138" s="1082"/>
    </row>
    <row r="139">
      <c r="A139" s="1082"/>
      <c r="B139" s="1086"/>
      <c r="C139" s="1082"/>
      <c r="D139" s="1103"/>
      <c r="E139" s="1104" t="s">
        <v>1622</v>
      </c>
      <c r="F139" s="1105"/>
      <c r="G139" s="1105"/>
      <c r="H139" s="1105"/>
      <c r="I139" s="1105"/>
      <c r="J139" s="1105"/>
      <c r="K139" s="1105"/>
      <c r="L139" s="1105"/>
      <c r="M139" s="1105"/>
      <c r="N139" s="1105"/>
      <c r="O139" s="1105"/>
      <c r="P139" s="1105"/>
      <c r="Q139" s="1105"/>
      <c r="R139" s="1105"/>
      <c r="S139" s="1105"/>
      <c r="T139" s="1105"/>
      <c r="U139" s="1105"/>
      <c r="V139" s="1106"/>
      <c r="W139" s="1103"/>
      <c r="X139" s="1082"/>
      <c r="Y139" s="1086"/>
      <c r="Z139" s="1082"/>
    </row>
    <row r="140" ht="3.75" customHeight="1">
      <c r="A140" s="1082"/>
      <c r="B140" s="1086"/>
      <c r="C140" s="1082"/>
      <c r="D140" s="1103"/>
      <c r="E140" s="1136"/>
      <c r="F140" s="1137"/>
      <c r="G140" s="1137"/>
      <c r="H140" s="1137"/>
      <c r="I140" s="1137"/>
      <c r="J140" s="1137"/>
      <c r="K140" s="1137"/>
      <c r="L140" s="1137"/>
      <c r="M140" s="1137"/>
      <c r="N140" s="1137"/>
      <c r="O140" s="1137"/>
      <c r="P140" s="1137"/>
      <c r="Q140" s="1137"/>
      <c r="R140" s="1137"/>
      <c r="S140" s="1137"/>
      <c r="T140" s="1137"/>
      <c r="U140" s="1137"/>
      <c r="V140" s="1138"/>
      <c r="W140" s="1103"/>
      <c r="X140" s="1082"/>
      <c r="Y140" s="1086"/>
      <c r="Z140" s="1082"/>
    </row>
    <row r="141" ht="20.25" customHeight="1">
      <c r="A141" s="1082"/>
      <c r="B141" s="1086"/>
      <c r="C141" s="1082"/>
      <c r="D141" s="1103"/>
      <c r="E141" s="1110"/>
      <c r="F141" s="1111" t="str">
        <f>Source!$AT$5</f>
        <v/>
      </c>
      <c r="G141" s="1128" t="s">
        <v>1623</v>
      </c>
      <c r="H141" s="1113"/>
      <c r="I141" s="1114"/>
      <c r="J141" s="1115"/>
      <c r="K141" s="1116"/>
      <c r="L141" s="1117" t="str">
        <f>Source!$AN$12</f>
        <v/>
      </c>
      <c r="M141" s="1151" t="s">
        <v>1624</v>
      </c>
      <c r="N141" s="1113"/>
      <c r="O141" s="1114"/>
      <c r="P141" s="1115"/>
      <c r="Q141" s="1116"/>
      <c r="R141" s="1111" t="str">
        <f>Source!$AN$31</f>
        <v/>
      </c>
      <c r="S141" s="1128" t="s">
        <v>1625</v>
      </c>
      <c r="T141" s="1113"/>
      <c r="U141" s="1119"/>
      <c r="V141" s="1120"/>
      <c r="W141" s="1103"/>
      <c r="X141" s="1082"/>
      <c r="Y141" s="1086"/>
      <c r="Z141" s="1082"/>
    </row>
    <row r="142" ht="2.25" customHeight="1">
      <c r="A142" s="1082"/>
      <c r="B142" s="1086"/>
      <c r="C142" s="1082"/>
      <c r="D142" s="1103"/>
      <c r="E142" s="1110"/>
      <c r="F142" s="1121"/>
      <c r="G142" s="1122"/>
      <c r="H142" s="1122"/>
      <c r="I142" s="1122"/>
      <c r="J142" s="1123"/>
      <c r="K142" s="1123"/>
      <c r="L142" s="1122"/>
      <c r="M142" s="1122"/>
      <c r="N142" s="1122"/>
      <c r="O142" s="1122"/>
      <c r="P142" s="1123"/>
      <c r="Q142" s="1116"/>
      <c r="R142" s="1122"/>
      <c r="S142" s="1122"/>
      <c r="T142" s="1122"/>
      <c r="U142" s="1122"/>
      <c r="V142" s="1124"/>
      <c r="W142" s="1103"/>
      <c r="X142" s="1082"/>
      <c r="Y142" s="1086"/>
      <c r="Z142" s="1082"/>
    </row>
    <row r="143" ht="2.25" customHeight="1">
      <c r="A143" s="1082"/>
      <c r="B143" s="1086"/>
      <c r="C143" s="1082"/>
      <c r="D143" s="1103"/>
      <c r="E143" s="1110"/>
      <c r="F143" s="1125"/>
      <c r="G143" s="1126"/>
      <c r="H143" s="1126"/>
      <c r="I143" s="1126"/>
      <c r="J143" s="1123"/>
      <c r="K143" s="1123"/>
      <c r="L143" s="1126"/>
      <c r="M143" s="1126"/>
      <c r="N143" s="1126"/>
      <c r="O143" s="1126"/>
      <c r="P143" s="1123"/>
      <c r="Q143" s="1116"/>
      <c r="R143" s="1126"/>
      <c r="S143" s="1126"/>
      <c r="T143" s="1126"/>
      <c r="U143" s="1126"/>
      <c r="V143" s="1124"/>
      <c r="W143" s="1103"/>
      <c r="X143" s="1082"/>
      <c r="Y143" s="1086"/>
      <c r="Z143" s="1082"/>
    </row>
    <row r="144" ht="20.25" customHeight="1">
      <c r="A144" s="1082"/>
      <c r="B144" s="1086"/>
      <c r="C144" s="1082"/>
      <c r="D144" s="1103"/>
      <c r="E144" s="1110"/>
      <c r="F144" s="1117" t="str">
        <f>Source!$AN$34</f>
        <v/>
      </c>
      <c r="G144" s="1151" t="s">
        <v>1626</v>
      </c>
      <c r="H144" s="1113"/>
      <c r="I144" s="1114"/>
      <c r="J144" s="1115"/>
      <c r="K144" s="1116"/>
      <c r="L144" s="1111" t="str">
        <f>Source!$AT$29</f>
        <v/>
      </c>
      <c r="M144" s="1128" t="s">
        <v>1627</v>
      </c>
      <c r="N144" s="1113"/>
      <c r="O144" s="1114"/>
      <c r="P144" s="1115"/>
      <c r="Q144" s="1116"/>
      <c r="R144" s="1117" t="str">
        <f>Source!$AN$87</f>
        <v/>
      </c>
      <c r="S144" s="1151" t="s">
        <v>1628</v>
      </c>
      <c r="T144" s="1113"/>
      <c r="U144" s="1114"/>
      <c r="V144" s="1120"/>
      <c r="W144" s="1103"/>
      <c r="X144" s="1082"/>
      <c r="Y144" s="1086"/>
      <c r="Z144" s="1082"/>
    </row>
    <row r="145" ht="2.25" customHeight="1">
      <c r="A145" s="1082"/>
      <c r="B145" s="1086"/>
      <c r="C145" s="1082"/>
      <c r="D145" s="1103"/>
      <c r="E145" s="1110"/>
      <c r="F145" s="1121"/>
      <c r="G145" s="1122"/>
      <c r="H145" s="1122"/>
      <c r="I145" s="1122"/>
      <c r="J145" s="1123"/>
      <c r="K145" s="1123"/>
      <c r="L145" s="1122"/>
      <c r="M145" s="1122"/>
      <c r="N145" s="1122"/>
      <c r="O145" s="1122"/>
      <c r="P145" s="1123"/>
      <c r="Q145" s="1116"/>
      <c r="R145" s="1122"/>
      <c r="S145" s="1122"/>
      <c r="T145" s="1122"/>
      <c r="U145" s="1122"/>
      <c r="V145" s="1124"/>
      <c r="W145" s="1103"/>
      <c r="X145" s="1082"/>
      <c r="Y145" s="1086"/>
      <c r="Z145" s="1082"/>
    </row>
    <row r="146" ht="2.25" customHeight="1">
      <c r="A146" s="1082"/>
      <c r="B146" s="1086"/>
      <c r="C146" s="1082"/>
      <c r="D146" s="1103"/>
      <c r="E146" s="1110"/>
      <c r="F146" s="1125"/>
      <c r="G146" s="1126"/>
      <c r="H146" s="1126"/>
      <c r="I146" s="1126"/>
      <c r="J146" s="1123"/>
      <c r="K146" s="1123"/>
      <c r="L146" s="1126"/>
      <c r="M146" s="1126"/>
      <c r="N146" s="1126"/>
      <c r="O146" s="1126"/>
      <c r="P146" s="1123"/>
      <c r="Q146" s="1116"/>
      <c r="R146" s="1123"/>
      <c r="S146" s="1123"/>
      <c r="T146" s="1123"/>
      <c r="U146" s="1123"/>
      <c r="V146" s="1124"/>
      <c r="W146" s="1103"/>
      <c r="X146" s="1082"/>
      <c r="Y146" s="1086"/>
      <c r="Z146" s="1082"/>
    </row>
    <row r="147" ht="20.25" customHeight="1">
      <c r="A147" s="1082"/>
      <c r="B147" s="1086"/>
      <c r="C147" s="1082"/>
      <c r="D147" s="1103"/>
      <c r="E147" s="1110"/>
      <c r="F147" s="1111" t="str">
        <f>Source!$AN$96</f>
        <v/>
      </c>
      <c r="G147" s="1128" t="s">
        <v>1629</v>
      </c>
      <c r="H147" s="1113"/>
      <c r="I147" s="1114"/>
      <c r="J147" s="1115"/>
      <c r="K147" s="1116"/>
      <c r="L147" s="1139" t="str">
        <f>Source!$AN$101</f>
        <v/>
      </c>
      <c r="M147" s="1140" t="s">
        <v>1630</v>
      </c>
      <c r="N147" s="1113"/>
      <c r="O147" s="1114"/>
      <c r="P147" s="1115"/>
      <c r="Q147" s="1123"/>
      <c r="R147" s="1087"/>
      <c r="S147" s="1088"/>
      <c r="T147" s="1088"/>
      <c r="U147" s="1088"/>
      <c r="V147" s="1088"/>
      <c r="W147" s="1103"/>
      <c r="X147" s="1082"/>
      <c r="Y147" s="1086"/>
      <c r="Z147" s="1082"/>
    </row>
    <row r="148" ht="3.75" customHeight="1">
      <c r="A148" s="1082"/>
      <c r="B148" s="1086"/>
      <c r="C148" s="1082"/>
      <c r="D148" s="1103"/>
      <c r="E148" s="1141"/>
      <c r="F148" s="1131"/>
      <c r="G148" s="1142"/>
      <c r="H148" s="1142"/>
      <c r="I148" s="1142"/>
      <c r="J148" s="1133"/>
      <c r="K148" s="1133"/>
      <c r="L148" s="1142"/>
      <c r="M148" s="1142"/>
      <c r="N148" s="1142"/>
      <c r="O148" s="1142"/>
      <c r="P148" s="1133"/>
      <c r="Q148" s="1133"/>
      <c r="R148" s="1101"/>
      <c r="S148" s="1101"/>
      <c r="T148" s="1101"/>
      <c r="U148" s="1101"/>
      <c r="V148" s="1101"/>
      <c r="W148" s="1103"/>
      <c r="X148" s="1082"/>
      <c r="Y148" s="1086"/>
      <c r="Z148" s="1082"/>
    </row>
    <row r="149" ht="22.5" customHeight="1">
      <c r="A149" s="1082"/>
      <c r="B149" s="1086"/>
      <c r="C149" s="1082"/>
      <c r="D149" s="1090"/>
      <c r="E149" s="1135"/>
      <c r="F149" s="1135"/>
      <c r="G149" s="1135"/>
      <c r="H149" s="1135"/>
      <c r="I149" s="1135"/>
      <c r="J149" s="1135"/>
      <c r="K149" s="1135"/>
      <c r="L149" s="1135"/>
      <c r="M149" s="1135"/>
      <c r="N149" s="1135"/>
      <c r="O149" s="1135"/>
      <c r="P149" s="1135"/>
      <c r="Q149" s="1135"/>
      <c r="R149" s="1135"/>
      <c r="S149" s="1135"/>
      <c r="T149" s="1135"/>
      <c r="U149" s="1135"/>
      <c r="V149" s="1135"/>
      <c r="W149" s="1094"/>
      <c r="X149" s="1082"/>
      <c r="Y149" s="1086"/>
      <c r="Z149" s="1082"/>
    </row>
    <row r="150">
      <c r="A150" s="1082"/>
      <c r="B150" s="1086"/>
      <c r="C150" s="1082"/>
      <c r="D150" s="1103"/>
      <c r="E150" s="1104" t="s">
        <v>1631</v>
      </c>
      <c r="F150" s="1105"/>
      <c r="G150" s="1105"/>
      <c r="H150" s="1105"/>
      <c r="I150" s="1105"/>
      <c r="J150" s="1105"/>
      <c r="K150" s="1105"/>
      <c r="L150" s="1105"/>
      <c r="M150" s="1105"/>
      <c r="N150" s="1105"/>
      <c r="O150" s="1105"/>
      <c r="P150" s="1105"/>
      <c r="Q150" s="1105"/>
      <c r="R150" s="1105"/>
      <c r="S150" s="1105"/>
      <c r="T150" s="1105"/>
      <c r="U150" s="1105"/>
      <c r="V150" s="1106"/>
      <c r="W150" s="1103"/>
      <c r="X150" s="1082"/>
      <c r="Y150" s="1086"/>
      <c r="Z150" s="1082"/>
    </row>
    <row r="151" ht="3.75" customHeight="1">
      <c r="A151" s="1082"/>
      <c r="B151" s="1086"/>
      <c r="C151" s="1082"/>
      <c r="D151" s="1103"/>
      <c r="E151" s="1136"/>
      <c r="F151" s="1137"/>
      <c r="G151" s="1137"/>
      <c r="H151" s="1137"/>
      <c r="I151" s="1137"/>
      <c r="J151" s="1137"/>
      <c r="K151" s="1137"/>
      <c r="L151" s="1137"/>
      <c r="M151" s="1137"/>
      <c r="N151" s="1137"/>
      <c r="O151" s="1137"/>
      <c r="P151" s="1137"/>
      <c r="Q151" s="1137"/>
      <c r="R151" s="1137"/>
      <c r="S151" s="1137"/>
      <c r="T151" s="1137"/>
      <c r="U151" s="1137"/>
      <c r="V151" s="1138"/>
      <c r="W151" s="1103"/>
      <c r="X151" s="1082"/>
      <c r="Y151" s="1086"/>
      <c r="Z151" s="1082"/>
    </row>
    <row r="152" ht="20.25" customHeight="1">
      <c r="A152" s="1082"/>
      <c r="B152" s="1086"/>
      <c r="C152" s="1082"/>
      <c r="D152" s="1103"/>
      <c r="E152" s="1110"/>
      <c r="F152" s="1111" t="str">
        <f>Source!$AH$4</f>
        <v/>
      </c>
      <c r="G152" s="1128" t="s">
        <v>1632</v>
      </c>
      <c r="H152" s="1113"/>
      <c r="I152" s="1114"/>
      <c r="J152" s="1115"/>
      <c r="K152" s="1116"/>
      <c r="L152" s="1117" t="str">
        <f>Source!$Y$4</f>
        <v/>
      </c>
      <c r="M152" s="1151" t="s">
        <v>1633</v>
      </c>
      <c r="N152" s="1113"/>
      <c r="O152" s="1114"/>
      <c r="P152" s="1115"/>
      <c r="Q152" s="1116"/>
      <c r="R152" s="1111" t="str">
        <f>Source!$Y$6</f>
        <v/>
      </c>
      <c r="S152" s="1128" t="s">
        <v>1634</v>
      </c>
      <c r="T152" s="1113"/>
      <c r="U152" s="1119"/>
      <c r="V152" s="1120"/>
      <c r="W152" s="1103"/>
      <c r="X152" s="1082"/>
      <c r="Y152" s="1086"/>
      <c r="Z152" s="1082"/>
    </row>
    <row r="153" ht="2.25" customHeight="1">
      <c r="A153" s="1082"/>
      <c r="B153" s="1086"/>
      <c r="C153" s="1082"/>
      <c r="D153" s="1103"/>
      <c r="E153" s="1110"/>
      <c r="F153" s="1121"/>
      <c r="G153" s="1122"/>
      <c r="H153" s="1122"/>
      <c r="I153" s="1122"/>
      <c r="J153" s="1123"/>
      <c r="K153" s="1123"/>
      <c r="L153" s="1122"/>
      <c r="M153" s="1122"/>
      <c r="N153" s="1122"/>
      <c r="O153" s="1122"/>
      <c r="P153" s="1123"/>
      <c r="Q153" s="1116"/>
      <c r="R153" s="1122"/>
      <c r="S153" s="1122"/>
      <c r="T153" s="1122"/>
      <c r="U153" s="1122"/>
      <c r="V153" s="1124"/>
      <c r="W153" s="1103"/>
      <c r="X153" s="1082"/>
      <c r="Y153" s="1086"/>
      <c r="Z153" s="1082"/>
    </row>
    <row r="154" ht="2.25" customHeight="1">
      <c r="A154" s="1082"/>
      <c r="B154" s="1086"/>
      <c r="C154" s="1082"/>
      <c r="D154" s="1103"/>
      <c r="E154" s="1110"/>
      <c r="F154" s="1125"/>
      <c r="G154" s="1126"/>
      <c r="H154" s="1126"/>
      <c r="I154" s="1126"/>
      <c r="J154" s="1123"/>
      <c r="K154" s="1123"/>
      <c r="L154" s="1126"/>
      <c r="M154" s="1126"/>
      <c r="N154" s="1126"/>
      <c r="O154" s="1126"/>
      <c r="P154" s="1123"/>
      <c r="Q154" s="1116"/>
      <c r="R154" s="1123"/>
      <c r="S154" s="1123"/>
      <c r="T154" s="1123"/>
      <c r="U154" s="1123"/>
      <c r="V154" s="1124"/>
      <c r="W154" s="1103"/>
      <c r="X154" s="1082"/>
      <c r="Y154" s="1086"/>
      <c r="Z154" s="1082"/>
    </row>
    <row r="155" ht="20.25" customHeight="1">
      <c r="A155" s="1082"/>
      <c r="B155" s="1086"/>
      <c r="C155" s="1082"/>
      <c r="D155" s="1103"/>
      <c r="E155" s="1110"/>
      <c r="F155" s="1117" t="str">
        <f>Source!$AB$34</f>
        <v/>
      </c>
      <c r="G155" s="1151" t="s">
        <v>1635</v>
      </c>
      <c r="H155" s="1113"/>
      <c r="I155" s="1114"/>
      <c r="J155" s="1115"/>
      <c r="K155" s="1116"/>
      <c r="L155" s="1139" t="str">
        <f>Source!$AN$62</f>
        <v/>
      </c>
      <c r="M155" s="1140" t="s">
        <v>1636</v>
      </c>
      <c r="N155" s="1113"/>
      <c r="O155" s="1114"/>
      <c r="P155" s="1115"/>
      <c r="Q155" s="1123"/>
      <c r="R155" s="1087"/>
      <c r="S155" s="1088"/>
      <c r="T155" s="1088"/>
      <c r="U155" s="1088"/>
      <c r="V155" s="1088"/>
      <c r="W155" s="1103"/>
      <c r="X155" s="1082"/>
      <c r="Y155" s="1086"/>
      <c r="Z155" s="1082"/>
    </row>
    <row r="156" ht="3.75" customHeight="1">
      <c r="A156" s="1082"/>
      <c r="B156" s="1086"/>
      <c r="C156" s="1082"/>
      <c r="D156" s="1103"/>
      <c r="E156" s="1141"/>
      <c r="F156" s="1131"/>
      <c r="G156" s="1142"/>
      <c r="H156" s="1142"/>
      <c r="I156" s="1142"/>
      <c r="J156" s="1133"/>
      <c r="K156" s="1133"/>
      <c r="L156" s="1142"/>
      <c r="M156" s="1142"/>
      <c r="N156" s="1142"/>
      <c r="O156" s="1142"/>
      <c r="P156" s="1133"/>
      <c r="Q156" s="1133"/>
      <c r="R156" s="1101"/>
      <c r="S156" s="1101"/>
      <c r="T156" s="1101"/>
      <c r="U156" s="1101"/>
      <c r="V156" s="1101"/>
      <c r="W156" s="1103"/>
      <c r="X156" s="1082"/>
      <c r="Y156" s="1086"/>
      <c r="Z156" s="1082"/>
    </row>
    <row r="157" ht="22.5" customHeight="1">
      <c r="A157" s="1082"/>
      <c r="B157" s="1086"/>
      <c r="C157" s="1082"/>
      <c r="D157" s="1090"/>
      <c r="E157" s="1135"/>
      <c r="F157" s="1135"/>
      <c r="G157" s="1135"/>
      <c r="H157" s="1135"/>
      <c r="I157" s="1135"/>
      <c r="J157" s="1135"/>
      <c r="K157" s="1135"/>
      <c r="L157" s="1135"/>
      <c r="M157" s="1135"/>
      <c r="N157" s="1135"/>
      <c r="O157" s="1135"/>
      <c r="P157" s="1135"/>
      <c r="Q157" s="1135"/>
      <c r="R157" s="1135"/>
      <c r="S157" s="1135"/>
      <c r="T157" s="1135"/>
      <c r="U157" s="1135"/>
      <c r="V157" s="1135"/>
      <c r="W157" s="1094"/>
      <c r="X157" s="1082"/>
      <c r="Y157" s="1086"/>
      <c r="Z157" s="1082"/>
    </row>
    <row r="158">
      <c r="A158" s="1082"/>
      <c r="B158" s="1086"/>
      <c r="C158" s="1082"/>
      <c r="D158" s="1103"/>
      <c r="E158" s="1104" t="s">
        <v>1637</v>
      </c>
      <c r="F158" s="1105"/>
      <c r="G158" s="1105"/>
      <c r="H158" s="1105"/>
      <c r="I158" s="1105"/>
      <c r="J158" s="1105"/>
      <c r="K158" s="1105"/>
      <c r="L158" s="1105"/>
      <c r="M158" s="1105"/>
      <c r="N158" s="1105"/>
      <c r="O158" s="1105"/>
      <c r="P158" s="1105"/>
      <c r="Q158" s="1105"/>
      <c r="R158" s="1105"/>
      <c r="S158" s="1105"/>
      <c r="T158" s="1105"/>
      <c r="U158" s="1105"/>
      <c r="V158" s="1106"/>
      <c r="W158" s="1103"/>
      <c r="X158" s="1082"/>
      <c r="Y158" s="1086"/>
      <c r="Z158" s="1082"/>
    </row>
    <row r="159" ht="3.75" customHeight="1">
      <c r="A159" s="1082"/>
      <c r="B159" s="1086"/>
      <c r="C159" s="1082"/>
      <c r="D159" s="1103"/>
      <c r="E159" s="1136"/>
      <c r="F159" s="1137"/>
      <c r="G159" s="1137"/>
      <c r="H159" s="1137"/>
      <c r="I159" s="1137"/>
      <c r="J159" s="1137"/>
      <c r="K159" s="1137"/>
      <c r="L159" s="1137"/>
      <c r="M159" s="1137"/>
      <c r="N159" s="1137"/>
      <c r="O159" s="1137"/>
      <c r="P159" s="1137"/>
      <c r="Q159" s="1137"/>
      <c r="R159" s="1123"/>
      <c r="S159" s="1123"/>
      <c r="T159" s="1123"/>
      <c r="U159" s="1123"/>
      <c r="V159" s="1124"/>
      <c r="W159" s="1103"/>
      <c r="X159" s="1082"/>
      <c r="Y159" s="1086"/>
      <c r="Z159" s="1082"/>
    </row>
    <row r="160" ht="20.25" customHeight="1">
      <c r="A160" s="1082"/>
      <c r="B160" s="1086"/>
      <c r="C160" s="1082"/>
      <c r="D160" s="1103"/>
      <c r="E160" s="1110"/>
      <c r="F160" s="1139" t="str">
        <f>Source!$AN$30</f>
        <v/>
      </c>
      <c r="G160" s="1140" t="s">
        <v>1638</v>
      </c>
      <c r="H160" s="1113"/>
      <c r="I160" s="1114"/>
      <c r="J160" s="1115"/>
      <c r="K160" s="1116"/>
      <c r="L160" s="1117" t="str">
        <f>Source!$AN$58</f>
        <v/>
      </c>
      <c r="M160" s="1151" t="s">
        <v>1639</v>
      </c>
      <c r="N160" s="1113"/>
      <c r="O160" s="1114"/>
      <c r="P160" s="1115"/>
      <c r="Q160" s="1123"/>
      <c r="R160" s="1087"/>
      <c r="S160" s="1088"/>
      <c r="T160" s="1088"/>
      <c r="U160" s="1088"/>
      <c r="V160" s="1088"/>
      <c r="W160" s="1103"/>
      <c r="X160" s="1082"/>
      <c r="Y160" s="1086"/>
      <c r="Z160" s="1082"/>
    </row>
    <row r="161" ht="3.75" customHeight="1">
      <c r="A161" s="1082"/>
      <c r="B161" s="1086"/>
      <c r="C161" s="1082"/>
      <c r="D161" s="1103"/>
      <c r="E161" s="1141"/>
      <c r="F161" s="1131"/>
      <c r="G161" s="1142"/>
      <c r="H161" s="1142"/>
      <c r="I161" s="1142"/>
      <c r="J161" s="1133"/>
      <c r="K161" s="1133"/>
      <c r="L161" s="1142"/>
      <c r="M161" s="1142"/>
      <c r="N161" s="1142"/>
      <c r="O161" s="1142"/>
      <c r="P161" s="1133"/>
      <c r="Q161" s="1133"/>
      <c r="R161" s="1101"/>
      <c r="S161" s="1101"/>
      <c r="T161" s="1101"/>
      <c r="U161" s="1101"/>
      <c r="V161" s="1101"/>
      <c r="W161" s="1103"/>
      <c r="X161" s="1082"/>
      <c r="Y161" s="1086"/>
      <c r="Z161" s="1082"/>
    </row>
    <row r="162" ht="22.5" customHeight="1">
      <c r="A162" s="1082"/>
      <c r="B162" s="1086"/>
      <c r="C162" s="1082"/>
      <c r="D162" s="1090"/>
      <c r="E162" s="1135"/>
      <c r="F162" s="1135"/>
      <c r="G162" s="1135"/>
      <c r="H162" s="1135"/>
      <c r="I162" s="1135"/>
      <c r="J162" s="1135"/>
      <c r="K162" s="1135"/>
      <c r="L162" s="1135"/>
      <c r="M162" s="1135"/>
      <c r="N162" s="1135"/>
      <c r="O162" s="1135"/>
      <c r="P162" s="1135"/>
      <c r="Q162" s="1135"/>
      <c r="R162" s="1135"/>
      <c r="S162" s="1135"/>
      <c r="T162" s="1135"/>
      <c r="U162" s="1135"/>
      <c r="V162" s="1135"/>
      <c r="W162" s="1094"/>
      <c r="X162" s="1082"/>
      <c r="Y162" s="1086"/>
      <c r="Z162" s="1082"/>
    </row>
    <row r="163">
      <c r="A163" s="1082"/>
      <c r="B163" s="1086"/>
      <c r="C163" s="1082"/>
      <c r="D163" s="1103"/>
      <c r="E163" s="1104" t="s">
        <v>1640</v>
      </c>
      <c r="F163" s="1105"/>
      <c r="G163" s="1105"/>
      <c r="H163" s="1105"/>
      <c r="I163" s="1105"/>
      <c r="J163" s="1105"/>
      <c r="K163" s="1105"/>
      <c r="L163" s="1105"/>
      <c r="M163" s="1105"/>
      <c r="N163" s="1105"/>
      <c r="O163" s="1105"/>
      <c r="P163" s="1105"/>
      <c r="Q163" s="1105"/>
      <c r="R163" s="1105"/>
      <c r="S163" s="1105"/>
      <c r="T163" s="1105"/>
      <c r="U163" s="1105"/>
      <c r="V163" s="1106"/>
      <c r="W163" s="1103"/>
      <c r="X163" s="1082"/>
      <c r="Y163" s="1086"/>
      <c r="Z163" s="1082"/>
    </row>
    <row r="164" ht="3.75" customHeight="1">
      <c r="A164" s="1082"/>
      <c r="B164" s="1086"/>
      <c r="C164" s="1082"/>
      <c r="D164" s="1103"/>
      <c r="E164" s="1107"/>
      <c r="F164" s="1108"/>
      <c r="G164" s="1108"/>
      <c r="H164" s="1108"/>
      <c r="I164" s="1108"/>
      <c r="J164" s="1108"/>
      <c r="K164" s="1108"/>
      <c r="L164" s="1108"/>
      <c r="M164" s="1108"/>
      <c r="N164" s="1108"/>
      <c r="O164" s="1108"/>
      <c r="P164" s="1108"/>
      <c r="Q164" s="1108"/>
      <c r="R164" s="1108"/>
      <c r="S164" s="1108"/>
      <c r="T164" s="1108"/>
      <c r="U164" s="1108"/>
      <c r="V164" s="1109"/>
      <c r="W164" s="1103"/>
      <c r="X164" s="1082"/>
      <c r="Y164" s="1086"/>
      <c r="Z164" s="1082"/>
    </row>
    <row r="165" ht="20.25" customHeight="1">
      <c r="A165" s="1082"/>
      <c r="B165" s="1086"/>
      <c r="C165" s="1082"/>
      <c r="D165" s="1103"/>
      <c r="E165" s="1110"/>
      <c r="F165" s="1139" t="str">
        <f>Source!$AN$88</f>
        <v/>
      </c>
      <c r="G165" s="1140" t="s">
        <v>1641</v>
      </c>
      <c r="H165" s="1113"/>
      <c r="I165" s="1114"/>
      <c r="J165" s="1115"/>
      <c r="K165" s="1116"/>
      <c r="L165" s="1117" t="str">
        <f>Source!$AN$53</f>
        <v/>
      </c>
      <c r="M165" s="1151" t="s">
        <v>1642</v>
      </c>
      <c r="N165" s="1113"/>
      <c r="O165" s="1114"/>
      <c r="P165" s="1115"/>
      <c r="Q165" s="1116"/>
      <c r="R165" s="1111" t="str">
        <f>Source!$AN$33</f>
        <v/>
      </c>
      <c r="S165" s="1128" t="s">
        <v>1643</v>
      </c>
      <c r="T165" s="1113"/>
      <c r="U165" s="1114"/>
      <c r="V165" s="1120"/>
      <c r="W165" s="1103"/>
      <c r="X165" s="1082"/>
      <c r="Y165" s="1086"/>
      <c r="Z165" s="1082"/>
    </row>
    <row r="166" ht="2.25" customHeight="1">
      <c r="A166" s="1082"/>
      <c r="B166" s="1086"/>
      <c r="C166" s="1082"/>
      <c r="D166" s="1103"/>
      <c r="E166" s="1110"/>
      <c r="F166" s="1121"/>
      <c r="G166" s="1122"/>
      <c r="H166" s="1122"/>
      <c r="I166" s="1122"/>
      <c r="J166" s="1123"/>
      <c r="K166" s="1123"/>
      <c r="L166" s="1122"/>
      <c r="M166" s="1122"/>
      <c r="N166" s="1122"/>
      <c r="O166" s="1122"/>
      <c r="P166" s="1123"/>
      <c r="Q166" s="1123"/>
      <c r="R166" s="1122"/>
      <c r="S166" s="1122"/>
      <c r="T166" s="1122"/>
      <c r="U166" s="1122"/>
      <c r="V166" s="1124"/>
      <c r="W166" s="1103"/>
      <c r="X166" s="1082"/>
      <c r="Y166" s="1086"/>
      <c r="Z166" s="1082"/>
    </row>
    <row r="167" ht="2.25" customHeight="1">
      <c r="A167" s="1082"/>
      <c r="B167" s="1086"/>
      <c r="C167" s="1082"/>
      <c r="D167" s="1103"/>
      <c r="E167" s="1110"/>
      <c r="F167" s="1125"/>
      <c r="G167" s="1126"/>
      <c r="H167" s="1126"/>
      <c r="I167" s="1126"/>
      <c r="J167" s="1123"/>
      <c r="K167" s="1123"/>
      <c r="L167" s="1126"/>
      <c r="M167" s="1126"/>
      <c r="N167" s="1126"/>
      <c r="O167" s="1126"/>
      <c r="P167" s="1123"/>
      <c r="Q167" s="1123"/>
      <c r="R167" s="1126"/>
      <c r="S167" s="1126"/>
      <c r="T167" s="1126"/>
      <c r="U167" s="1126"/>
      <c r="V167" s="1124"/>
      <c r="W167" s="1103"/>
      <c r="X167" s="1082"/>
      <c r="Y167" s="1086"/>
      <c r="Z167" s="1082"/>
    </row>
    <row r="168" ht="20.25" customHeight="1">
      <c r="A168" s="1082"/>
      <c r="B168" s="1086"/>
      <c r="C168" s="1082"/>
      <c r="D168" s="1103"/>
      <c r="E168" s="1110"/>
      <c r="F168" s="1117" t="str">
        <f>Source!$AK$7</f>
        <v/>
      </c>
      <c r="G168" s="1151" t="s">
        <v>1528</v>
      </c>
      <c r="H168" s="1113"/>
      <c r="I168" s="1114"/>
      <c r="J168" s="1115"/>
      <c r="K168" s="1116"/>
      <c r="L168" s="1111" t="str">
        <f>Source!$AE$31</f>
        <v/>
      </c>
      <c r="M168" s="1128" t="s">
        <v>1644</v>
      </c>
      <c r="N168" s="1113"/>
      <c r="O168" s="1114"/>
      <c r="P168" s="1115"/>
      <c r="Q168" s="1116"/>
      <c r="R168" s="1117" t="str">
        <f>Source!$AT$60</f>
        <v/>
      </c>
      <c r="S168" s="1151" t="s">
        <v>1645</v>
      </c>
      <c r="T168" s="1113"/>
      <c r="U168" s="1114"/>
      <c r="V168" s="1120"/>
      <c r="W168" s="1103"/>
      <c r="X168" s="1082"/>
      <c r="Y168" s="1086"/>
      <c r="Z168" s="1082"/>
    </row>
    <row r="169" ht="2.25" customHeight="1">
      <c r="A169" s="1082"/>
      <c r="B169" s="1086"/>
      <c r="C169" s="1082"/>
      <c r="D169" s="1103"/>
      <c r="E169" s="1110"/>
      <c r="F169" s="1121"/>
      <c r="G169" s="1122"/>
      <c r="H169" s="1122"/>
      <c r="I169" s="1122"/>
      <c r="J169" s="1123"/>
      <c r="K169" s="1123"/>
      <c r="L169" s="1122"/>
      <c r="M169" s="1122"/>
      <c r="N169" s="1122"/>
      <c r="O169" s="1122"/>
      <c r="P169" s="1123"/>
      <c r="Q169" s="1123"/>
      <c r="R169" s="1122"/>
      <c r="S169" s="1122"/>
      <c r="T169" s="1122"/>
      <c r="U169" s="1122"/>
      <c r="V169" s="1124"/>
      <c r="W169" s="1103"/>
      <c r="X169" s="1082"/>
      <c r="Y169" s="1086"/>
      <c r="Z169" s="1082"/>
    </row>
    <row r="170" ht="2.25" customHeight="1">
      <c r="A170" s="1082"/>
      <c r="B170" s="1086"/>
      <c r="C170" s="1082"/>
      <c r="D170" s="1103"/>
      <c r="E170" s="1110"/>
      <c r="F170" s="1125"/>
      <c r="G170" s="1126"/>
      <c r="H170" s="1126"/>
      <c r="I170" s="1126"/>
      <c r="J170" s="1123"/>
      <c r="K170" s="1123"/>
      <c r="L170" s="1126"/>
      <c r="M170" s="1126"/>
      <c r="N170" s="1126"/>
      <c r="O170" s="1126"/>
      <c r="P170" s="1123"/>
      <c r="Q170" s="1123"/>
      <c r="R170" s="1126"/>
      <c r="S170" s="1126"/>
      <c r="T170" s="1126"/>
      <c r="U170" s="1126"/>
      <c r="V170" s="1124"/>
      <c r="W170" s="1103"/>
      <c r="X170" s="1082"/>
      <c r="Y170" s="1086"/>
      <c r="Z170" s="1082"/>
    </row>
    <row r="171" ht="20.25" customHeight="1">
      <c r="A171" s="1082"/>
      <c r="B171" s="1086"/>
      <c r="C171" s="1082"/>
      <c r="D171" s="1103"/>
      <c r="E171" s="1110"/>
      <c r="F171" s="1111" t="str">
        <f>Source!$AE$20</f>
        <v/>
      </c>
      <c r="G171" s="1128" t="s">
        <v>1646</v>
      </c>
      <c r="H171" s="1113"/>
      <c r="I171" s="1114"/>
      <c r="J171" s="1115"/>
      <c r="K171" s="1116"/>
      <c r="L171" s="1117" t="str">
        <f>Source!$AT$50</f>
        <v/>
      </c>
      <c r="M171" s="1151" t="s">
        <v>1647</v>
      </c>
      <c r="N171" s="1113"/>
      <c r="O171" s="1114"/>
      <c r="P171" s="1115"/>
      <c r="Q171" s="1116"/>
      <c r="R171" s="1111" t="str">
        <f>Source!$AN$59</f>
        <v/>
      </c>
      <c r="S171" s="1128" t="s">
        <v>1648</v>
      </c>
      <c r="T171" s="1113"/>
      <c r="U171" s="1114"/>
      <c r="V171" s="1120"/>
      <c r="W171" s="1103"/>
      <c r="X171" s="1082"/>
      <c r="Y171" s="1086"/>
      <c r="Z171" s="1082"/>
    </row>
    <row r="172" ht="2.25" customHeight="1">
      <c r="A172" s="1082"/>
      <c r="B172" s="1086"/>
      <c r="C172" s="1082"/>
      <c r="D172" s="1103"/>
      <c r="E172" s="1110"/>
      <c r="F172" s="1121"/>
      <c r="G172" s="1122"/>
      <c r="H172" s="1122"/>
      <c r="I172" s="1122"/>
      <c r="J172" s="1123"/>
      <c r="K172" s="1123"/>
      <c r="L172" s="1122"/>
      <c r="M172" s="1122"/>
      <c r="N172" s="1122"/>
      <c r="O172" s="1122"/>
      <c r="P172" s="1123"/>
      <c r="Q172" s="1123"/>
      <c r="R172" s="1122"/>
      <c r="S172" s="1122"/>
      <c r="T172" s="1122"/>
      <c r="U172" s="1122"/>
      <c r="V172" s="1124"/>
      <c r="W172" s="1103"/>
      <c r="X172" s="1082"/>
      <c r="Y172" s="1086"/>
      <c r="Z172" s="1082"/>
    </row>
    <row r="173" ht="2.25" customHeight="1">
      <c r="A173" s="1082"/>
      <c r="B173" s="1086"/>
      <c r="C173" s="1082"/>
      <c r="D173" s="1103"/>
      <c r="E173" s="1110"/>
      <c r="F173" s="1125"/>
      <c r="G173" s="1126"/>
      <c r="H173" s="1126"/>
      <c r="I173" s="1126"/>
      <c r="J173" s="1123"/>
      <c r="K173" s="1123"/>
      <c r="L173" s="1126"/>
      <c r="M173" s="1126"/>
      <c r="N173" s="1126"/>
      <c r="O173" s="1126"/>
      <c r="P173" s="1123"/>
      <c r="Q173" s="1123"/>
      <c r="R173" s="1126"/>
      <c r="S173" s="1126"/>
      <c r="T173" s="1126"/>
      <c r="U173" s="1126"/>
      <c r="V173" s="1124"/>
      <c r="W173" s="1103"/>
      <c r="X173" s="1082"/>
      <c r="Y173" s="1086"/>
      <c r="Z173" s="1082"/>
    </row>
    <row r="174" ht="20.25" customHeight="1">
      <c r="A174" s="1082"/>
      <c r="B174" s="1086"/>
      <c r="C174" s="1082"/>
      <c r="D174" s="1103"/>
      <c r="E174" s="1110"/>
      <c r="F174" s="1117" t="str">
        <f>Source!$AT$35</f>
        <v/>
      </c>
      <c r="G174" s="1151" t="s">
        <v>1649</v>
      </c>
      <c r="H174" s="1113"/>
      <c r="I174" s="1114"/>
      <c r="J174" s="1115"/>
      <c r="K174" s="1116"/>
      <c r="L174" s="1111" t="str">
        <f>Source!$AN$46</f>
        <v/>
      </c>
      <c r="M174" s="1128" t="s">
        <v>1650</v>
      </c>
      <c r="N174" s="1113"/>
      <c r="O174" s="1114"/>
      <c r="P174" s="1115"/>
      <c r="Q174" s="1116"/>
      <c r="R174" s="1117" t="str">
        <f>Source!$AE$13</f>
        <v/>
      </c>
      <c r="S174" s="1151" t="s">
        <v>1651</v>
      </c>
      <c r="T174" s="1113"/>
      <c r="U174" s="1114"/>
      <c r="V174" s="1120"/>
      <c r="W174" s="1103"/>
      <c r="X174" s="1082"/>
      <c r="Y174" s="1086"/>
      <c r="Z174" s="1082"/>
    </row>
    <row r="175" ht="2.25" customHeight="1">
      <c r="A175" s="1082"/>
      <c r="B175" s="1086"/>
      <c r="C175" s="1082"/>
      <c r="D175" s="1103"/>
      <c r="E175" s="1110"/>
      <c r="F175" s="1121"/>
      <c r="G175" s="1122"/>
      <c r="H175" s="1122"/>
      <c r="I175" s="1122"/>
      <c r="J175" s="1123"/>
      <c r="K175" s="1123"/>
      <c r="L175" s="1122"/>
      <c r="M175" s="1122"/>
      <c r="N175" s="1122"/>
      <c r="O175" s="1122"/>
      <c r="P175" s="1123"/>
      <c r="Q175" s="1123"/>
      <c r="R175" s="1122"/>
      <c r="S175" s="1122"/>
      <c r="T175" s="1122"/>
      <c r="U175" s="1122"/>
      <c r="V175" s="1124"/>
      <c r="W175" s="1103"/>
      <c r="X175" s="1082"/>
      <c r="Y175" s="1086"/>
      <c r="Z175" s="1082"/>
    </row>
    <row r="176" ht="2.25" customHeight="1">
      <c r="A176" s="1082"/>
      <c r="B176" s="1086"/>
      <c r="C176" s="1082"/>
      <c r="D176" s="1103"/>
      <c r="E176" s="1110"/>
      <c r="F176" s="1125"/>
      <c r="G176" s="1126"/>
      <c r="H176" s="1126"/>
      <c r="I176" s="1126"/>
      <c r="J176" s="1123"/>
      <c r="K176" s="1123"/>
      <c r="L176" s="1126"/>
      <c r="M176" s="1126"/>
      <c r="N176" s="1126"/>
      <c r="O176" s="1126"/>
      <c r="P176" s="1123"/>
      <c r="Q176" s="1123"/>
      <c r="R176" s="1126"/>
      <c r="S176" s="1126"/>
      <c r="T176" s="1126"/>
      <c r="U176" s="1126"/>
      <c r="V176" s="1124"/>
      <c r="W176" s="1103"/>
      <c r="X176" s="1082"/>
      <c r="Y176" s="1086"/>
      <c r="Z176" s="1082"/>
    </row>
    <row r="177" ht="20.25" customHeight="1">
      <c r="A177" s="1082"/>
      <c r="B177" s="1086"/>
      <c r="C177" s="1082"/>
      <c r="D177" s="1103"/>
      <c r="E177" s="1110"/>
      <c r="F177" s="1111" t="str">
        <f>Source!$AN$38</f>
        <v/>
      </c>
      <c r="G177" s="1128" t="s">
        <v>1652</v>
      </c>
      <c r="H177" s="1113"/>
      <c r="I177" s="1114"/>
      <c r="J177" s="1115"/>
      <c r="K177" s="1116"/>
      <c r="L177" s="1139" t="str">
        <f>Source!$AN$44</f>
        <v/>
      </c>
      <c r="M177" s="1140" t="s">
        <v>1653</v>
      </c>
      <c r="N177" s="1113"/>
      <c r="O177" s="1114"/>
      <c r="P177" s="1115"/>
      <c r="Q177" s="1116"/>
      <c r="R177" s="1139" t="str">
        <f>Source!$AN$24</f>
        <v/>
      </c>
      <c r="S177" s="1140" t="s">
        <v>1654</v>
      </c>
      <c r="T177" s="1113"/>
      <c r="U177" s="1114"/>
      <c r="V177" s="1120"/>
      <c r="W177" s="1103"/>
      <c r="X177" s="1082"/>
      <c r="Y177" s="1086"/>
      <c r="Z177" s="1082"/>
    </row>
    <row r="178" ht="2.25" customHeight="1">
      <c r="A178" s="1082"/>
      <c r="B178" s="1086"/>
      <c r="C178" s="1082"/>
      <c r="D178" s="1103"/>
      <c r="E178" s="1110"/>
      <c r="F178" s="1121"/>
      <c r="G178" s="1122"/>
      <c r="H178" s="1122"/>
      <c r="I178" s="1122"/>
      <c r="J178" s="1123"/>
      <c r="K178" s="1123"/>
      <c r="L178" s="1122"/>
      <c r="M178" s="1122"/>
      <c r="N178" s="1122"/>
      <c r="O178" s="1122"/>
      <c r="P178" s="1123"/>
      <c r="Q178" s="1123"/>
      <c r="R178" s="1122"/>
      <c r="S178" s="1122"/>
      <c r="T178" s="1122"/>
      <c r="U178" s="1122"/>
      <c r="V178" s="1124"/>
      <c r="W178" s="1103"/>
      <c r="X178" s="1082"/>
      <c r="Y178" s="1086"/>
      <c r="Z178" s="1082"/>
    </row>
    <row r="179" ht="2.25" customHeight="1">
      <c r="A179" s="1082"/>
      <c r="B179" s="1086"/>
      <c r="C179" s="1082"/>
      <c r="D179" s="1103"/>
      <c r="E179" s="1110"/>
      <c r="F179" s="1125"/>
      <c r="G179" s="1126"/>
      <c r="H179" s="1126"/>
      <c r="I179" s="1126"/>
      <c r="J179" s="1123"/>
      <c r="K179" s="1123"/>
      <c r="L179" s="1126"/>
      <c r="M179" s="1126"/>
      <c r="N179" s="1126"/>
      <c r="O179" s="1126"/>
      <c r="P179" s="1133"/>
      <c r="Q179" s="1133"/>
      <c r="R179" s="1133"/>
      <c r="S179" s="1133"/>
      <c r="T179" s="1133"/>
      <c r="U179" s="1133"/>
      <c r="V179" s="1152"/>
      <c r="W179" s="1103"/>
      <c r="X179" s="1082"/>
      <c r="Y179" s="1086"/>
      <c r="Z179" s="1082"/>
    </row>
    <row r="180" ht="20.25" customHeight="1">
      <c r="A180" s="1082"/>
      <c r="B180" s="1086"/>
      <c r="C180" s="1082"/>
      <c r="D180" s="1103"/>
      <c r="E180" s="1110"/>
      <c r="F180" s="1117" t="str">
        <f>Source!$AN$48</f>
        <v/>
      </c>
      <c r="G180" s="1151" t="s">
        <v>1655</v>
      </c>
      <c r="H180" s="1113"/>
      <c r="I180" s="1114"/>
      <c r="J180" s="1115"/>
      <c r="K180" s="1153"/>
      <c r="L180" s="1127" t="str">
        <f>Source!$AB$40</f>
        <v/>
      </c>
      <c r="M180" s="1128" t="s">
        <v>1656</v>
      </c>
      <c r="N180" s="1113"/>
      <c r="O180" s="1114"/>
      <c r="P180" s="1120"/>
      <c r="Q180" s="1087"/>
      <c r="R180" s="1087"/>
      <c r="S180" s="1088"/>
      <c r="T180" s="1088"/>
      <c r="U180" s="1088"/>
      <c r="V180" s="1088"/>
      <c r="W180" s="1103"/>
      <c r="X180" s="1082"/>
      <c r="Y180" s="1086"/>
      <c r="Z180" s="1082"/>
    </row>
    <row r="181" ht="3.75" customHeight="1">
      <c r="A181" s="1082"/>
      <c r="B181" s="1086"/>
      <c r="C181" s="1082"/>
      <c r="D181" s="1103"/>
      <c r="E181" s="1147"/>
      <c r="F181" s="1131"/>
      <c r="G181" s="1131"/>
      <c r="H181" s="1131"/>
      <c r="I181" s="1131"/>
      <c r="J181" s="1132"/>
      <c r="K181" s="1152"/>
      <c r="L181" s="1131"/>
      <c r="M181" s="1131"/>
      <c r="N181" s="1131"/>
      <c r="O181" s="1131"/>
      <c r="P181" s="1132"/>
      <c r="Q181" s="1101"/>
      <c r="R181" s="1101"/>
      <c r="S181" s="1101"/>
      <c r="T181" s="1101"/>
      <c r="U181" s="1101"/>
      <c r="V181" s="1101"/>
      <c r="W181" s="1103"/>
      <c r="X181" s="1082"/>
      <c r="Y181" s="1086"/>
      <c r="Z181" s="1082"/>
    </row>
    <row r="182" ht="22.5" customHeight="1">
      <c r="A182" s="1082"/>
      <c r="B182" s="1086"/>
      <c r="C182" s="1082"/>
      <c r="D182" s="1090"/>
      <c r="E182" s="1135"/>
      <c r="F182" s="1135"/>
      <c r="G182" s="1135"/>
      <c r="H182" s="1135"/>
      <c r="I182" s="1135"/>
      <c r="J182" s="1135"/>
      <c r="K182" s="1135"/>
      <c r="L182" s="1135"/>
      <c r="M182" s="1135"/>
      <c r="N182" s="1135"/>
      <c r="O182" s="1135"/>
      <c r="P182" s="1135"/>
      <c r="Q182" s="1135"/>
      <c r="R182" s="1135"/>
      <c r="S182" s="1135"/>
      <c r="T182" s="1135"/>
      <c r="U182" s="1135"/>
      <c r="V182" s="1135"/>
      <c r="W182" s="1094"/>
      <c r="X182" s="1082"/>
      <c r="Y182" s="1086"/>
      <c r="Z182" s="1082"/>
    </row>
    <row r="183">
      <c r="A183" s="1082"/>
      <c r="B183" s="1086"/>
      <c r="C183" s="1082"/>
      <c r="D183" s="1103"/>
      <c r="E183" s="1104" t="s">
        <v>1657</v>
      </c>
      <c r="F183" s="1105"/>
      <c r="G183" s="1105"/>
      <c r="H183" s="1105"/>
      <c r="I183" s="1105"/>
      <c r="J183" s="1105"/>
      <c r="K183" s="1105"/>
      <c r="L183" s="1105"/>
      <c r="M183" s="1105"/>
      <c r="N183" s="1105"/>
      <c r="O183" s="1105"/>
      <c r="P183" s="1105"/>
      <c r="Q183" s="1105"/>
      <c r="R183" s="1105"/>
      <c r="S183" s="1105"/>
      <c r="T183" s="1105"/>
      <c r="U183" s="1105"/>
      <c r="V183" s="1106"/>
      <c r="W183" s="1103"/>
      <c r="X183" s="1082"/>
      <c r="Y183" s="1086"/>
      <c r="Z183" s="1082"/>
    </row>
    <row r="184" ht="3.75" customHeight="1">
      <c r="A184" s="1082"/>
      <c r="B184" s="1086"/>
      <c r="C184" s="1082"/>
      <c r="D184" s="1103"/>
      <c r="E184" s="1136"/>
      <c r="F184" s="1137"/>
      <c r="G184" s="1137"/>
      <c r="H184" s="1137"/>
      <c r="I184" s="1137"/>
      <c r="J184" s="1137"/>
      <c r="K184" s="1137"/>
      <c r="L184" s="1137"/>
      <c r="M184" s="1137"/>
      <c r="N184" s="1137"/>
      <c r="O184" s="1137"/>
      <c r="P184" s="1137"/>
      <c r="Q184" s="1137"/>
      <c r="R184" s="1123"/>
      <c r="S184" s="1123"/>
      <c r="T184" s="1123"/>
      <c r="U184" s="1123"/>
      <c r="V184" s="1124"/>
      <c r="W184" s="1103"/>
      <c r="X184" s="1082"/>
      <c r="Y184" s="1086"/>
      <c r="Z184" s="1082"/>
    </row>
    <row r="185" ht="20.25" customHeight="1">
      <c r="A185" s="1082"/>
      <c r="B185" s="1086"/>
      <c r="C185" s="1082"/>
      <c r="D185" s="1103"/>
      <c r="E185" s="1110"/>
      <c r="F185" s="1127" t="str">
        <f>Source!$AN$49</f>
        <v/>
      </c>
      <c r="G185" s="1128" t="s">
        <v>1658</v>
      </c>
      <c r="H185" s="1113"/>
      <c r="I185" s="1114"/>
      <c r="J185" s="1115"/>
      <c r="K185" s="1116"/>
      <c r="L185" s="1117" t="str">
        <f>Source!$AN$67</f>
        <v/>
      </c>
      <c r="M185" s="1151" t="s">
        <v>1659</v>
      </c>
      <c r="N185" s="1113"/>
      <c r="O185" s="1114"/>
      <c r="P185" s="1115"/>
      <c r="Q185" s="1123"/>
      <c r="R185" s="1087"/>
      <c r="S185" s="1088"/>
      <c r="T185" s="1088"/>
      <c r="U185" s="1088"/>
      <c r="V185" s="1088"/>
      <c r="W185" s="1103"/>
      <c r="X185" s="1082"/>
      <c r="Y185" s="1086"/>
      <c r="Z185" s="1082"/>
    </row>
    <row r="186" ht="3.75" customHeight="1">
      <c r="A186" s="1082"/>
      <c r="B186" s="1086"/>
      <c r="C186" s="1082"/>
      <c r="D186" s="1103"/>
      <c r="E186" s="1141"/>
      <c r="F186" s="1131"/>
      <c r="G186" s="1142"/>
      <c r="H186" s="1142"/>
      <c r="I186" s="1142"/>
      <c r="J186" s="1133"/>
      <c r="K186" s="1133"/>
      <c r="L186" s="1142"/>
      <c r="M186" s="1142"/>
      <c r="N186" s="1142"/>
      <c r="O186" s="1142"/>
      <c r="P186" s="1133"/>
      <c r="Q186" s="1133"/>
      <c r="R186" s="1101"/>
      <c r="S186" s="1101"/>
      <c r="T186" s="1101"/>
      <c r="U186" s="1101"/>
      <c r="V186" s="1101"/>
      <c r="W186" s="1103"/>
      <c r="X186" s="1082"/>
      <c r="Y186" s="1086"/>
      <c r="Z186" s="1082"/>
    </row>
    <row r="187" ht="22.5" customHeight="1">
      <c r="A187" s="1082"/>
      <c r="B187" s="1086"/>
      <c r="C187" s="1082"/>
      <c r="D187" s="1090"/>
      <c r="E187" s="1135"/>
      <c r="F187" s="1135"/>
      <c r="G187" s="1135"/>
      <c r="H187" s="1135"/>
      <c r="I187" s="1135"/>
      <c r="J187" s="1135"/>
      <c r="K187" s="1135"/>
      <c r="L187" s="1135"/>
      <c r="M187" s="1135"/>
      <c r="N187" s="1135"/>
      <c r="O187" s="1135"/>
      <c r="P187" s="1135"/>
      <c r="Q187" s="1135"/>
      <c r="R187" s="1135"/>
      <c r="S187" s="1135"/>
      <c r="T187" s="1135"/>
      <c r="U187" s="1135"/>
      <c r="V187" s="1135"/>
      <c r="W187" s="1094"/>
      <c r="X187" s="1082"/>
      <c r="Y187" s="1086"/>
      <c r="Z187" s="1082"/>
    </row>
    <row r="188">
      <c r="A188" s="1082"/>
      <c r="B188" s="1086"/>
      <c r="C188" s="1082"/>
      <c r="D188" s="1103"/>
      <c r="E188" s="1104" t="s">
        <v>1660</v>
      </c>
      <c r="F188" s="1105"/>
      <c r="G188" s="1105"/>
      <c r="H188" s="1105"/>
      <c r="I188" s="1105"/>
      <c r="J188" s="1105"/>
      <c r="K188" s="1105"/>
      <c r="L188" s="1105"/>
      <c r="M188" s="1105"/>
      <c r="N188" s="1105"/>
      <c r="O188" s="1105"/>
      <c r="P188" s="1105"/>
      <c r="Q188" s="1105"/>
      <c r="R188" s="1105"/>
      <c r="S188" s="1105"/>
      <c r="T188" s="1105"/>
      <c r="U188" s="1105"/>
      <c r="V188" s="1106"/>
      <c r="W188" s="1103"/>
      <c r="X188" s="1082"/>
      <c r="Y188" s="1086"/>
      <c r="Z188" s="1082"/>
    </row>
    <row r="189" ht="3.75" customHeight="1">
      <c r="A189" s="1082"/>
      <c r="B189" s="1086"/>
      <c r="C189" s="1082"/>
      <c r="D189" s="1103"/>
      <c r="E189" s="1136"/>
      <c r="F189" s="1137"/>
      <c r="G189" s="1137"/>
      <c r="H189" s="1137"/>
      <c r="I189" s="1137"/>
      <c r="J189" s="1137"/>
      <c r="K189" s="1137"/>
      <c r="L189" s="1123"/>
      <c r="M189" s="1123"/>
      <c r="N189" s="1123"/>
      <c r="O189" s="1123"/>
      <c r="P189" s="1123"/>
      <c r="Q189" s="1123"/>
      <c r="R189" s="1123"/>
      <c r="S189" s="1123"/>
      <c r="T189" s="1123"/>
      <c r="U189" s="1123"/>
      <c r="V189" s="1124"/>
      <c r="W189" s="1103"/>
      <c r="X189" s="1082"/>
      <c r="Y189" s="1086"/>
      <c r="Z189" s="1082"/>
    </row>
    <row r="190" ht="20.25" customHeight="1">
      <c r="A190" s="1082"/>
      <c r="B190" s="1086"/>
      <c r="C190" s="1082"/>
      <c r="D190" s="1103"/>
      <c r="E190" s="1110"/>
      <c r="F190" s="1127" t="str">
        <f>Source!$Y$2</f>
        <v/>
      </c>
      <c r="G190" s="1128" t="s">
        <v>1661</v>
      </c>
      <c r="H190" s="1113"/>
      <c r="I190" s="1114"/>
      <c r="J190" s="1115"/>
      <c r="K190" s="1123"/>
      <c r="L190" s="1087"/>
      <c r="M190" s="1088"/>
      <c r="N190" s="1088"/>
      <c r="O190" s="1088"/>
      <c r="P190" s="1088"/>
      <c r="Q190" s="1088"/>
      <c r="R190" s="1087"/>
      <c r="S190" s="1088"/>
      <c r="T190" s="1088"/>
      <c r="U190" s="1088"/>
      <c r="V190" s="1088"/>
      <c r="W190" s="1103"/>
      <c r="X190" s="1082"/>
      <c r="Y190" s="1086"/>
      <c r="Z190" s="1082"/>
    </row>
    <row r="191" ht="3.75" customHeight="1">
      <c r="A191" s="1082"/>
      <c r="B191" s="1086"/>
      <c r="C191" s="1082"/>
      <c r="D191" s="1103"/>
      <c r="E191" s="1141"/>
      <c r="F191" s="1131"/>
      <c r="G191" s="1142"/>
      <c r="H191" s="1142"/>
      <c r="I191" s="1142"/>
      <c r="J191" s="1133"/>
      <c r="K191" s="1133"/>
      <c r="L191" s="1101"/>
      <c r="M191" s="1101"/>
      <c r="N191" s="1101"/>
      <c r="O191" s="1101"/>
      <c r="P191" s="1101"/>
      <c r="Q191" s="1101"/>
      <c r="R191" s="1101"/>
      <c r="S191" s="1101"/>
      <c r="T191" s="1101"/>
      <c r="U191" s="1101"/>
      <c r="V191" s="1101"/>
      <c r="W191" s="1103"/>
      <c r="X191" s="1082"/>
      <c r="Y191" s="1086"/>
      <c r="Z191" s="1082"/>
    </row>
    <row r="192" ht="22.5" customHeight="1">
      <c r="A192" s="1082"/>
      <c r="B192" s="1086"/>
      <c r="C192" s="1082"/>
      <c r="D192" s="1090"/>
      <c r="E192" s="1135"/>
      <c r="F192" s="1135"/>
      <c r="G192" s="1135"/>
      <c r="H192" s="1135"/>
      <c r="I192" s="1135"/>
      <c r="J192" s="1135"/>
      <c r="K192" s="1135"/>
      <c r="L192" s="1135"/>
      <c r="M192" s="1135"/>
      <c r="N192" s="1135"/>
      <c r="O192" s="1135"/>
      <c r="P192" s="1135"/>
      <c r="Q192" s="1135"/>
      <c r="R192" s="1135"/>
      <c r="S192" s="1135"/>
      <c r="T192" s="1135"/>
      <c r="U192" s="1135"/>
      <c r="V192" s="1135"/>
      <c r="W192" s="1094"/>
      <c r="X192" s="1082"/>
      <c r="Y192" s="1086"/>
      <c r="Z192" s="1082"/>
    </row>
    <row r="193">
      <c r="A193" s="1082"/>
      <c r="B193" s="1086"/>
      <c r="C193" s="1082"/>
      <c r="D193" s="1103"/>
      <c r="E193" s="1104" t="s">
        <v>1662</v>
      </c>
      <c r="F193" s="1105"/>
      <c r="G193" s="1105"/>
      <c r="H193" s="1105"/>
      <c r="I193" s="1105"/>
      <c r="J193" s="1105"/>
      <c r="K193" s="1105"/>
      <c r="L193" s="1105"/>
      <c r="M193" s="1105"/>
      <c r="N193" s="1105"/>
      <c r="O193" s="1105"/>
      <c r="P193" s="1105"/>
      <c r="Q193" s="1105"/>
      <c r="R193" s="1105"/>
      <c r="S193" s="1105"/>
      <c r="T193" s="1105"/>
      <c r="U193" s="1105"/>
      <c r="V193" s="1106"/>
      <c r="W193" s="1103"/>
      <c r="X193" s="1082"/>
      <c r="Y193" s="1086"/>
      <c r="Z193" s="1082"/>
    </row>
    <row r="194" ht="3.75" customHeight="1">
      <c r="A194" s="1082"/>
      <c r="B194" s="1086"/>
      <c r="C194" s="1082"/>
      <c r="D194" s="1103"/>
      <c r="E194" s="1136"/>
      <c r="F194" s="1137"/>
      <c r="G194" s="1137"/>
      <c r="H194" s="1137"/>
      <c r="I194" s="1137"/>
      <c r="J194" s="1137"/>
      <c r="K194" s="1137"/>
      <c r="L194" s="1137"/>
      <c r="M194" s="1137"/>
      <c r="N194" s="1137"/>
      <c r="O194" s="1137"/>
      <c r="P194" s="1137"/>
      <c r="Q194" s="1137"/>
      <c r="R194" s="1137"/>
      <c r="S194" s="1137"/>
      <c r="T194" s="1137"/>
      <c r="U194" s="1137"/>
      <c r="V194" s="1138"/>
      <c r="W194" s="1103"/>
      <c r="X194" s="1082"/>
      <c r="Y194" s="1086"/>
      <c r="Z194" s="1082"/>
    </row>
    <row r="195" ht="20.25" customHeight="1">
      <c r="A195" s="1082"/>
      <c r="B195" s="1086"/>
      <c r="C195" s="1082"/>
      <c r="D195" s="1103"/>
      <c r="E195" s="1110"/>
      <c r="F195" s="1111" t="str">
        <f>Source!$AN$21</f>
        <v/>
      </c>
      <c r="G195" s="1128" t="s">
        <v>1663</v>
      </c>
      <c r="H195" s="1113"/>
      <c r="I195" s="1114"/>
      <c r="J195" s="1115"/>
      <c r="K195" s="1116"/>
      <c r="L195" s="1117" t="str">
        <f>Source!$AN$22</f>
        <v/>
      </c>
      <c r="M195" s="1151" t="s">
        <v>1664</v>
      </c>
      <c r="N195" s="1113"/>
      <c r="O195" s="1114"/>
      <c r="P195" s="1115"/>
      <c r="Q195" s="1116"/>
      <c r="R195" s="1111" t="str">
        <f>Source!$AN$20</f>
        <v/>
      </c>
      <c r="S195" s="1128" t="s">
        <v>1665</v>
      </c>
      <c r="T195" s="1113"/>
      <c r="U195" s="1119"/>
      <c r="V195" s="1120"/>
      <c r="W195" s="1103"/>
      <c r="X195" s="1082"/>
      <c r="Y195" s="1086"/>
      <c r="Z195" s="1082"/>
    </row>
    <row r="196" ht="2.25" customHeight="1">
      <c r="A196" s="1082"/>
      <c r="B196" s="1086"/>
      <c r="C196" s="1082"/>
      <c r="D196" s="1103"/>
      <c r="E196" s="1110"/>
      <c r="F196" s="1121"/>
      <c r="G196" s="1122"/>
      <c r="H196" s="1122"/>
      <c r="I196" s="1122"/>
      <c r="J196" s="1123"/>
      <c r="K196" s="1123"/>
      <c r="L196" s="1122"/>
      <c r="M196" s="1122"/>
      <c r="N196" s="1122"/>
      <c r="O196" s="1122"/>
      <c r="P196" s="1123"/>
      <c r="Q196" s="1116"/>
      <c r="R196" s="1122"/>
      <c r="S196" s="1122"/>
      <c r="T196" s="1122"/>
      <c r="U196" s="1122"/>
      <c r="V196" s="1124"/>
      <c r="W196" s="1103"/>
      <c r="X196" s="1082"/>
      <c r="Y196" s="1086"/>
      <c r="Z196" s="1082"/>
    </row>
    <row r="197" ht="2.25" customHeight="1">
      <c r="A197" s="1082"/>
      <c r="B197" s="1086"/>
      <c r="C197" s="1082"/>
      <c r="D197" s="1103"/>
      <c r="E197" s="1110"/>
      <c r="F197" s="1125"/>
      <c r="G197" s="1126"/>
      <c r="H197" s="1126"/>
      <c r="I197" s="1126"/>
      <c r="J197" s="1123"/>
      <c r="K197" s="1123"/>
      <c r="L197" s="1126"/>
      <c r="M197" s="1126"/>
      <c r="N197" s="1126"/>
      <c r="O197" s="1126"/>
      <c r="P197" s="1123"/>
      <c r="Q197" s="1116"/>
      <c r="R197" s="1123"/>
      <c r="S197" s="1123"/>
      <c r="T197" s="1123"/>
      <c r="U197" s="1123"/>
      <c r="V197" s="1124"/>
      <c r="W197" s="1103"/>
      <c r="X197" s="1082"/>
      <c r="Y197" s="1086"/>
      <c r="Z197" s="1082"/>
    </row>
    <row r="198" ht="20.25" customHeight="1">
      <c r="A198" s="1082"/>
      <c r="B198" s="1086"/>
      <c r="C198" s="1082"/>
      <c r="D198" s="1103"/>
      <c r="E198" s="1110"/>
      <c r="F198" s="1117" t="str">
        <f>Source!$AN$32</f>
        <v/>
      </c>
      <c r="G198" s="1151" t="s">
        <v>1666</v>
      </c>
      <c r="H198" s="1113"/>
      <c r="I198" s="1114"/>
      <c r="J198" s="1115"/>
      <c r="K198" s="1116"/>
      <c r="L198" s="1111" t="str">
        <f>Source!$AN$75</f>
        <v/>
      </c>
      <c r="M198" s="1128" t="s">
        <v>1667</v>
      </c>
      <c r="N198" s="1113"/>
      <c r="O198" s="1114"/>
      <c r="P198" s="1115"/>
      <c r="Q198" s="1123"/>
      <c r="R198" s="1087"/>
      <c r="S198" s="1088"/>
      <c r="T198" s="1088"/>
      <c r="U198" s="1088"/>
      <c r="V198" s="1088"/>
      <c r="W198" s="1103"/>
      <c r="X198" s="1082"/>
      <c r="Y198" s="1086"/>
      <c r="Z198" s="1082"/>
    </row>
    <row r="199" ht="3.75" customHeight="1">
      <c r="A199" s="1082"/>
      <c r="B199" s="1086"/>
      <c r="C199" s="1082"/>
      <c r="D199" s="1103"/>
      <c r="E199" s="1141"/>
      <c r="F199" s="1131"/>
      <c r="G199" s="1142"/>
      <c r="H199" s="1142"/>
      <c r="I199" s="1142"/>
      <c r="J199" s="1133"/>
      <c r="K199" s="1133"/>
      <c r="L199" s="1142"/>
      <c r="M199" s="1142"/>
      <c r="N199" s="1142"/>
      <c r="O199" s="1142"/>
      <c r="P199" s="1133"/>
      <c r="Q199" s="1133"/>
      <c r="R199" s="1101"/>
      <c r="S199" s="1101"/>
      <c r="T199" s="1101"/>
      <c r="U199" s="1101"/>
      <c r="V199" s="1101"/>
      <c r="W199" s="1103"/>
      <c r="X199" s="1082"/>
      <c r="Y199" s="1086"/>
      <c r="Z199" s="1082"/>
    </row>
    <row r="200" ht="4.5" customHeight="1">
      <c r="A200" s="1082"/>
      <c r="B200" s="1086"/>
      <c r="C200" s="1082"/>
      <c r="D200" s="1154"/>
      <c r="E200" s="1102"/>
      <c r="F200" s="1102"/>
      <c r="G200" s="1102"/>
      <c r="H200" s="1102"/>
      <c r="I200" s="1102"/>
      <c r="J200" s="1102"/>
      <c r="K200" s="1102"/>
      <c r="L200" s="1102"/>
      <c r="M200" s="1102"/>
      <c r="N200" s="1102"/>
      <c r="O200" s="1102"/>
      <c r="P200" s="1102"/>
      <c r="Q200" s="1102"/>
      <c r="R200" s="1102"/>
      <c r="S200" s="1102"/>
      <c r="T200" s="1102"/>
      <c r="U200" s="1102"/>
      <c r="V200" s="1102"/>
      <c r="W200" s="1155"/>
      <c r="X200" s="1082"/>
      <c r="Y200" s="1086"/>
      <c r="Z200" s="1082"/>
    </row>
    <row r="201" ht="6.0" customHeight="1">
      <c r="A201" s="1082"/>
      <c r="B201" s="1086"/>
      <c r="C201" s="1082"/>
      <c r="D201" s="1082"/>
      <c r="E201" s="1082"/>
      <c r="F201" s="1082"/>
      <c r="G201" s="1082"/>
      <c r="H201" s="1082"/>
      <c r="I201" s="1082"/>
      <c r="J201" s="1082"/>
      <c r="K201" s="1082"/>
      <c r="L201" s="1082"/>
      <c r="M201" s="1082"/>
      <c r="N201" s="1082"/>
      <c r="O201" s="1082"/>
      <c r="P201" s="1082"/>
      <c r="Q201" s="1082"/>
      <c r="R201" s="1082"/>
      <c r="S201" s="1082"/>
      <c r="T201" s="1082"/>
      <c r="U201" s="1082"/>
      <c r="V201" s="1082"/>
      <c r="W201" s="1082"/>
      <c r="X201" s="1082"/>
      <c r="Y201" s="1086"/>
      <c r="Z201" s="1082"/>
    </row>
    <row r="202" ht="6.0" customHeight="1">
      <c r="A202" s="1082"/>
      <c r="B202" s="1156"/>
      <c r="C202" s="1084"/>
      <c r="D202" s="1084"/>
      <c r="E202" s="1084"/>
      <c r="F202" s="1084"/>
      <c r="G202" s="1084"/>
      <c r="H202" s="1084"/>
      <c r="I202" s="1084"/>
      <c r="J202" s="1084"/>
      <c r="K202" s="1084"/>
      <c r="L202" s="1084"/>
      <c r="M202" s="1084"/>
      <c r="N202" s="1084"/>
      <c r="O202" s="1084"/>
      <c r="P202" s="1084"/>
      <c r="Q202" s="1084"/>
      <c r="R202" s="1084"/>
      <c r="S202" s="1084"/>
      <c r="T202" s="1084"/>
      <c r="U202" s="1084"/>
      <c r="V202" s="1084"/>
      <c r="W202" s="1084"/>
      <c r="X202" s="1084"/>
      <c r="Y202" s="1157"/>
      <c r="Z202" s="1082"/>
    </row>
    <row r="203" ht="6.0" customHeight="1">
      <c r="A203" s="1082"/>
      <c r="B203" s="1082"/>
      <c r="C203" s="1082"/>
      <c r="D203" s="1082"/>
      <c r="E203" s="1082"/>
      <c r="F203" s="1082"/>
      <c r="G203" s="1082"/>
      <c r="H203" s="1082"/>
      <c r="I203" s="1082"/>
      <c r="J203" s="1082"/>
      <c r="K203" s="1082"/>
      <c r="L203" s="1082"/>
      <c r="M203" s="1082"/>
      <c r="N203" s="1082"/>
      <c r="O203" s="1082"/>
      <c r="P203" s="1082"/>
      <c r="Q203" s="1082"/>
      <c r="R203" s="1082"/>
      <c r="S203" s="1082"/>
      <c r="T203" s="1082"/>
      <c r="U203" s="1082"/>
      <c r="V203" s="1082"/>
      <c r="W203" s="1082"/>
      <c r="X203" s="1082"/>
      <c r="Y203" s="1082"/>
      <c r="Z203" s="1082"/>
    </row>
  </sheetData>
  <mergeCells count="156">
    <mergeCell ref="M54:O54"/>
    <mergeCell ref="S54:U54"/>
    <mergeCell ref="G48:I48"/>
    <mergeCell ref="M48:O48"/>
    <mergeCell ref="S48:U48"/>
    <mergeCell ref="G51:I51"/>
    <mergeCell ref="M51:O51"/>
    <mergeCell ref="S51:U51"/>
    <mergeCell ref="G54:I54"/>
    <mergeCell ref="E5:V5"/>
    <mergeCell ref="E6:V13"/>
    <mergeCell ref="F14:U14"/>
    <mergeCell ref="F15:U15"/>
    <mergeCell ref="E19:V19"/>
    <mergeCell ref="M21:O21"/>
    <mergeCell ref="S21:U21"/>
    <mergeCell ref="G21:I21"/>
    <mergeCell ref="G24:I24"/>
    <mergeCell ref="M24:O24"/>
    <mergeCell ref="S24:U24"/>
    <mergeCell ref="G27:I27"/>
    <mergeCell ref="M27:O27"/>
    <mergeCell ref="S27:U27"/>
    <mergeCell ref="M36:O36"/>
    <mergeCell ref="S36:U36"/>
    <mergeCell ref="G30:I30"/>
    <mergeCell ref="M30:O30"/>
    <mergeCell ref="S30:U30"/>
    <mergeCell ref="G33:I33"/>
    <mergeCell ref="M33:O33"/>
    <mergeCell ref="S33:U33"/>
    <mergeCell ref="G36:I36"/>
    <mergeCell ref="M45:O45"/>
    <mergeCell ref="S45:U45"/>
    <mergeCell ref="G39:I39"/>
    <mergeCell ref="M39:O39"/>
    <mergeCell ref="S39:U39"/>
    <mergeCell ref="G42:I42"/>
    <mergeCell ref="M42:O42"/>
    <mergeCell ref="S42:U42"/>
    <mergeCell ref="G45:I45"/>
    <mergeCell ref="G57:I57"/>
    <mergeCell ref="M57:O57"/>
    <mergeCell ref="S57:U57"/>
    <mergeCell ref="E60:V60"/>
    <mergeCell ref="G62:I62"/>
    <mergeCell ref="M62:O62"/>
    <mergeCell ref="S62:U62"/>
    <mergeCell ref="M73:O73"/>
    <mergeCell ref="S73:U73"/>
    <mergeCell ref="G65:I65"/>
    <mergeCell ref="M65:O65"/>
    <mergeCell ref="S65:U65"/>
    <mergeCell ref="G68:I68"/>
    <mergeCell ref="M68:O68"/>
    <mergeCell ref="E71:V71"/>
    <mergeCell ref="E76:V76"/>
    <mergeCell ref="M87:O87"/>
    <mergeCell ref="M90:O90"/>
    <mergeCell ref="S90:U90"/>
    <mergeCell ref="E93:V93"/>
    <mergeCell ref="M95:O95"/>
    <mergeCell ref="S95:U95"/>
    <mergeCell ref="M98:O98"/>
    <mergeCell ref="S98:U98"/>
    <mergeCell ref="M78:O78"/>
    <mergeCell ref="S78:U78"/>
    <mergeCell ref="M81:O81"/>
    <mergeCell ref="S81:U81"/>
    <mergeCell ref="M84:O84"/>
    <mergeCell ref="S84:U84"/>
    <mergeCell ref="S87:U87"/>
    <mergeCell ref="G98:I98"/>
    <mergeCell ref="G101:I101"/>
    <mergeCell ref="M101:O101"/>
    <mergeCell ref="E104:V104"/>
    <mergeCell ref="M106:O106"/>
    <mergeCell ref="S106:U106"/>
    <mergeCell ref="G73:I73"/>
    <mergeCell ref="G78:I78"/>
    <mergeCell ref="G81:I81"/>
    <mergeCell ref="G84:I84"/>
    <mergeCell ref="G87:I87"/>
    <mergeCell ref="G90:I90"/>
    <mergeCell ref="G95:I95"/>
    <mergeCell ref="G106:I106"/>
    <mergeCell ref="G109:I109"/>
    <mergeCell ref="M109:O109"/>
    <mergeCell ref="E112:V112"/>
    <mergeCell ref="G114:I114"/>
    <mergeCell ref="M114:O114"/>
    <mergeCell ref="S114:U114"/>
    <mergeCell ref="G185:I185"/>
    <mergeCell ref="G190:I190"/>
    <mergeCell ref="G195:I195"/>
    <mergeCell ref="G198:I198"/>
    <mergeCell ref="G160:I160"/>
    <mergeCell ref="G165:I165"/>
    <mergeCell ref="G168:I168"/>
    <mergeCell ref="G171:I171"/>
    <mergeCell ref="G174:I174"/>
    <mergeCell ref="G177:I177"/>
    <mergeCell ref="G180:I180"/>
    <mergeCell ref="G117:I117"/>
    <mergeCell ref="M117:O117"/>
    <mergeCell ref="S117:U117"/>
    <mergeCell ref="G120:I120"/>
    <mergeCell ref="M120:O120"/>
    <mergeCell ref="S120:U120"/>
    <mergeCell ref="G123:I123"/>
    <mergeCell ref="M123:O123"/>
    <mergeCell ref="S123:U123"/>
    <mergeCell ref="E126:V126"/>
    <mergeCell ref="G128:I128"/>
    <mergeCell ref="M128:O128"/>
    <mergeCell ref="S128:U128"/>
    <mergeCell ref="G131:I131"/>
    <mergeCell ref="M131:O131"/>
    <mergeCell ref="E134:V134"/>
    <mergeCell ref="G136:I136"/>
    <mergeCell ref="E139:V139"/>
    <mergeCell ref="G141:I141"/>
    <mergeCell ref="M141:O141"/>
    <mergeCell ref="S141:U141"/>
    <mergeCell ref="G144:I144"/>
    <mergeCell ref="M144:O144"/>
    <mergeCell ref="S144:U144"/>
    <mergeCell ref="G147:I147"/>
    <mergeCell ref="M147:O147"/>
    <mergeCell ref="E150:V150"/>
    <mergeCell ref="G152:I152"/>
    <mergeCell ref="M152:O152"/>
    <mergeCell ref="S152:U152"/>
    <mergeCell ref="G155:I155"/>
    <mergeCell ref="M155:O155"/>
    <mergeCell ref="E158:V158"/>
    <mergeCell ref="M160:O160"/>
    <mergeCell ref="E163:V163"/>
    <mergeCell ref="M165:O165"/>
    <mergeCell ref="S165:U165"/>
    <mergeCell ref="M168:O168"/>
    <mergeCell ref="S168:U168"/>
    <mergeCell ref="M171:O171"/>
    <mergeCell ref="S171:U171"/>
    <mergeCell ref="S174:U174"/>
    <mergeCell ref="M185:O185"/>
    <mergeCell ref="M195:O195"/>
    <mergeCell ref="M198:O198"/>
    <mergeCell ref="M174:O174"/>
    <mergeCell ref="M177:O177"/>
    <mergeCell ref="S177:U177"/>
    <mergeCell ref="M180:O180"/>
    <mergeCell ref="E183:V183"/>
    <mergeCell ref="E188:V188"/>
    <mergeCell ref="E193:V193"/>
    <mergeCell ref="S195:U19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4.43" defaultRowHeight="15.0"/>
  <cols>
    <col customWidth="1" min="1" max="2" width="0.86"/>
    <col customWidth="1" min="3" max="3" width="4.0"/>
    <col customWidth="1" min="4" max="4" width="18.0"/>
    <col customWidth="1" min="5" max="5" width="2.29"/>
    <col customWidth="1" min="6" max="7" width="0.86"/>
    <col customWidth="1" min="8" max="8" width="4.0"/>
    <col customWidth="1" min="9" max="9" width="18.0"/>
    <col customWidth="1" min="10" max="10" width="2.29"/>
    <col customWidth="1" min="11" max="12" width="0.86"/>
    <col customWidth="1" min="13" max="13" width="4.0"/>
    <col customWidth="1" min="14" max="14" width="18.0"/>
    <col customWidth="1" min="15" max="15" width="2.29"/>
    <col customWidth="1" min="16" max="17" width="0.86"/>
    <col customWidth="1" min="18" max="18" width="4.0"/>
    <col customWidth="1" min="19" max="19" width="18.0"/>
    <col customWidth="1" min="20" max="20" width="2.29"/>
    <col customWidth="1" min="21" max="22" width="0.86"/>
  </cols>
  <sheetData>
    <row r="1" ht="3.75" customHeight="1">
      <c r="A1" s="580"/>
      <c r="B1" s="1158"/>
      <c r="C1" s="1158"/>
      <c r="D1" s="1158"/>
      <c r="E1" s="1158"/>
      <c r="F1" s="1158"/>
      <c r="G1" s="1158"/>
      <c r="H1" s="1158"/>
      <c r="I1" s="1158"/>
      <c r="J1" s="1158"/>
      <c r="K1" s="1158"/>
      <c r="L1" s="1158"/>
      <c r="M1" s="1158"/>
      <c r="N1" s="1158"/>
      <c r="O1" s="1158"/>
      <c r="P1" s="1158"/>
      <c r="Q1" s="1158"/>
      <c r="R1" s="1158"/>
      <c r="S1" s="1158"/>
      <c r="T1" s="1158"/>
      <c r="U1" s="1158"/>
      <c r="V1" s="580"/>
    </row>
    <row r="2" ht="3.75" customHeight="1">
      <c r="A2" s="580"/>
      <c r="B2" s="1159"/>
      <c r="C2" s="1160"/>
      <c r="D2" s="1160"/>
      <c r="E2" s="1160"/>
      <c r="F2" s="1159"/>
      <c r="G2" s="1159"/>
      <c r="H2" s="1160"/>
      <c r="I2" s="1160"/>
      <c r="J2" s="1160"/>
      <c r="K2" s="1159"/>
      <c r="L2" s="1159"/>
      <c r="M2" s="1160"/>
      <c r="N2" s="1160"/>
      <c r="O2" s="1160"/>
      <c r="P2" s="1159"/>
      <c r="Q2" s="1159"/>
      <c r="R2" s="1160"/>
      <c r="S2" s="1160"/>
      <c r="T2" s="1160"/>
      <c r="U2" s="1159"/>
      <c r="V2" s="580"/>
    </row>
    <row r="3" ht="15.0" customHeight="1">
      <c r="A3" s="580"/>
      <c r="B3" s="1161"/>
      <c r="C3" s="1162" t="s">
        <v>1668</v>
      </c>
      <c r="D3" s="1163"/>
      <c r="E3" s="1163"/>
      <c r="F3" s="1163"/>
      <c r="G3" s="1163"/>
      <c r="H3" s="1163"/>
      <c r="I3" s="1163"/>
      <c r="J3" s="1163"/>
      <c r="K3" s="1163"/>
      <c r="L3" s="1163"/>
      <c r="M3" s="1163"/>
      <c r="N3" s="1163"/>
      <c r="O3" s="1163"/>
      <c r="P3" s="1163"/>
      <c r="Q3" s="1163"/>
      <c r="R3" s="1163"/>
      <c r="S3" s="1164"/>
      <c r="T3" s="1165"/>
      <c r="U3" s="1165"/>
      <c r="V3" s="580"/>
    </row>
    <row r="4" ht="19.5" customHeight="1">
      <c r="A4" s="580"/>
      <c r="B4" s="1161"/>
      <c r="C4" s="1166" t="str">
        <f>Source!$AE$33</f>
        <v/>
      </c>
      <c r="D4" s="1167" t="s">
        <v>1669</v>
      </c>
      <c r="E4" s="1168" t="str">
        <f t="shared" ref="E4:E9" si="1">IMAGE("https://i.ibb.co/SXG0s7n/2-1.png")</f>
        <v/>
      </c>
      <c r="F4" s="1169"/>
      <c r="G4" s="1161"/>
      <c r="H4" s="1170" t="str">
        <f>Source!$AE$32</f>
        <v/>
      </c>
      <c r="I4" s="1171" t="s">
        <v>1670</v>
      </c>
      <c r="J4" s="1172" t="str">
        <f t="shared" ref="J4:J6" si="2">IMAGE("https://i.ibb.co/Kx0DJFL/2-1.png")</f>
        <v/>
      </c>
      <c r="K4" s="1169"/>
      <c r="L4" s="1161"/>
      <c r="M4" s="1173" t="str">
        <f>Source!$AE$34</f>
        <v/>
      </c>
      <c r="N4" s="1174" t="s">
        <v>1671</v>
      </c>
      <c r="O4" s="1175" t="str">
        <f t="shared" ref="O4:O10" si="3">IMAGE("https://i.ibb.co/MBxgmgC/2-1.png")</f>
        <v/>
      </c>
      <c r="P4" s="1169"/>
      <c r="Q4" s="1161"/>
      <c r="R4" s="1176" t="str">
        <f>Source!$AE$35</f>
        <v/>
      </c>
      <c r="S4" s="1177" t="s">
        <v>1672</v>
      </c>
      <c r="T4" s="1178" t="str">
        <f t="shared" ref="T4:T8" si="4">IMAGE("https://i.ibb.co/yR6q8VR/2-1.png")</f>
        <v/>
      </c>
      <c r="U4" s="1169"/>
      <c r="V4" s="580"/>
    </row>
    <row r="5" ht="16.5" customHeight="1">
      <c r="A5" s="580"/>
      <c r="B5" s="1159"/>
      <c r="C5" s="1179" t="str">
        <f>IMAGE("https://i.ibb.co/Kh4gzYd/bellsprout.png",3)</f>
        <v/>
      </c>
      <c r="D5" s="1180" t="s">
        <v>1673</v>
      </c>
      <c r="E5" s="1181" t="str">
        <f t="shared" si="1"/>
        <v/>
      </c>
      <c r="F5" s="1182"/>
      <c r="G5" s="1159"/>
      <c r="H5" s="1183" t="str">
        <f>IMAGE("https://i.ibb.co/23Zt61m/psyduck.png",3)</f>
        <v/>
      </c>
      <c r="I5" s="1184" t="s">
        <v>1674</v>
      </c>
      <c r="J5" s="1185" t="str">
        <f t="shared" si="2"/>
        <v/>
      </c>
      <c r="K5" s="1182"/>
      <c r="L5" s="1159"/>
      <c r="M5" s="1186" t="str">
        <f>IMAGE("https://i.ibb.co/fFLZdT1/slugma.png",3)</f>
        <v/>
      </c>
      <c r="N5" s="1187" t="s">
        <v>1675</v>
      </c>
      <c r="O5" s="1188" t="str">
        <f t="shared" si="3"/>
        <v/>
      </c>
      <c r="P5" s="1182"/>
      <c r="Q5" s="1159"/>
      <c r="R5" s="1189" t="str">
        <f>IMAGE("https://i.ibb.co/1R0GVXQ/elektrike.png",3)</f>
        <v/>
      </c>
      <c r="S5" s="1190" t="s">
        <v>1676</v>
      </c>
      <c r="T5" s="1178" t="str">
        <f t="shared" si="4"/>
        <v/>
      </c>
      <c r="U5" s="1169"/>
      <c r="V5" s="580"/>
    </row>
    <row r="6" ht="16.5" customHeight="1">
      <c r="A6" s="580"/>
      <c r="B6" s="1159"/>
      <c r="C6" s="1179" t="str">
        <f>IMAGE("https://i.ibb.co/k01WJ5W/weepinbell.png",3)</f>
        <v/>
      </c>
      <c r="D6" s="1180" t="s">
        <v>1677</v>
      </c>
      <c r="E6" s="1181" t="str">
        <f t="shared" si="1"/>
        <v/>
      </c>
      <c r="F6" s="1159"/>
      <c r="G6" s="1159"/>
      <c r="H6" s="1183" t="str">
        <f>IMAGE("https://i.ibb.co/crmqJLK/Golduck.png",3)</f>
        <v/>
      </c>
      <c r="I6" s="1184" t="s">
        <v>1678</v>
      </c>
      <c r="J6" s="1185" t="str">
        <f t="shared" si="2"/>
        <v/>
      </c>
      <c r="K6" s="1159"/>
      <c r="L6" s="1159"/>
      <c r="M6" s="1186" t="str">
        <f>IMAGE("https://i.ibb.co/1L992Td/Magcargo.png",3)</f>
        <v/>
      </c>
      <c r="N6" s="1187" t="s">
        <v>1679</v>
      </c>
      <c r="O6" s="1188" t="str">
        <f t="shared" si="3"/>
        <v/>
      </c>
      <c r="P6" s="1159"/>
      <c r="Q6" s="1159"/>
      <c r="R6" s="1189" t="str">
        <f>IMAGE("https://i.ibb.co/F0pG6Yy/manectric.png",3)</f>
        <v/>
      </c>
      <c r="S6" s="1190" t="s">
        <v>1680</v>
      </c>
      <c r="T6" s="1178" t="str">
        <f t="shared" si="4"/>
        <v/>
      </c>
      <c r="U6" s="1169"/>
      <c r="V6" s="580"/>
    </row>
    <row r="7" ht="16.5" customHeight="1">
      <c r="A7" s="580"/>
      <c r="B7" s="1159"/>
      <c r="C7" s="1179" t="str">
        <f>IMAGE("https://i.ibb.co/yyyPt1r/Victreebel.png",3)</f>
        <v/>
      </c>
      <c r="D7" s="1180" t="s">
        <v>1681</v>
      </c>
      <c r="E7" s="1181" t="str">
        <f t="shared" si="1"/>
        <v/>
      </c>
      <c r="F7" s="1159"/>
      <c r="G7" s="1159"/>
      <c r="H7" s="1159"/>
      <c r="I7" s="1159"/>
      <c r="J7" s="1159"/>
      <c r="K7" s="1159"/>
      <c r="L7" s="1159"/>
      <c r="M7" s="1186" t="str">
        <f>IMAGE("https://i.ibb.co/zNYnWt1/hondour.png",3)</f>
        <v/>
      </c>
      <c r="N7" s="1187" t="s">
        <v>1682</v>
      </c>
      <c r="O7" s="1188" t="str">
        <f t="shared" si="3"/>
        <v/>
      </c>
      <c r="P7" s="1159"/>
      <c r="Q7" s="1159"/>
      <c r="R7" s="1189" t="str">
        <f>IMAGE("https://i.ibb.co/nf5Fjth/helioptile.png",3)</f>
        <v/>
      </c>
      <c r="S7" s="1190" t="s">
        <v>1683</v>
      </c>
      <c r="T7" s="1178" t="str">
        <f t="shared" si="4"/>
        <v/>
      </c>
      <c r="U7" s="1169"/>
      <c r="V7" s="580"/>
    </row>
    <row r="8" ht="16.5" customHeight="1">
      <c r="A8" s="580"/>
      <c r="B8" s="1159"/>
      <c r="C8" s="1179" t="str">
        <f>IMAGE("https://i.ibb.co/9VdMQVC/cherubi.png",3)</f>
        <v/>
      </c>
      <c r="D8" s="1180" t="s">
        <v>1684</v>
      </c>
      <c r="E8" s="1181" t="str">
        <f t="shared" si="1"/>
        <v/>
      </c>
      <c r="F8" s="1159"/>
      <c r="G8" s="1159"/>
      <c r="H8" s="1159"/>
      <c r="I8" s="1159"/>
      <c r="J8" s="1159"/>
      <c r="K8" s="1159"/>
      <c r="L8" s="1159"/>
      <c r="M8" s="1186" t="str">
        <f>IMAGE("https://i.ibb.co/KxHgh8J/Houndoom.png",3)</f>
        <v/>
      </c>
      <c r="N8" s="1187" t="s">
        <v>1685</v>
      </c>
      <c r="O8" s="1188" t="str">
        <f t="shared" si="3"/>
        <v/>
      </c>
      <c r="P8" s="1159"/>
      <c r="Q8" s="1159"/>
      <c r="R8" s="1189" t="str">
        <f>IMAGE("https://i.ibb.co/LhmDHkz/heliolisk.png",3)</f>
        <v/>
      </c>
      <c r="S8" s="1190" t="s">
        <v>1686</v>
      </c>
      <c r="T8" s="1178" t="str">
        <f t="shared" si="4"/>
        <v/>
      </c>
      <c r="U8" s="1169"/>
      <c r="V8" s="580"/>
    </row>
    <row r="9" ht="16.5" customHeight="1">
      <c r="A9" s="580"/>
      <c r="B9" s="1159"/>
      <c r="C9" s="1179" t="str">
        <f>IMAGE("https://i.ibb.co/tpCgqPp/cherrim.png",3)</f>
        <v/>
      </c>
      <c r="D9" s="1180" t="s">
        <v>1687</v>
      </c>
      <c r="E9" s="1181" t="str">
        <f t="shared" si="1"/>
        <v/>
      </c>
      <c r="F9" s="1191"/>
      <c r="G9" s="1159"/>
      <c r="H9" s="1159"/>
      <c r="I9" s="1159"/>
      <c r="J9" s="1159"/>
      <c r="K9" s="1191"/>
      <c r="L9" s="1159"/>
      <c r="M9" s="1186" t="str">
        <f>IMAGE("https://i.ibb.co/x6qRNSV/litleo.png",3)</f>
        <v/>
      </c>
      <c r="N9" s="1187" t="s">
        <v>1688</v>
      </c>
      <c r="O9" s="1188" t="str">
        <f t="shared" si="3"/>
        <v/>
      </c>
      <c r="P9" s="1191"/>
      <c r="Q9" s="1159"/>
      <c r="R9" s="1159"/>
      <c r="S9" s="1159"/>
      <c r="T9" s="1159"/>
      <c r="U9" s="1191"/>
      <c r="V9" s="580"/>
    </row>
    <row r="10" ht="16.5" customHeight="1">
      <c r="A10" s="580"/>
      <c r="B10" s="1159"/>
      <c r="C10" s="1159"/>
      <c r="D10" s="1159"/>
      <c r="E10" s="1159"/>
      <c r="F10" s="1159"/>
      <c r="G10" s="1159"/>
      <c r="H10" s="1159"/>
      <c r="I10" s="1159"/>
      <c r="J10" s="1159"/>
      <c r="K10" s="1191"/>
      <c r="L10" s="1159"/>
      <c r="M10" s="1186" t="str">
        <f>IMAGE("https://i.ibb.co/jg5kX6t/Pyroar.png",3)</f>
        <v/>
      </c>
      <c r="N10" s="1187" t="s">
        <v>1689</v>
      </c>
      <c r="O10" s="1188" t="str">
        <f t="shared" si="3"/>
        <v/>
      </c>
      <c r="P10" s="1191"/>
      <c r="Q10" s="1159"/>
      <c r="R10" s="1159"/>
      <c r="S10" s="1159"/>
      <c r="T10" s="1159"/>
      <c r="U10" s="1191"/>
      <c r="V10" s="580"/>
    </row>
    <row r="11" ht="15.0" customHeight="1">
      <c r="A11" s="580"/>
      <c r="B11" s="1159"/>
      <c r="C11" s="1192"/>
      <c r="D11" s="1192"/>
      <c r="E11" s="1192"/>
      <c r="F11" s="1192"/>
      <c r="G11" s="1159"/>
      <c r="H11" s="1192"/>
      <c r="I11" s="1192"/>
      <c r="J11" s="1192"/>
      <c r="K11" s="1192"/>
      <c r="L11" s="1159"/>
      <c r="M11" s="1192"/>
      <c r="N11" s="1192"/>
      <c r="O11" s="1192"/>
      <c r="P11" s="1192"/>
      <c r="Q11" s="1159"/>
      <c r="R11" s="1192"/>
      <c r="S11" s="1192"/>
      <c r="T11" s="1192"/>
      <c r="U11" s="1192"/>
      <c r="V11" s="580"/>
    </row>
    <row r="12" ht="15.0" customHeight="1">
      <c r="A12" s="580"/>
      <c r="B12" s="1161"/>
      <c r="C12" s="1162" t="s">
        <v>1690</v>
      </c>
      <c r="D12" s="1163"/>
      <c r="E12" s="1163"/>
      <c r="F12" s="1163"/>
      <c r="G12" s="1163"/>
      <c r="H12" s="1163"/>
      <c r="I12" s="1163"/>
      <c r="J12" s="1163"/>
      <c r="K12" s="1163"/>
      <c r="L12" s="1163"/>
      <c r="M12" s="1163"/>
      <c r="N12" s="1163"/>
      <c r="O12" s="1163"/>
      <c r="P12" s="1163"/>
      <c r="Q12" s="1163"/>
      <c r="R12" s="1163"/>
      <c r="S12" s="1164"/>
      <c r="T12" s="1165"/>
      <c r="U12" s="1165"/>
      <c r="V12" s="580"/>
    </row>
    <row r="13" ht="19.5" customHeight="1">
      <c r="A13" s="580"/>
      <c r="B13" s="1161"/>
      <c r="C13" s="1193" t="str">
        <f>Source!$AN$52</f>
        <v/>
      </c>
      <c r="D13" s="1194" t="s">
        <v>1691</v>
      </c>
      <c r="E13" s="1172" t="str">
        <f t="shared" ref="E13:E16" si="5">IMAGE("https://i.ibb.co/QbW3HFJ/2-1.png")</f>
        <v/>
      </c>
      <c r="F13" s="1169"/>
      <c r="G13" s="1159"/>
      <c r="H13" s="1159"/>
      <c r="I13" s="1159"/>
      <c r="J13" s="1159"/>
      <c r="K13" s="1195"/>
      <c r="L13" s="1159"/>
      <c r="M13" s="1159"/>
      <c r="N13" s="1159"/>
      <c r="O13" s="1159"/>
      <c r="P13" s="1195"/>
      <c r="Q13" s="1159"/>
      <c r="R13" s="1159"/>
      <c r="S13" s="1159"/>
      <c r="T13" s="1159"/>
      <c r="U13" s="1159"/>
      <c r="V13" s="646"/>
    </row>
    <row r="14" ht="16.5" customHeight="1">
      <c r="A14" s="580"/>
      <c r="B14" s="1159"/>
      <c r="C14" s="1196" t="str">
        <f>IMAGE("https://i.ibb.co/748TmNL/chansey.png",3)</f>
        <v/>
      </c>
      <c r="D14" s="1197" t="s">
        <v>1692</v>
      </c>
      <c r="E14" s="1172" t="str">
        <f t="shared" si="5"/>
        <v/>
      </c>
      <c r="F14" s="1169"/>
      <c r="G14" s="1159"/>
      <c r="H14" s="1159"/>
      <c r="I14" s="1159"/>
      <c r="J14" s="1159"/>
      <c r="K14" s="1165"/>
      <c r="L14" s="1159"/>
      <c r="M14" s="1159"/>
      <c r="N14" s="1159"/>
      <c r="O14" s="1159"/>
      <c r="P14" s="1165"/>
      <c r="Q14" s="1159"/>
      <c r="R14" s="1159"/>
      <c r="S14" s="1159"/>
      <c r="T14" s="1159"/>
      <c r="U14" s="1159"/>
      <c r="V14" s="580"/>
    </row>
    <row r="15" ht="16.5" customHeight="1">
      <c r="A15" s="580"/>
      <c r="B15" s="1159"/>
      <c r="C15" s="1196" t="str">
        <f>IMAGE("https://i.ibb.co/g4t2yGS/blissey.png",3)</f>
        <v/>
      </c>
      <c r="D15" s="1197" t="s">
        <v>1693</v>
      </c>
      <c r="E15" s="1172" t="str">
        <f t="shared" si="5"/>
        <v/>
      </c>
      <c r="F15" s="1169"/>
      <c r="G15" s="1159"/>
      <c r="H15" s="1159"/>
      <c r="I15" s="1159"/>
      <c r="J15" s="1159"/>
      <c r="K15" s="1195"/>
      <c r="L15" s="1159"/>
      <c r="M15" s="1159"/>
      <c r="N15" s="1159"/>
      <c r="O15" s="1159"/>
      <c r="P15" s="1195"/>
      <c r="Q15" s="1159"/>
      <c r="R15" s="1159"/>
      <c r="S15" s="1159"/>
      <c r="T15" s="1159"/>
      <c r="U15" s="1159"/>
      <c r="V15" s="580"/>
    </row>
    <row r="16" ht="16.5" customHeight="1">
      <c r="A16" s="580"/>
      <c r="B16" s="1159"/>
      <c r="C16" s="1196" t="str">
        <f>IMAGE("https://i.ibb.co/PTX895c/pelipper.png",3)</f>
        <v/>
      </c>
      <c r="D16" s="1197" t="s">
        <v>1694</v>
      </c>
      <c r="E16" s="1172" t="str">
        <f t="shared" si="5"/>
        <v/>
      </c>
      <c r="F16" s="1169"/>
      <c r="G16" s="1159"/>
      <c r="H16" s="1162"/>
      <c r="I16" s="1163"/>
      <c r="J16" s="1163"/>
      <c r="K16" s="1163"/>
      <c r="L16" s="1163"/>
      <c r="M16" s="1163"/>
      <c r="N16" s="1163"/>
      <c r="O16" s="1163"/>
      <c r="P16" s="1163"/>
      <c r="Q16" s="1163"/>
      <c r="R16" s="1163"/>
      <c r="S16" s="1164"/>
      <c r="T16" s="1159"/>
      <c r="U16" s="1159"/>
      <c r="V16" s="580"/>
    </row>
    <row r="17" ht="15.0" customHeight="1">
      <c r="A17" s="580"/>
      <c r="B17" s="1159"/>
      <c r="C17" s="1192"/>
      <c r="D17" s="1192"/>
      <c r="E17" s="1192"/>
      <c r="F17" s="1192"/>
      <c r="G17" s="1159"/>
      <c r="H17" s="1192"/>
      <c r="I17" s="1192"/>
      <c r="J17" s="1192"/>
      <c r="K17" s="1192"/>
      <c r="L17" s="1159"/>
      <c r="M17" s="1192"/>
      <c r="N17" s="1192"/>
      <c r="O17" s="1192"/>
      <c r="P17" s="1192"/>
      <c r="Q17" s="1159"/>
      <c r="R17" s="1192"/>
      <c r="S17" s="1192"/>
      <c r="T17" s="1192"/>
      <c r="U17" s="1192"/>
      <c r="V17" s="580"/>
    </row>
    <row r="18" ht="15.0" customHeight="1">
      <c r="A18" s="580"/>
      <c r="B18" s="1161"/>
      <c r="C18" s="1162" t="s">
        <v>1695</v>
      </c>
      <c r="D18" s="1163"/>
      <c r="E18" s="1163"/>
      <c r="F18" s="1163"/>
      <c r="G18" s="1163"/>
      <c r="H18" s="1163"/>
      <c r="I18" s="1163"/>
      <c r="J18" s="1163"/>
      <c r="K18" s="1163"/>
      <c r="L18" s="1163"/>
      <c r="M18" s="1163"/>
      <c r="N18" s="1163"/>
      <c r="O18" s="1163"/>
      <c r="P18" s="1163"/>
      <c r="Q18" s="1163"/>
      <c r="R18" s="1163"/>
      <c r="S18" s="1164"/>
      <c r="T18" s="1165"/>
      <c r="U18" s="1165"/>
      <c r="V18" s="580"/>
    </row>
    <row r="19" ht="19.5" customHeight="1">
      <c r="A19" s="580"/>
      <c r="B19" s="1161"/>
      <c r="C19" s="1198" t="str">
        <f>Source!$AH$7</f>
        <v/>
      </c>
      <c r="D19" s="1199" t="s">
        <v>1696</v>
      </c>
      <c r="E19" s="1172" t="str">
        <f t="shared" ref="E19:E21" si="6">IMAGE("https://i.ibb.co/LNKxQy5/2-1.png")</f>
        <v/>
      </c>
      <c r="F19" s="1169"/>
      <c r="G19" s="1159"/>
      <c r="H19" s="1198" t="str">
        <f>Source!$AH$4</f>
        <v/>
      </c>
      <c r="I19" s="1199" t="s">
        <v>1697</v>
      </c>
      <c r="J19" s="1172" t="str">
        <f t="shared" ref="J19:J21" si="7">IMAGE("https://i.ibb.co/LNKxQy5/2-1.png")</f>
        <v/>
      </c>
      <c r="K19" s="1169"/>
      <c r="L19" s="1159"/>
      <c r="M19" s="1159"/>
      <c r="N19" s="1159"/>
      <c r="O19" s="1159"/>
      <c r="P19" s="1195"/>
      <c r="Q19" s="1159"/>
      <c r="R19" s="1159"/>
      <c r="S19" s="1159"/>
      <c r="T19" s="1159"/>
      <c r="U19" s="1159"/>
      <c r="V19" s="646"/>
    </row>
    <row r="20" ht="16.5" customHeight="1">
      <c r="A20" s="580"/>
      <c r="B20" s="1159"/>
      <c r="C20" s="1200" t="str">
        <f>IMAGE("https://i.ibb.co/P1stQMW/meowth.png",3)</f>
        <v/>
      </c>
      <c r="D20" s="1201" t="s">
        <v>1698</v>
      </c>
      <c r="E20" s="1172" t="str">
        <f t="shared" si="6"/>
        <v/>
      </c>
      <c r="F20" s="1169"/>
      <c r="G20" s="1159"/>
      <c r="H20" s="1200" t="str">
        <f>IMAGE("https://i.ibb.co/C2TBQzg/Persian.png",3)</f>
        <v/>
      </c>
      <c r="I20" s="1201" t="s">
        <v>1699</v>
      </c>
      <c r="J20" s="1172" t="str">
        <f t="shared" si="7"/>
        <v/>
      </c>
      <c r="K20" s="1169"/>
      <c r="L20" s="1159"/>
      <c r="M20" s="1159"/>
      <c r="N20" s="1159"/>
      <c r="O20" s="1159"/>
      <c r="P20" s="1195"/>
      <c r="Q20" s="1159"/>
      <c r="R20" s="1159"/>
      <c r="S20" s="1159"/>
      <c r="T20" s="1159"/>
      <c r="U20" s="1159"/>
      <c r="V20" s="580"/>
    </row>
    <row r="21" ht="16.5" customHeight="1">
      <c r="A21" s="580"/>
      <c r="B21" s="1159"/>
      <c r="C21" s="1200" t="str">
        <f>IMAGE("https://i.ibb.co/1Mt9F16/meowthalola.png",3)</f>
        <v/>
      </c>
      <c r="D21" s="1201" t="s">
        <v>1700</v>
      </c>
      <c r="E21" s="1172" t="str">
        <f t="shared" si="6"/>
        <v/>
      </c>
      <c r="F21" s="1169"/>
      <c r="G21" s="1159"/>
      <c r="H21" s="1200" t="str">
        <f>IMAGE("https://i.ibb.co/zZbC8Yj/pers.png",3)</f>
        <v/>
      </c>
      <c r="I21" s="1201" t="s">
        <v>1701</v>
      </c>
      <c r="J21" s="1172" t="str">
        <f t="shared" si="7"/>
        <v/>
      </c>
      <c r="K21" s="1169"/>
      <c r="L21" s="1159"/>
      <c r="M21" s="1159"/>
      <c r="N21" s="1159"/>
      <c r="O21" s="1159"/>
      <c r="P21" s="1202"/>
      <c r="Q21" s="1159"/>
      <c r="R21" s="1159"/>
      <c r="S21" s="1159"/>
      <c r="T21" s="1159"/>
      <c r="U21" s="1159"/>
      <c r="V21" s="580"/>
    </row>
    <row r="22" ht="15.0" customHeight="1">
      <c r="A22" s="580"/>
      <c r="B22" s="1159"/>
      <c r="C22" s="1192"/>
      <c r="D22" s="1192"/>
      <c r="E22" s="1192"/>
      <c r="F22" s="1192"/>
      <c r="G22" s="1159"/>
      <c r="H22" s="1192"/>
      <c r="I22" s="1192"/>
      <c r="J22" s="1192"/>
      <c r="K22" s="1192"/>
      <c r="L22" s="1159"/>
      <c r="M22" s="1192"/>
      <c r="N22" s="1192"/>
      <c r="O22" s="1192"/>
      <c r="P22" s="1192"/>
      <c r="Q22" s="1159"/>
      <c r="R22" s="1192"/>
      <c r="S22" s="1192"/>
      <c r="T22" s="1192"/>
      <c r="U22" s="1192"/>
      <c r="V22" s="580"/>
    </row>
    <row r="23" ht="15.0" customHeight="1">
      <c r="A23" s="580"/>
      <c r="B23" s="1161"/>
      <c r="C23" s="1203" t="s">
        <v>1702</v>
      </c>
      <c r="D23" s="1204"/>
      <c r="E23" s="1204"/>
      <c r="F23" s="1204"/>
      <c r="G23" s="1204"/>
      <c r="H23" s="1204"/>
      <c r="I23" s="1204"/>
      <c r="J23" s="1204"/>
      <c r="K23" s="1204"/>
      <c r="L23" s="1204"/>
      <c r="M23" s="1204"/>
      <c r="N23" s="1204"/>
      <c r="O23" s="1204"/>
      <c r="P23" s="1204"/>
      <c r="Q23" s="1204"/>
      <c r="R23" s="1204"/>
      <c r="S23" s="1204"/>
      <c r="T23" s="1205"/>
      <c r="U23" s="1165"/>
      <c r="V23" s="580"/>
    </row>
    <row r="24" ht="19.5" customHeight="1">
      <c r="A24" s="580"/>
      <c r="B24" s="1161"/>
      <c r="C24" s="1206" t="str">
        <f>Source!$AE$30</f>
        <v/>
      </c>
      <c r="D24" s="1207" t="s">
        <v>1703</v>
      </c>
      <c r="E24" s="1172" t="str">
        <f>IMAGE("https://i.ibb.co/kqzX8TK/2-1.png")</f>
        <v/>
      </c>
      <c r="F24" s="1169"/>
      <c r="G24" s="1203"/>
      <c r="H24" s="1208"/>
      <c r="I24" s="1208"/>
      <c r="J24" s="1208"/>
      <c r="K24" s="1208"/>
      <c r="L24" s="1208"/>
      <c r="M24" s="1208"/>
      <c r="N24" s="1208"/>
      <c r="O24" s="1208"/>
      <c r="P24" s="1208"/>
      <c r="Q24" s="1208"/>
      <c r="R24" s="1208"/>
      <c r="S24" s="1208"/>
      <c r="T24" s="1159"/>
      <c r="U24" s="1159"/>
      <c r="V24" s="646"/>
    </row>
    <row r="25" ht="15.0" customHeight="1">
      <c r="A25" s="580"/>
      <c r="B25" s="1159"/>
      <c r="C25" s="1192"/>
      <c r="D25" s="1192"/>
      <c r="E25" s="1192"/>
      <c r="F25" s="1192"/>
      <c r="G25" s="1159"/>
      <c r="H25" s="1192"/>
      <c r="I25" s="1192"/>
      <c r="J25" s="1192"/>
      <c r="K25" s="1192"/>
      <c r="L25" s="1159"/>
      <c r="M25" s="1192"/>
      <c r="N25" s="1192"/>
      <c r="O25" s="1192"/>
      <c r="P25" s="1192"/>
      <c r="Q25" s="1159"/>
      <c r="R25" s="1192"/>
      <c r="S25" s="1192"/>
      <c r="T25" s="1192"/>
      <c r="U25" s="1192"/>
      <c r="V25" s="580"/>
    </row>
    <row r="26" ht="15.0" customHeight="1">
      <c r="A26" s="580"/>
      <c r="B26" s="1161"/>
      <c r="C26" s="1203" t="s">
        <v>1704</v>
      </c>
      <c r="D26" s="1204"/>
      <c r="E26" s="1204"/>
      <c r="F26" s="1204"/>
      <c r="G26" s="1204"/>
      <c r="H26" s="1204"/>
      <c r="I26" s="1204"/>
      <c r="J26" s="1204"/>
      <c r="K26" s="1204"/>
      <c r="L26" s="1204"/>
      <c r="M26" s="1204"/>
      <c r="N26" s="1204"/>
      <c r="O26" s="1204"/>
      <c r="P26" s="1204"/>
      <c r="Q26" s="1204"/>
      <c r="R26" s="1204"/>
      <c r="S26" s="1204"/>
      <c r="T26" s="1205"/>
      <c r="U26" s="1165"/>
      <c r="V26" s="580"/>
    </row>
    <row r="27" ht="19.5" customHeight="1">
      <c r="A27" s="580"/>
      <c r="B27" s="1161"/>
      <c r="C27" s="1209" t="str">
        <f>Source!$AN$5</f>
        <v/>
      </c>
      <c r="D27" s="1174" t="s">
        <v>1705</v>
      </c>
      <c r="E27" s="1175" t="str">
        <f t="shared" ref="E27:E29" si="8">IMAGE("https://i.ibb.co/MBxgmgC/2-1.png")</f>
        <v/>
      </c>
      <c r="F27" s="1169"/>
      <c r="G27" s="1162"/>
      <c r="H27" s="1163"/>
      <c r="I27" s="1163"/>
      <c r="J27" s="1163"/>
      <c r="K27" s="1163"/>
      <c r="L27" s="1163"/>
      <c r="M27" s="1163"/>
      <c r="N27" s="1163"/>
      <c r="O27" s="1163"/>
      <c r="P27" s="1163"/>
      <c r="Q27" s="1163"/>
      <c r="R27" s="1163"/>
      <c r="S27" s="1164"/>
      <c r="T27" s="1159"/>
      <c r="U27" s="1159"/>
      <c r="V27" s="646"/>
    </row>
    <row r="28" ht="16.5" customHeight="1">
      <c r="A28" s="580"/>
      <c r="B28" s="1159"/>
      <c r="C28" s="1210" t="str">
        <f>IMAGE("https://i.ibb.co/2srNqQz/drifloon.png",3)</f>
        <v/>
      </c>
      <c r="D28" s="1187" t="s">
        <v>1706</v>
      </c>
      <c r="E28" s="1175" t="str">
        <f t="shared" si="8"/>
        <v/>
      </c>
      <c r="F28" s="1169"/>
      <c r="G28" s="1159"/>
      <c r="H28" s="1159"/>
      <c r="I28" s="1159"/>
      <c r="J28" s="1159"/>
      <c r="K28" s="1165"/>
      <c r="L28" s="1159"/>
      <c r="M28" s="1159"/>
      <c r="N28" s="1159"/>
      <c r="O28" s="1159"/>
      <c r="P28" s="1165"/>
      <c r="Q28" s="1159"/>
      <c r="R28" s="1159"/>
      <c r="S28" s="1159"/>
      <c r="T28" s="1159"/>
      <c r="U28" s="1159"/>
      <c r="V28" s="580"/>
    </row>
    <row r="29" ht="16.5" customHeight="1">
      <c r="A29" s="580"/>
      <c r="B29" s="1159"/>
      <c r="C29" s="1210" t="str">
        <f>IMAGE("https://i.ibb.co/b7PS0Dk/Drifblim.png",3)</f>
        <v/>
      </c>
      <c r="D29" s="1187" t="s">
        <v>1707</v>
      </c>
      <c r="E29" s="1175" t="str">
        <f t="shared" si="8"/>
        <v/>
      </c>
      <c r="F29" s="1169"/>
      <c r="G29" s="1159"/>
      <c r="H29" s="1159"/>
      <c r="I29" s="1159"/>
      <c r="J29" s="1159"/>
      <c r="K29" s="1195"/>
      <c r="L29" s="1159"/>
      <c r="M29" s="1159"/>
      <c r="N29" s="1159"/>
      <c r="O29" s="1159"/>
      <c r="P29" s="1195"/>
      <c r="Q29" s="1159"/>
      <c r="R29" s="1159"/>
      <c r="S29" s="1159"/>
      <c r="T29" s="1159"/>
      <c r="U29" s="1159"/>
      <c r="V29" s="580"/>
    </row>
    <row r="30" ht="15.0" customHeight="1">
      <c r="A30" s="580"/>
      <c r="B30" s="1159"/>
      <c r="C30" s="1192"/>
      <c r="D30" s="1192"/>
      <c r="E30" s="1192"/>
      <c r="F30" s="1192"/>
      <c r="G30" s="1159"/>
      <c r="H30" s="1192"/>
      <c r="I30" s="1192"/>
      <c r="J30" s="1192"/>
      <c r="K30" s="1192"/>
      <c r="L30" s="1159"/>
      <c r="M30" s="1192"/>
      <c r="N30" s="1192"/>
      <c r="O30" s="1192"/>
      <c r="P30" s="1192"/>
      <c r="Q30" s="1159"/>
      <c r="R30" s="1192"/>
      <c r="S30" s="1192"/>
      <c r="T30" s="1192"/>
      <c r="U30" s="1192"/>
      <c r="V30" s="580"/>
    </row>
    <row r="31" ht="15.0" customHeight="1">
      <c r="A31" s="580"/>
      <c r="B31" s="1161"/>
      <c r="C31" s="1162" t="s">
        <v>1708</v>
      </c>
      <c r="D31" s="1163"/>
      <c r="E31" s="1163"/>
      <c r="F31" s="1163"/>
      <c r="G31" s="1163"/>
      <c r="H31" s="1163"/>
      <c r="I31" s="1163"/>
      <c r="J31" s="1163"/>
      <c r="K31" s="1163"/>
      <c r="L31" s="1163"/>
      <c r="M31" s="1163"/>
      <c r="N31" s="1163"/>
      <c r="O31" s="1163"/>
      <c r="P31" s="1163"/>
      <c r="Q31" s="1163"/>
      <c r="R31" s="1163"/>
      <c r="S31" s="1164"/>
      <c r="T31" s="1165"/>
      <c r="U31" s="1165"/>
      <c r="V31" s="580"/>
    </row>
    <row r="32" ht="19.5" customHeight="1">
      <c r="A32" s="580"/>
      <c r="B32" s="1161"/>
      <c r="C32" s="1211" t="str">
        <f>Source!$AN$24</f>
        <v/>
      </c>
      <c r="D32" s="1212" t="s">
        <v>1709</v>
      </c>
      <c r="E32" s="1172" t="str">
        <f t="shared" ref="E32:E34" si="9">IMAGE("https://i.ibb.co/RDzHWPM/2-1.png")</f>
        <v/>
      </c>
      <c r="F32" s="1169"/>
      <c r="G32" s="1162"/>
      <c r="H32" s="1209" t="str">
        <f>Source!$AN$42</f>
        <v/>
      </c>
      <c r="I32" s="1174" t="s">
        <v>1710</v>
      </c>
      <c r="J32" s="1175" t="str">
        <f t="shared" ref="J32:J34" si="10">IMAGE("https://i.ibb.co/MBxgmgC/2-1.png")</f>
        <v/>
      </c>
      <c r="K32" s="1169"/>
      <c r="L32" s="1159"/>
      <c r="M32" s="1213" t="str">
        <f>Source!$AN$44</f>
        <v/>
      </c>
      <c r="N32" s="1214" t="s">
        <v>1711</v>
      </c>
      <c r="O32" s="1172" t="str">
        <f t="shared" ref="O32:O34" si="11">IMAGE("https://i.ibb.co/GfS66RX/2-1.png")</f>
        <v/>
      </c>
      <c r="P32" s="1169"/>
      <c r="Q32" s="1159"/>
      <c r="R32" s="1215" t="str">
        <f>Source!$AN$88</f>
        <v/>
      </c>
      <c r="S32" s="1216" t="s">
        <v>1712</v>
      </c>
      <c r="T32" s="1172" t="str">
        <f t="shared" ref="T32:T33" si="12">IMAGE("https://i.ibb.co/ysHMCF9/2-1.png")</f>
        <v/>
      </c>
      <c r="U32" s="1169"/>
      <c r="V32" s="646"/>
    </row>
    <row r="33" ht="16.5" customHeight="1">
      <c r="A33" s="580"/>
      <c r="B33" s="1159"/>
      <c r="C33" s="1217" t="str">
        <f>IMAGE("https://i.ibb.co/PTX895c/pelipper.png",3)</f>
        <v/>
      </c>
      <c r="D33" s="1218" t="s">
        <v>1694</v>
      </c>
      <c r="E33" s="1172" t="str">
        <f t="shared" si="9"/>
        <v/>
      </c>
      <c r="F33" s="1169"/>
      <c r="G33" s="1159"/>
      <c r="H33" s="1210" t="str">
        <f>IMAGE("https://i.ibb.co/5G3ZV3q/Ninetales.png",3)</f>
        <v/>
      </c>
      <c r="I33" s="1187" t="s">
        <v>1713</v>
      </c>
      <c r="J33" s="1175" t="str">
        <f t="shared" si="10"/>
        <v/>
      </c>
      <c r="K33" s="1169"/>
      <c r="L33" s="1165"/>
      <c r="M33" s="1219" t="str">
        <f>IMAGE("https://i.ibb.co/0jFH5pX/Abomasnow.png",3)</f>
        <v/>
      </c>
      <c r="N33" s="1220" t="s">
        <v>1714</v>
      </c>
      <c r="O33" s="1172" t="str">
        <f t="shared" si="11"/>
        <v/>
      </c>
      <c r="P33" s="1169"/>
      <c r="Q33" s="1165"/>
      <c r="R33" s="1221" t="str">
        <f>IMAGE("https://i.ibb.co/Jvr5BMW/Hippowdon.png",3)</f>
        <v/>
      </c>
      <c r="S33" s="1222" t="s">
        <v>1715</v>
      </c>
      <c r="T33" s="1172" t="str">
        <f t="shared" si="12"/>
        <v/>
      </c>
      <c r="U33" s="1169"/>
      <c r="V33" s="580"/>
    </row>
    <row r="34" ht="16.5" customHeight="1">
      <c r="A34" s="580"/>
      <c r="B34" s="1159"/>
      <c r="C34" s="1217" t="str">
        <f>IMAGE("https://i.ibb.co/6Z89qvb/Politoed.png",3)</f>
        <v/>
      </c>
      <c r="D34" s="1218" t="s">
        <v>1716</v>
      </c>
      <c r="E34" s="1172" t="str">
        <f t="shared" si="9"/>
        <v/>
      </c>
      <c r="F34" s="1169"/>
      <c r="G34" s="1159"/>
      <c r="H34" s="1210" t="str">
        <f>IMAGE("https://i.ibb.co/L9YKsL2/Torkoal.png",3)</f>
        <v/>
      </c>
      <c r="I34" s="1187" t="s">
        <v>1717</v>
      </c>
      <c r="J34" s="1175" t="str">
        <f t="shared" si="10"/>
        <v/>
      </c>
      <c r="K34" s="1169"/>
      <c r="L34" s="1159"/>
      <c r="M34" s="1219" t="str">
        <f>IMAGE("https://i.ibb.co/jkYSpwc/Alolatales.png",3)</f>
        <v/>
      </c>
      <c r="N34" s="1220" t="s">
        <v>1718</v>
      </c>
      <c r="O34" s="1172" t="str">
        <f t="shared" si="11"/>
        <v/>
      </c>
      <c r="P34" s="1169"/>
      <c r="Q34" s="1159"/>
      <c r="R34" s="1159"/>
      <c r="S34" s="1159"/>
      <c r="T34" s="1192"/>
      <c r="U34" s="1195"/>
      <c r="V34" s="646"/>
    </row>
    <row r="35" ht="15.0" customHeight="1">
      <c r="A35" s="580"/>
      <c r="B35" s="1159"/>
      <c r="C35" s="1192"/>
      <c r="D35" s="1192"/>
      <c r="E35" s="1192"/>
      <c r="F35" s="1192"/>
      <c r="G35" s="1159"/>
      <c r="H35" s="1192"/>
      <c r="I35" s="1192"/>
      <c r="J35" s="1192"/>
      <c r="K35" s="1192"/>
      <c r="L35" s="1159"/>
      <c r="M35" s="1192"/>
      <c r="N35" s="1192"/>
      <c r="O35" s="1192"/>
      <c r="P35" s="1192"/>
      <c r="Q35" s="1159"/>
      <c r="R35" s="1192"/>
      <c r="S35" s="1192"/>
      <c r="T35" s="1192"/>
      <c r="U35" s="1192"/>
      <c r="V35" s="580"/>
    </row>
    <row r="36" ht="15.0" customHeight="1">
      <c r="A36" s="580"/>
      <c r="B36" s="1161"/>
      <c r="C36" s="1203" t="s">
        <v>1719</v>
      </c>
      <c r="D36" s="1204"/>
      <c r="E36" s="1204"/>
      <c r="F36" s="1204"/>
      <c r="G36" s="1204"/>
      <c r="H36" s="1204"/>
      <c r="I36" s="1204"/>
      <c r="J36" s="1204"/>
      <c r="K36" s="1204"/>
      <c r="L36" s="1204"/>
      <c r="M36" s="1204"/>
      <c r="N36" s="1204"/>
      <c r="O36" s="1204"/>
      <c r="P36" s="1204"/>
      <c r="Q36" s="1204"/>
      <c r="R36" s="1204"/>
      <c r="S36" s="1204"/>
      <c r="T36" s="1205"/>
      <c r="U36" s="1165"/>
      <c r="V36" s="580"/>
    </row>
    <row r="37" ht="19.5" customHeight="1">
      <c r="A37" s="580"/>
      <c r="B37" s="1161"/>
      <c r="C37" s="1223" t="str">
        <f>Source!$AN$101</f>
        <v/>
      </c>
      <c r="D37" s="1224" t="s">
        <v>1720</v>
      </c>
      <c r="E37" s="1172" t="str">
        <f t="shared" ref="E37:E41" si="13">IMAGE("https://i.ibb.co/g7VX0Py/2-1.png")</f>
        <v/>
      </c>
      <c r="F37" s="1169"/>
      <c r="G37" s="1162"/>
      <c r="H37" s="1163"/>
      <c r="I37" s="1163"/>
      <c r="J37" s="1163"/>
      <c r="K37" s="1163"/>
      <c r="L37" s="1163"/>
      <c r="M37" s="1163"/>
      <c r="N37" s="1163"/>
      <c r="O37" s="1163"/>
      <c r="P37" s="1163"/>
      <c r="Q37" s="1163"/>
      <c r="R37" s="1163"/>
      <c r="S37" s="1164"/>
      <c r="T37" s="1159"/>
      <c r="U37" s="1159"/>
      <c r="V37" s="646"/>
    </row>
    <row r="38" ht="16.5" customHeight="1">
      <c r="A38" s="580"/>
      <c r="B38" s="1159"/>
      <c r="C38" s="1225" t="str">
        <f>IMAGE("https://i.ibb.co/VD5ScsN/graveler.png",3)</f>
        <v/>
      </c>
      <c r="D38" s="1226" t="s">
        <v>1721</v>
      </c>
      <c r="E38" s="1172" t="str">
        <f t="shared" si="13"/>
        <v/>
      </c>
      <c r="F38" s="1169"/>
      <c r="G38" s="1159"/>
      <c r="H38" s="1159"/>
      <c r="I38" s="1159"/>
      <c r="J38" s="1159"/>
      <c r="K38" s="1165"/>
      <c r="L38" s="1159"/>
      <c r="M38" s="1159"/>
      <c r="N38" s="1159"/>
      <c r="O38" s="1159"/>
      <c r="P38" s="1165"/>
      <c r="Q38" s="1159"/>
      <c r="R38" s="1159"/>
      <c r="S38" s="1159"/>
      <c r="T38" s="1159"/>
      <c r="U38" s="1159"/>
      <c r="V38" s="580"/>
    </row>
    <row r="39" ht="16.5" customHeight="1">
      <c r="A39" s="580"/>
      <c r="B39" s="1159"/>
      <c r="C39" s="1225" t="str">
        <f>IMAGE("https://i.ibb.co/n7Q6nDv/graveleralola.png",3)</f>
        <v/>
      </c>
      <c r="D39" s="1226" t="s">
        <v>1722</v>
      </c>
      <c r="E39" s="1172" t="str">
        <f t="shared" si="13"/>
        <v/>
      </c>
      <c r="F39" s="1169"/>
      <c r="G39" s="1159"/>
      <c r="H39" s="1159"/>
      <c r="I39" s="1159"/>
      <c r="J39" s="1159"/>
      <c r="K39" s="1195"/>
      <c r="L39" s="1159"/>
      <c r="M39" s="1159"/>
      <c r="N39" s="1159"/>
      <c r="O39" s="1159"/>
      <c r="P39" s="1195"/>
      <c r="Q39" s="1159"/>
      <c r="R39" s="1159"/>
      <c r="S39" s="1159"/>
      <c r="T39" s="1159"/>
      <c r="U39" s="1159"/>
      <c r="V39" s="580"/>
    </row>
    <row r="40" ht="16.5" customHeight="1">
      <c r="A40" s="580"/>
      <c r="B40" s="1159"/>
      <c r="C40" s="1225" t="str">
        <f>IMAGE("https://i.ibb.co/z5vjSp0/Golem.png",3)</f>
        <v/>
      </c>
      <c r="D40" s="1226" t="s">
        <v>1723</v>
      </c>
      <c r="E40" s="1172" t="str">
        <f t="shared" si="13"/>
        <v/>
      </c>
      <c r="F40" s="1169"/>
      <c r="G40" s="1159"/>
      <c r="H40" s="1159"/>
      <c r="I40" s="1159"/>
      <c r="J40" s="1159"/>
      <c r="K40" s="1165"/>
      <c r="L40" s="1159"/>
      <c r="M40" s="1159"/>
      <c r="N40" s="1159"/>
      <c r="O40" s="1159"/>
      <c r="P40" s="1165"/>
      <c r="Q40" s="1159"/>
      <c r="R40" s="1159"/>
      <c r="S40" s="1159"/>
      <c r="T40" s="1159"/>
      <c r="U40" s="1159"/>
      <c r="V40" s="580"/>
    </row>
    <row r="41" ht="16.5" customHeight="1">
      <c r="A41" s="580"/>
      <c r="B41" s="1159"/>
      <c r="C41" s="1225" t="str">
        <f>IMAGE("https://i.ibb.co/YTndySc/GolemA.png",3)</f>
        <v/>
      </c>
      <c r="D41" s="1226" t="s">
        <v>1724</v>
      </c>
      <c r="E41" s="1172" t="str">
        <f t="shared" si="13"/>
        <v/>
      </c>
      <c r="F41" s="1169"/>
      <c r="G41" s="1159"/>
      <c r="H41" s="1159"/>
      <c r="I41" s="1159"/>
      <c r="J41" s="1159"/>
      <c r="K41" s="1195"/>
      <c r="L41" s="1159"/>
      <c r="M41" s="1159"/>
      <c r="N41" s="1159"/>
      <c r="O41" s="1159"/>
      <c r="P41" s="1195"/>
      <c r="Q41" s="1159"/>
      <c r="R41" s="1159"/>
      <c r="S41" s="1159"/>
      <c r="T41" s="1159"/>
      <c r="U41" s="1159"/>
      <c r="V41" s="580"/>
    </row>
    <row r="42" ht="15.0" customHeight="1">
      <c r="A42" s="580"/>
      <c r="B42" s="1159"/>
      <c r="C42" s="1192"/>
      <c r="D42" s="1192"/>
      <c r="E42" s="1192"/>
      <c r="F42" s="1192"/>
      <c r="G42" s="1159"/>
      <c r="H42" s="1192"/>
      <c r="I42" s="1192"/>
      <c r="J42" s="1192"/>
      <c r="K42" s="1192"/>
      <c r="L42" s="1159"/>
      <c r="M42" s="1192"/>
      <c r="N42" s="1192"/>
      <c r="O42" s="1192"/>
      <c r="P42" s="1192"/>
      <c r="Q42" s="1159"/>
      <c r="R42" s="1192"/>
      <c r="S42" s="1192"/>
      <c r="T42" s="1192"/>
      <c r="U42" s="1192"/>
      <c r="V42" s="580"/>
    </row>
    <row r="43" ht="15.0" customHeight="1">
      <c r="A43" s="580"/>
      <c r="B43" s="1161"/>
      <c r="C43" s="1203" t="s">
        <v>1725</v>
      </c>
      <c r="D43" s="1204"/>
      <c r="E43" s="1204"/>
      <c r="F43" s="1204"/>
      <c r="G43" s="1204"/>
      <c r="H43" s="1204"/>
      <c r="I43" s="1204"/>
      <c r="J43" s="1204"/>
      <c r="K43" s="1204"/>
      <c r="L43" s="1204"/>
      <c r="M43" s="1204"/>
      <c r="N43" s="1204"/>
      <c r="O43" s="1204"/>
      <c r="P43" s="1204"/>
      <c r="Q43" s="1204"/>
      <c r="R43" s="1204"/>
      <c r="S43" s="1204"/>
      <c r="T43" s="1205"/>
      <c r="U43" s="1165"/>
      <c r="V43" s="580"/>
    </row>
    <row r="44" ht="19.5" customHeight="1">
      <c r="A44" s="580"/>
      <c r="B44" s="1161"/>
      <c r="C44" s="1166" t="str">
        <f>Source!$AN$38</f>
        <v/>
      </c>
      <c r="D44" s="1167" t="s">
        <v>1726</v>
      </c>
      <c r="E44" s="1168" t="str">
        <f t="shared" ref="E44:E45" si="14">IMAGE("https://i.ibb.co/SXG0s7n/2-1.png")</f>
        <v/>
      </c>
      <c r="F44" s="1169"/>
      <c r="G44" s="1192"/>
      <c r="H44" s="1227" t="str">
        <f>Source!$AN$62</f>
        <v/>
      </c>
      <c r="I44" s="1228" t="s">
        <v>1727</v>
      </c>
      <c r="J44" s="1172" t="str">
        <f t="shared" ref="J44:J45" si="15">IMAGE("https://i.ibb.co/T1JMdL3/2-1.png")</f>
        <v/>
      </c>
      <c r="K44" s="1169"/>
      <c r="L44" s="1159"/>
      <c r="M44" s="1229" t="str">
        <f>Source!$AN$69</f>
        <v/>
      </c>
      <c r="N44" s="1230" t="s">
        <v>1728</v>
      </c>
      <c r="O44" s="1172" t="str">
        <f t="shared" ref="O44:O45" si="16">IMAGE("https://i.ibb.co/Khzxsvn/2-1.png")</f>
        <v/>
      </c>
      <c r="P44" s="1169"/>
      <c r="Q44" s="1159"/>
      <c r="R44" s="1176" t="str">
        <f>Source!$AN$30</f>
        <v/>
      </c>
      <c r="S44" s="1177" t="s">
        <v>1729</v>
      </c>
      <c r="T44" s="1178" t="str">
        <f t="shared" ref="T44:T45" si="17">IMAGE("https://i.ibb.co/yR6q8VR/2-1.png")</f>
        <v/>
      </c>
      <c r="U44" s="1169"/>
      <c r="V44" s="646"/>
    </row>
    <row r="45" ht="16.5" customHeight="1">
      <c r="A45" s="580"/>
      <c r="B45" s="1159"/>
      <c r="C45" s="1179" t="str">
        <f>IMAGE("https://i.ibb.co/N3RPVYD/Tsareena.png",3)</f>
        <v/>
      </c>
      <c r="D45" s="1180" t="s">
        <v>1730</v>
      </c>
      <c r="E45" s="1181" t="str">
        <f t="shared" si="14"/>
        <v/>
      </c>
      <c r="F45" s="1182"/>
      <c r="G45" s="1159"/>
      <c r="H45" s="1227" t="str">
        <f>IMAGE("https://i.ibb.co/qsqsS6r/comfey.png",3)</f>
        <v/>
      </c>
      <c r="I45" s="1231" t="s">
        <v>1731</v>
      </c>
      <c r="J45" s="1172" t="str">
        <f t="shared" si="15"/>
        <v/>
      </c>
      <c r="K45" s="1169"/>
      <c r="L45" s="1159"/>
      <c r="M45" s="1232" t="str">
        <f>IMAGE("https://i.ibb.co/9WrM5n8/exeggcute.png",3)</f>
        <v/>
      </c>
      <c r="N45" s="1233" t="s">
        <v>1732</v>
      </c>
      <c r="O45" s="1172" t="str">
        <f t="shared" si="16"/>
        <v/>
      </c>
      <c r="P45" s="1169"/>
      <c r="Q45" s="1159"/>
      <c r="R45" s="1189" t="str">
        <f>IMAGE("https://i.ibb.co/F7d9rWB/togedemaru.png",3)</f>
        <v/>
      </c>
      <c r="S45" s="1190" t="s">
        <v>1733</v>
      </c>
      <c r="T45" s="1178" t="str">
        <f t="shared" si="17"/>
        <v/>
      </c>
      <c r="U45" s="1169"/>
      <c r="V45" s="580"/>
    </row>
    <row r="46" ht="3.75" customHeight="1">
      <c r="A46" s="1234"/>
      <c r="B46" s="1235"/>
      <c r="C46" s="1236"/>
      <c r="D46" s="1236"/>
      <c r="E46" s="1236"/>
      <c r="F46" s="1236"/>
      <c r="G46" s="1236"/>
      <c r="H46" s="1236"/>
      <c r="I46" s="1236"/>
      <c r="J46" s="1236"/>
      <c r="K46" s="1236"/>
      <c r="L46" s="1236"/>
      <c r="M46" s="1236"/>
      <c r="N46" s="1236"/>
      <c r="O46" s="1236"/>
      <c r="P46" s="1236"/>
      <c r="Q46" s="1236"/>
      <c r="R46" s="1236"/>
      <c r="S46" s="1236"/>
      <c r="T46" s="1236"/>
      <c r="U46" s="1237"/>
      <c r="V46" s="646"/>
    </row>
    <row r="47" ht="3.75" customHeight="1">
      <c r="A47" s="580"/>
      <c r="B47" s="647"/>
      <c r="C47" s="647"/>
      <c r="D47" s="647"/>
      <c r="E47" s="647"/>
      <c r="F47" s="647"/>
      <c r="G47" s="647"/>
      <c r="H47" s="647"/>
      <c r="I47" s="647"/>
      <c r="J47" s="647"/>
      <c r="K47" s="647"/>
      <c r="L47" s="647"/>
      <c r="M47" s="647"/>
      <c r="N47" s="647"/>
      <c r="O47" s="647"/>
      <c r="P47" s="647"/>
      <c r="Q47" s="647"/>
      <c r="R47" s="647"/>
      <c r="S47" s="647"/>
      <c r="T47" s="647"/>
      <c r="U47" s="647"/>
      <c r="V47" s="580"/>
    </row>
  </sheetData>
  <mergeCells count="56">
    <mergeCell ref="E33:F33"/>
    <mergeCell ref="E34:F34"/>
    <mergeCell ref="J34:K34"/>
    <mergeCell ref="C36:S36"/>
    <mergeCell ref="E37:F37"/>
    <mergeCell ref="G37:S37"/>
    <mergeCell ref="E38:F38"/>
    <mergeCell ref="E39:F39"/>
    <mergeCell ref="E40:F40"/>
    <mergeCell ref="E41:F41"/>
    <mergeCell ref="C43:S43"/>
    <mergeCell ref="E44:F44"/>
    <mergeCell ref="O44:P44"/>
    <mergeCell ref="T44:U44"/>
    <mergeCell ref="C3:S3"/>
    <mergeCell ref="E4:F4"/>
    <mergeCell ref="J4:K4"/>
    <mergeCell ref="O4:P4"/>
    <mergeCell ref="T4:U4"/>
    <mergeCell ref="T5:U5"/>
    <mergeCell ref="T6:U6"/>
    <mergeCell ref="T7:U7"/>
    <mergeCell ref="T8:U8"/>
    <mergeCell ref="C12:S12"/>
    <mergeCell ref="E13:F13"/>
    <mergeCell ref="E14:F14"/>
    <mergeCell ref="E15:F15"/>
    <mergeCell ref="E16:F16"/>
    <mergeCell ref="H16:S16"/>
    <mergeCell ref="C18:S18"/>
    <mergeCell ref="E19:F19"/>
    <mergeCell ref="J19:K19"/>
    <mergeCell ref="E20:F20"/>
    <mergeCell ref="J20:K20"/>
    <mergeCell ref="E21:F21"/>
    <mergeCell ref="J21:K21"/>
    <mergeCell ref="C23:S23"/>
    <mergeCell ref="E24:F24"/>
    <mergeCell ref="C26:S26"/>
    <mergeCell ref="E27:F27"/>
    <mergeCell ref="G27:S27"/>
    <mergeCell ref="E28:F28"/>
    <mergeCell ref="O32:P32"/>
    <mergeCell ref="O33:P33"/>
    <mergeCell ref="O34:P34"/>
    <mergeCell ref="E29:F29"/>
    <mergeCell ref="C31:S31"/>
    <mergeCell ref="E32:F32"/>
    <mergeCell ref="J32:K32"/>
    <mergeCell ref="T32:U32"/>
    <mergeCell ref="J33:K33"/>
    <mergeCell ref="T33:U33"/>
    <mergeCell ref="J44:K44"/>
    <mergeCell ref="J45:K45"/>
    <mergeCell ref="O45:P45"/>
    <mergeCell ref="T45:U4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32222"/>
    <outlinePr summaryBelow="0" summaryRight="0"/>
  </sheetPr>
  <sheetViews>
    <sheetView workbookViewId="0"/>
  </sheetViews>
  <sheetFormatPr customHeight="1" defaultColWidth="14.43" defaultRowHeight="15.0"/>
  <cols>
    <col customWidth="1" min="1" max="1" width="0.86"/>
    <col customWidth="1" min="2" max="2" width="3.71"/>
    <col customWidth="1" min="3" max="3" width="0.86"/>
    <col customWidth="1" min="4" max="4" width="3.71"/>
    <col customWidth="1" hidden="1" min="5" max="5" width="10.86"/>
    <col customWidth="1" min="6" max="6" width="0.86"/>
    <col customWidth="1" min="7" max="7" width="3.71"/>
    <col customWidth="1" hidden="1" min="8" max="8" width="10.86"/>
    <col customWidth="1" min="9" max="9" width="0.86"/>
    <col customWidth="1" min="10" max="10" width="3.71"/>
    <col customWidth="1" hidden="1" min="11" max="11" width="10.86"/>
    <col customWidth="1" min="12" max="12" width="0.86"/>
    <col customWidth="1" min="13" max="13" width="3.71"/>
    <col customWidth="1" hidden="1" min="14" max="14" width="10.86"/>
    <col customWidth="1" min="15" max="15" width="0.86"/>
    <col customWidth="1" min="16" max="16" width="3.71"/>
    <col customWidth="1" hidden="1" min="17" max="17" width="18.0"/>
    <col customWidth="1" min="18" max="18" width="0.86"/>
    <col customWidth="1" min="19" max="19" width="3.71"/>
    <col customWidth="1" hidden="1" min="20" max="20" width="25.86"/>
    <col customWidth="1" min="21" max="21" width="0.86"/>
    <col customWidth="1" min="22" max="22" width="3.57"/>
    <col customWidth="1" hidden="1" min="23" max="23" width="19.43"/>
    <col customWidth="1" min="24" max="24" width="0.86"/>
    <col customWidth="1" min="25" max="25" width="3.71"/>
    <col customWidth="1" hidden="1" min="26" max="26" width="17.29"/>
    <col customWidth="1" min="27" max="27" width="0.86"/>
    <col customWidth="1" min="28" max="28" width="3.71"/>
    <col customWidth="1" hidden="1" min="29" max="29" width="20.14"/>
    <col customWidth="1" min="30" max="30" width="0.86"/>
    <col customWidth="1" min="31" max="31" width="3.71"/>
    <col customWidth="1" hidden="1" min="32" max="32" width="20.14"/>
    <col customWidth="1" min="33" max="33" width="0.86"/>
    <col customWidth="1" min="34" max="34" width="3.71"/>
    <col customWidth="1" hidden="1" min="35" max="35" width="20.14"/>
    <col customWidth="1" min="36" max="36" width="0.86"/>
    <col customWidth="1" min="37" max="37" width="3.71"/>
    <col customWidth="1" hidden="1" min="38" max="38" width="20.14"/>
    <col customWidth="1" min="39" max="39" width="0.86"/>
    <col customWidth="1" min="40" max="40" width="3.71"/>
    <col customWidth="1" hidden="1" min="41" max="41" width="20.14"/>
    <col customWidth="1" min="42" max="42" width="0.86"/>
    <col customWidth="1" min="43" max="43" width="3.71"/>
    <col customWidth="1" hidden="1" min="44" max="44" width="33.0"/>
    <col customWidth="1" min="45" max="45" width="0.86"/>
    <col customWidth="1" min="46" max="46" width="3.71"/>
    <col customWidth="1" hidden="1" min="47" max="47" width="20.14"/>
    <col customWidth="1" min="48" max="48" width="0.86"/>
    <col customWidth="1" min="49" max="49" width="3.71"/>
    <col customWidth="1" hidden="1" min="50" max="50" width="20.14"/>
    <col customWidth="1" min="51" max="51" width="0.86"/>
    <col customWidth="1" min="52" max="52" width="3.71"/>
    <col customWidth="1" hidden="1" min="53" max="53" width="20.14"/>
    <col customWidth="1" min="54" max="54" width="0.86"/>
    <col customWidth="1" min="55" max="55" width="3.71"/>
    <col customWidth="1" hidden="1" min="56" max="56" width="8.71"/>
    <col customWidth="1" min="57" max="57" width="0.86"/>
    <col customWidth="1" min="58" max="58" width="3.71"/>
    <col customWidth="1" hidden="1" min="59" max="59" width="11.57"/>
    <col customWidth="1" min="60" max="60" width="0.86"/>
    <col customWidth="1" min="61" max="61" width="3.71"/>
    <col customWidth="1" hidden="1" min="62" max="62" width="13.0"/>
    <col customWidth="1" min="63" max="63" width="0.86"/>
    <col customWidth="1" min="64" max="64" width="3.71"/>
    <col customWidth="1" hidden="1" min="65" max="65" width="17.29"/>
    <col customWidth="1" min="66" max="66" width="0.86"/>
    <col customWidth="1" min="67" max="67" width="3.71"/>
    <col customWidth="1" hidden="1" min="68" max="68" width="8.71"/>
    <col customWidth="1" min="69" max="69" width="0.86"/>
    <col customWidth="1" min="70" max="70" width="3.71"/>
    <col customWidth="1" hidden="1" min="71" max="71" width="11.57"/>
    <col customWidth="1" min="72" max="72" width="0.86"/>
    <col customWidth="1" min="73" max="73" width="3.71"/>
    <col customWidth="1" hidden="1" min="74" max="74" width="8.71"/>
    <col customWidth="1" min="75" max="75" width="0.86"/>
    <col customWidth="1" min="76" max="76" width="3.71"/>
    <col customWidth="1" hidden="1" min="77" max="77" width="21.57"/>
    <col customWidth="1" min="78" max="78" width="0.86"/>
    <col customWidth="1" min="79" max="79" width="3.71"/>
    <col customWidth="1" hidden="1" min="80" max="80" width="8.71"/>
    <col customWidth="1" min="81" max="81" width="0.86"/>
    <col customWidth="1" min="82" max="82" width="3.71"/>
    <col customWidth="1" hidden="1" min="83" max="83" width="21.57"/>
    <col customWidth="1" min="84" max="84" width="0.86"/>
    <col customWidth="1" min="85" max="85" width="3.71"/>
    <col customWidth="1" hidden="1" min="86" max="86" width="8.71"/>
    <col customWidth="1" min="87" max="87" width="0.86"/>
    <col customWidth="1" min="88" max="88" width="3.71"/>
    <col customWidth="1" hidden="1" min="89" max="89" width="21.57"/>
    <col customWidth="1" min="90" max="90" width="0.86"/>
  </cols>
  <sheetData>
    <row r="1" ht="3.75" customHeight="1">
      <c r="A1" s="1238"/>
      <c r="B1" s="1239"/>
      <c r="C1" s="1238"/>
      <c r="D1" s="1240"/>
      <c r="E1" s="1240"/>
      <c r="F1" s="1238"/>
      <c r="G1" s="1240"/>
      <c r="H1" s="1240"/>
      <c r="I1" s="1238"/>
      <c r="J1" s="1240"/>
      <c r="K1" s="1240"/>
      <c r="L1" s="1238"/>
      <c r="M1" s="1240"/>
      <c r="N1" s="1240"/>
      <c r="O1" s="1238"/>
      <c r="P1" s="1240"/>
      <c r="Q1" s="1240"/>
      <c r="R1" s="1238"/>
      <c r="S1" s="1239"/>
      <c r="T1" s="1239"/>
      <c r="U1" s="1238"/>
      <c r="V1" s="1240"/>
      <c r="W1" s="1240"/>
      <c r="X1" s="1238"/>
      <c r="Y1" s="1239"/>
      <c r="Z1" s="1239"/>
      <c r="AA1" s="1238"/>
      <c r="AB1" s="1239"/>
      <c r="AC1" s="1239"/>
      <c r="AD1" s="1238"/>
      <c r="AE1" s="1239"/>
      <c r="AF1" s="1239"/>
      <c r="AG1" s="1238"/>
      <c r="AH1" s="1239"/>
      <c r="AI1" s="1239"/>
      <c r="AJ1" s="1238"/>
      <c r="AK1" s="1239"/>
      <c r="AL1" s="1239"/>
      <c r="AM1" s="1238"/>
      <c r="AN1" s="1239"/>
      <c r="AO1" s="1239"/>
      <c r="AP1" s="1238"/>
      <c r="AQ1" s="1239"/>
      <c r="AR1" s="1239"/>
      <c r="AS1" s="1238"/>
      <c r="AT1" s="1239"/>
      <c r="AU1" s="1239"/>
      <c r="AV1" s="1238"/>
      <c r="AW1" s="1239"/>
      <c r="AX1" s="1239"/>
      <c r="AY1" s="1238"/>
      <c r="AZ1" s="1239"/>
      <c r="BA1" s="1239"/>
      <c r="BB1" s="1238"/>
      <c r="BC1" s="1239"/>
      <c r="BD1" s="1239"/>
      <c r="BE1" s="1238"/>
      <c r="BF1" s="1239"/>
      <c r="BG1" s="1239"/>
      <c r="BH1" s="1238"/>
      <c r="BI1" s="1239"/>
      <c r="BJ1" s="1239"/>
      <c r="BK1" s="1238"/>
      <c r="BL1" s="1239"/>
      <c r="BM1" s="1239"/>
      <c r="BN1" s="1238"/>
      <c r="BO1" s="1239"/>
      <c r="BP1" s="1239"/>
      <c r="BQ1" s="1238"/>
      <c r="BR1" s="1239"/>
      <c r="BS1" s="1239"/>
      <c r="BT1" s="1238"/>
      <c r="BU1" s="1239"/>
      <c r="BV1" s="1239"/>
      <c r="BW1" s="1238"/>
      <c r="BX1" s="1239"/>
      <c r="BY1" s="1239"/>
      <c r="BZ1" s="1238"/>
      <c r="CA1" s="1239"/>
      <c r="CB1" s="1239"/>
      <c r="CC1" s="1238"/>
      <c r="CD1" s="1239"/>
      <c r="CE1" s="1239"/>
      <c r="CF1" s="1238"/>
      <c r="CG1" s="1239"/>
      <c r="CH1" s="1239"/>
      <c r="CI1" s="1238"/>
      <c r="CJ1" s="1239"/>
      <c r="CK1" s="1239"/>
      <c r="CL1" s="1238"/>
    </row>
    <row r="2" ht="18.75" customHeight="1">
      <c r="A2" s="1241"/>
      <c r="B2" s="1242" t="str">
        <f>IMAGE("https://i.ibb.co/GJGBQ1p/1.png")</f>
        <v/>
      </c>
      <c r="C2" s="1243"/>
      <c r="D2" s="1244" t="str">
        <f>IMAGE("https://raw.githubusercontent.com/msikma/pokesprite/master/items/tm/bug.png",4,32,32)</f>
        <v/>
      </c>
      <c r="E2" s="1245" t="s">
        <v>1734</v>
      </c>
      <c r="F2" s="1243"/>
      <c r="G2" s="1244" t="str">
        <f t="array" ref="G2:G229">IMAGE("https://raw.githubusercontent.com/msikma/pokesprite/master/items/memory/"&amp;H2:H229&amp;".png",4,32,32)</f>
        <v/>
      </c>
      <c r="H2" s="1245" t="s">
        <v>1735</v>
      </c>
      <c r="I2" s="1243"/>
      <c r="J2" s="1244" t="str">
        <f t="array" ref="J2:J229">IMAGE("https://raw.githubusercontent.com/msikma/pokesprite/master/items/tr/"&amp;K2:K229&amp;".png",4,32,32)</f>
        <v/>
      </c>
      <c r="K2" s="1245" t="s">
        <v>1735</v>
      </c>
      <c r="L2" s="1243"/>
      <c r="M2" s="1244" t="str">
        <f t="array" ref="M2:M229">IMAGE("https://raw.githubusercontent.com/msikma/pokesprite/master/items/gem/"&amp;N2:N229&amp;".png",4,32,32)</f>
        <v/>
      </c>
      <c r="N2" s="1245" t="s">
        <v>1735</v>
      </c>
      <c r="O2" s="1243"/>
      <c r="P2" s="1246" t="str">
        <f t="array" ref="P2:P229">IMAGE("https://raw.githubusercontent.com/msikma/pokesprite/master/items/mega-stone/"&amp;Q2:Q229&amp;".png",4,32,32)</f>
        <v/>
      </c>
      <c r="Q2" s="1247" t="s">
        <v>1736</v>
      </c>
      <c r="R2" s="1243"/>
      <c r="S2" s="1248" t="str">
        <f t="array" ref="S2:S229">IMAGE("https://raw.githubusercontent.com/msikma/pokesprite/master/items/z-crystals/"&amp;T2:T229&amp;".png",4,32,32)</f>
        <v/>
      </c>
      <c r="T2" s="1249" t="s">
        <v>1737</v>
      </c>
      <c r="U2" s="1243"/>
      <c r="V2" s="1244" t="str">
        <f>IMAGE("https://i.ibb.co/jzCSPJ0/Screenshot-1.png")</f>
        <v/>
      </c>
      <c r="W2" s="1250" t="s">
        <v>374</v>
      </c>
      <c r="X2" s="1243"/>
      <c r="Y2" s="1251" t="str">
        <f t="array" ref="Y2:Y229">IMAGE("https://raw.githubusercontent.com/msikma/pokesprite/master/items/ball/"&amp;Z2:Z229&amp;".png",4,32,32)</f>
        <v/>
      </c>
      <c r="Z2" s="1252" t="s">
        <v>1738</v>
      </c>
      <c r="AA2" s="1243"/>
      <c r="AB2" s="1253" t="str">
        <f t="array" ref="AB2:AB229">IMAGE("https://raw.githubusercontent.com/msikma/pokesprite/master/items/medicine/"&amp;AC2:AC229&amp;".png",4,32,32)</f>
        <v/>
      </c>
      <c r="AC2" s="1254" t="s">
        <v>1739</v>
      </c>
      <c r="AD2" s="1243"/>
      <c r="AE2" s="1255" t="str">
        <f t="array" ref="AE2:AE31">IMAGE("https://raw.githubusercontent.com/msikma/pokesprite/master/items/other-item/"&amp;AF2:AF31&amp;".png",4,32,32)</f>
        <v/>
      </c>
      <c r="AF2" s="1256" t="s">
        <v>1740</v>
      </c>
      <c r="AG2" s="1243"/>
      <c r="AH2" s="1257" t="str">
        <f t="array" ref="AH2:AH229">IMAGE("https://raw.githubusercontent.com/msikma/pokesprite/master/items/valuable-item/"&amp;AI2:AI229&amp;".png",4,32,32)</f>
        <v/>
      </c>
      <c r="AI2" s="1258" t="s">
        <v>1741</v>
      </c>
      <c r="AJ2" s="1243"/>
      <c r="AK2" s="1259" t="str">
        <f t="array" ref="AK2:AK229">IMAGE("https://raw.githubusercontent.com/msikma/pokesprite/master/items/evo-item/"&amp;AL2:AL229&amp;".png",4,32,32)</f>
        <v/>
      </c>
      <c r="AL2" s="1260" t="s">
        <v>1742</v>
      </c>
      <c r="AM2" s="1243"/>
      <c r="AN2" s="1261" t="str">
        <f t="array" ref="AN2:AN229">IMAGE("https://raw.githubusercontent.com/msikma/pokesprite/master/items/hold-item/"&amp;AO2:AO229&amp;".png",4,32,32)</f>
        <v/>
      </c>
      <c r="AO2" s="1262" t="s">
        <v>1743</v>
      </c>
      <c r="AP2" s="1243"/>
      <c r="AQ2" s="1263" t="str">
        <f t="array" ref="AQ2:AQ229">IMAGE("https://raw.githubusercontent.com/msikma/pokesprite/master/items/key-item/"&amp;AR2:AR229&amp;".png",4,32,32)</f>
        <v/>
      </c>
      <c r="AR2" s="1264" t="s">
        <v>1744</v>
      </c>
      <c r="AS2" s="1243"/>
      <c r="AT2" s="1265" t="str">
        <f t="array" ref="AT2:AT229">IMAGE("https://raw.githubusercontent.com/msikma/pokesprite/master/items/berry/"&amp;AU2:AU229&amp;".png",4,32,32)</f>
        <v/>
      </c>
      <c r="AU2" s="1266" t="s">
        <v>1745</v>
      </c>
      <c r="AV2" s="1243"/>
      <c r="AW2" s="1267" t="str">
        <f t="array" ref="AW2:AW229">IMAGE("https://raw.githubusercontent.com/msikma/pokesprite/master/items/mail/"&amp;AX2:AX229&amp;".png",4,32,32)</f>
        <v/>
      </c>
      <c r="AX2" s="1268" t="s">
        <v>1746</v>
      </c>
      <c r="AY2" s="1243"/>
      <c r="AZ2" s="1269" t="str">
        <f t="array" ref="AZ2:AZ229">IMAGE("https://raw.githubusercontent.com/msikma/pokesprite/master/items/battle-item/"&amp;BA2:BA229&amp;".png",4,32,32)</f>
        <v/>
      </c>
      <c r="BA2" s="1270" t="s">
        <v>1747</v>
      </c>
      <c r="BB2" s="1243"/>
      <c r="BC2" s="1251" t="str">
        <f t="array" ref="BC2:BC229">IMAGE("https://raw.githubusercontent.com/msikma/pokesprite/master/items/flute/"&amp;BD2:BD229&amp;".png",4,32,32)</f>
        <v/>
      </c>
      <c r="BD2" s="1252" t="s">
        <v>1748</v>
      </c>
      <c r="BE2" s="1243"/>
      <c r="BF2" s="1253" t="str">
        <f t="array" ref="BF2:BF229">IMAGE("https://raw.githubusercontent.com/msikma/pokesprite/master/items/mulch/"&amp;BG2:BG229&amp;".png",4,32,32)</f>
        <v/>
      </c>
      <c r="BG2" s="1254" t="s">
        <v>1749</v>
      </c>
      <c r="BH2" s="1243"/>
      <c r="BI2" s="1255" t="str">
        <f t="array" ref="BI2:BI229">IMAGE("https://raw.githubusercontent.com/msikma/pokesprite/master/items/fossil/"&amp;BJ2:BJ229&amp;".png",4,32,32)</f>
        <v/>
      </c>
      <c r="BJ2" s="1256" t="s">
        <v>1750</v>
      </c>
      <c r="BK2" s="1243"/>
      <c r="BL2" s="1257" t="str">
        <f t="array" ref="BL2:BL229">IMAGE("https://raw.githubusercontent.com/msikma/pokesprite/master/items/ev-item/"&amp;BM2:BM229&amp;".png",4,32,32)</f>
        <v/>
      </c>
      <c r="BM2" s="1258" t="s">
        <v>1751</v>
      </c>
      <c r="BN2" s="1243"/>
      <c r="BO2" s="1259" t="str">
        <f t="array" ref="BO2:BO229">IMAGE("https://raw.githubusercontent.com/msikma/pokesprite/master/items/incense/"&amp;BP2:BP229&amp;".png",4,32,32)</f>
        <v/>
      </c>
      <c r="BP2" s="1260" t="s">
        <v>1752</v>
      </c>
      <c r="BQ2" s="1243"/>
      <c r="BR2" s="1271" t="str">
        <f t="array" ref="BR2:BR229">IMAGE("https://raw.githubusercontent.com/msikma/pokesprite/master/items/plate/"&amp;BS2:BS229&amp;".png",4,32,32)</f>
        <v/>
      </c>
      <c r="BS2" s="1272" t="s">
        <v>1753</v>
      </c>
      <c r="BT2" s="1243"/>
      <c r="BU2" s="1261" t="str">
        <f t="array" ref="BU2:BU229">IMAGE("https://raw.githubusercontent.com/msikma/pokesprite/master/items/apricorn/"&amp;BV2:BV229&amp;".png",4,32,32)</f>
        <v/>
      </c>
      <c r="BV2" s="1262" t="s">
        <v>1748</v>
      </c>
      <c r="BW2" s="1243"/>
      <c r="BX2" s="1263" t="str">
        <f t="array" ref="BX2:BX229">IMAGE("https://raw.githubusercontent.com/msikma/pokesprite/master/items/partner-gift/"&amp;BY2:BY229&amp;".png",4,32,32)</f>
        <v/>
      </c>
      <c r="BY2" s="1264" t="s">
        <v>1754</v>
      </c>
      <c r="BZ2" s="1243"/>
      <c r="CA2" s="1265" t="str">
        <f t="array" ref="CA2:CA229">IMAGE("https://raw.githubusercontent.com/msikma/pokesprite/master/items/petal/"&amp;CB2:CB229&amp;".png",4,32,32)</f>
        <v/>
      </c>
      <c r="CB2" s="1266" t="s">
        <v>1755</v>
      </c>
      <c r="CC2" s="1243"/>
      <c r="CD2" s="1267" t="str">
        <f t="array" ref="CD2:CD229">IMAGE("https://raw.githubusercontent.com/msikma/pokesprite/master/items/curry-ingredient/"&amp;CE2:CE229&amp;".png",4,32,32)</f>
        <v/>
      </c>
      <c r="CE2" s="1268" t="s">
        <v>1756</v>
      </c>
      <c r="CF2" s="1243"/>
      <c r="CG2" s="1269" t="str">
        <f t="array" ref="CG2:CG229">IMAGE("https://raw.githubusercontent.com/msikma/pokesprite/master/items/exp-candy/"&amp;CH2:CH229&amp;".png",4,32,32)</f>
        <v/>
      </c>
      <c r="CH2" s="1270" t="s">
        <v>1757</v>
      </c>
      <c r="CI2" s="1243"/>
      <c r="CJ2" s="1251" t="str">
        <f t="array" ref="CJ2:CJ229">IMAGE("https://raw.githubusercontent.com/msikma/pokesprite/master/items/mint/"&amp;CK2:CK229&amp;".png",4,32,32)</f>
        <v/>
      </c>
      <c r="CK2" s="1252" t="s">
        <v>1758</v>
      </c>
      <c r="CL2" s="1273"/>
    </row>
    <row r="3" ht="18.75" customHeight="1">
      <c r="A3" s="1241"/>
      <c r="B3" s="1274" t="str">
        <f>IMAGE("https://i.ibb.co/0VkqLZf/2.png")</f>
        <v/>
      </c>
      <c r="C3" s="1243"/>
      <c r="D3" s="1275" t="str">
        <f>IMAGE("https://raw.githubusercontent.com/msikma/pokesprite/master/items/tm/dark.png",4,32,32)</f>
        <v/>
      </c>
      <c r="E3" s="1276" t="s">
        <v>1759</v>
      </c>
      <c r="F3" s="1243"/>
      <c r="G3" s="1275"/>
      <c r="H3" s="1276" t="s">
        <v>1760</v>
      </c>
      <c r="I3" s="1243"/>
      <c r="J3" s="1275"/>
      <c r="K3" s="1276" t="s">
        <v>1760</v>
      </c>
      <c r="L3" s="1243"/>
      <c r="M3" s="1275"/>
      <c r="N3" s="1276" t="s">
        <v>1760</v>
      </c>
      <c r="O3" s="1243"/>
      <c r="P3" s="1277"/>
      <c r="Q3" s="1278" t="s">
        <v>1761</v>
      </c>
      <c r="R3" s="1243"/>
      <c r="S3" s="1279"/>
      <c r="T3" s="1280" t="s">
        <v>1762</v>
      </c>
      <c r="U3" s="1243"/>
      <c r="V3" s="1281" t="str">
        <f>IMAGE("https://i.ibb.co/K5Xv1gX/oldman.png")</f>
        <v/>
      </c>
      <c r="W3" s="1282" t="s">
        <v>378</v>
      </c>
      <c r="X3" s="1243"/>
      <c r="Y3" s="1283"/>
      <c r="Z3" s="1284" t="s">
        <v>1763</v>
      </c>
      <c r="AA3" s="1243"/>
      <c r="AB3" s="1285"/>
      <c r="AC3" s="1286" t="s">
        <v>1764</v>
      </c>
      <c r="AD3" s="1243"/>
      <c r="AE3" s="1287"/>
      <c r="AF3" s="1288" t="s">
        <v>1765</v>
      </c>
      <c r="AG3" s="1243"/>
      <c r="AH3" s="1289"/>
      <c r="AI3" s="1290" t="s">
        <v>1766</v>
      </c>
      <c r="AJ3" s="1243"/>
      <c r="AK3" s="1291"/>
      <c r="AL3" s="1292" t="s">
        <v>1767</v>
      </c>
      <c r="AM3" s="1243"/>
      <c r="AN3" s="1293"/>
      <c r="AO3" s="1294" t="s">
        <v>1768</v>
      </c>
      <c r="AP3" s="1243"/>
      <c r="AQ3" s="1295"/>
      <c r="AR3" s="1296" t="s">
        <v>1769</v>
      </c>
      <c r="AS3" s="1243"/>
      <c r="AT3" s="1297"/>
      <c r="AU3" s="1298" t="s">
        <v>1770</v>
      </c>
      <c r="AV3" s="1243"/>
      <c r="AW3" s="1299"/>
      <c r="AX3" s="1300" t="s">
        <v>1771</v>
      </c>
      <c r="AY3" s="1243"/>
      <c r="AZ3" s="1301"/>
      <c r="BA3" s="1302" t="s">
        <v>1772</v>
      </c>
      <c r="BB3" s="1243"/>
      <c r="BC3" s="1283"/>
      <c r="BD3" s="1284" t="s">
        <v>1755</v>
      </c>
      <c r="BE3" s="1243"/>
      <c r="BF3" s="1285"/>
      <c r="BG3" s="1286" t="s">
        <v>1773</v>
      </c>
      <c r="BH3" s="1243"/>
      <c r="BI3" s="1287"/>
      <c r="BJ3" s="1288" t="s">
        <v>1774</v>
      </c>
      <c r="BK3" s="1243"/>
      <c r="BL3" s="1289"/>
      <c r="BM3" s="1290" t="s">
        <v>1775</v>
      </c>
      <c r="BN3" s="1243"/>
      <c r="BO3" s="1291"/>
      <c r="BP3" s="1292" t="s">
        <v>1776</v>
      </c>
      <c r="BQ3" s="1243"/>
      <c r="BR3" s="1303"/>
      <c r="BS3" s="1304" t="s">
        <v>1777</v>
      </c>
      <c r="BT3" s="1243"/>
      <c r="BU3" s="1293"/>
      <c r="BV3" s="1294" t="s">
        <v>1755</v>
      </c>
      <c r="BW3" s="1243"/>
      <c r="BX3" s="1295"/>
      <c r="BY3" s="1296" t="s">
        <v>1778</v>
      </c>
      <c r="BZ3" s="1243"/>
      <c r="CA3" s="1297"/>
      <c r="CB3" s="1298" t="s">
        <v>1779</v>
      </c>
      <c r="CC3" s="1243"/>
      <c r="CD3" s="1299"/>
      <c r="CE3" s="1300" t="s">
        <v>1780</v>
      </c>
      <c r="CF3" s="1243"/>
      <c r="CG3" s="1301"/>
      <c r="CH3" s="1302" t="s">
        <v>1781</v>
      </c>
      <c r="CI3" s="1243"/>
      <c r="CJ3" s="1283"/>
      <c r="CK3" s="1284" t="s">
        <v>1782</v>
      </c>
      <c r="CL3" s="1273"/>
    </row>
    <row r="4" ht="18.75" customHeight="1">
      <c r="A4" s="1241"/>
      <c r="B4" s="1305" t="str">
        <f t="shared" ref="B4:B5" si="1">IMAGE("https://i.ibb.co/Wt7tqk6/Screenshot-2.png",4,15,15)</f>
        <v/>
      </c>
      <c r="C4" s="1243"/>
      <c r="D4" s="1306" t="str">
        <f>IMAGE("https://raw.githubusercontent.com/msikma/pokesprite/master/items/tm/dragon.png",4,32,32)</f>
        <v/>
      </c>
      <c r="E4" s="1307" t="s">
        <v>1783</v>
      </c>
      <c r="F4" s="1243"/>
      <c r="G4" s="1306"/>
      <c r="H4" s="1307" t="s">
        <v>1784</v>
      </c>
      <c r="I4" s="1243"/>
      <c r="J4" s="1306"/>
      <c r="K4" s="1307" t="s">
        <v>1784</v>
      </c>
      <c r="L4" s="1243"/>
      <c r="M4" s="1306"/>
      <c r="N4" s="1307" t="s">
        <v>1784</v>
      </c>
      <c r="O4" s="1243"/>
      <c r="P4" s="1308"/>
      <c r="Q4" s="1309" t="s">
        <v>1785</v>
      </c>
      <c r="R4" s="1243"/>
      <c r="S4" s="1310"/>
      <c r="T4" s="1311" t="s">
        <v>1786</v>
      </c>
      <c r="U4" s="1243"/>
      <c r="V4" s="1281" t="str">
        <f>IMAGE("https://i.ibb.co/RNTZKct/Screenshot-4.png")</f>
        <v/>
      </c>
      <c r="W4" s="1282" t="s">
        <v>383</v>
      </c>
      <c r="X4" s="1243"/>
      <c r="Y4" s="1312"/>
      <c r="Z4" s="1313" t="s">
        <v>1787</v>
      </c>
      <c r="AA4" s="1243"/>
      <c r="AB4" s="1314"/>
      <c r="AC4" s="1315" t="s">
        <v>1788</v>
      </c>
      <c r="AD4" s="1243"/>
      <c r="AE4" s="1316"/>
      <c r="AF4" s="1317" t="s">
        <v>1789</v>
      </c>
      <c r="AG4" s="1243"/>
      <c r="AH4" s="1318"/>
      <c r="AI4" s="1319" t="s">
        <v>1790</v>
      </c>
      <c r="AJ4" s="1243"/>
      <c r="AK4" s="1320"/>
      <c r="AL4" s="1321" t="s">
        <v>1791</v>
      </c>
      <c r="AM4" s="1243"/>
      <c r="AN4" s="1322"/>
      <c r="AO4" s="1323" t="s">
        <v>1792</v>
      </c>
      <c r="AP4" s="1243"/>
      <c r="AQ4" s="1324"/>
      <c r="AR4" s="1325" t="s">
        <v>1793</v>
      </c>
      <c r="AS4" s="1243"/>
      <c r="AT4" s="1326"/>
      <c r="AU4" s="1327" t="s">
        <v>1794</v>
      </c>
      <c r="AV4" s="1243"/>
      <c r="AW4" s="1328"/>
      <c r="AX4" s="1329" t="s">
        <v>1795</v>
      </c>
      <c r="AY4" s="1243"/>
      <c r="AZ4" s="1330"/>
      <c r="BA4" s="1331" t="s">
        <v>1796</v>
      </c>
      <c r="BB4" s="1243"/>
      <c r="BC4" s="1312"/>
      <c r="BD4" s="1313" t="s">
        <v>1797</v>
      </c>
      <c r="BE4" s="1243"/>
      <c r="BF4" s="1314"/>
      <c r="BG4" s="1315" t="s">
        <v>1798</v>
      </c>
      <c r="BH4" s="1243"/>
      <c r="BI4" s="1316"/>
      <c r="BJ4" s="1317" t="s">
        <v>1799</v>
      </c>
      <c r="BK4" s="1243"/>
      <c r="BL4" s="1318"/>
      <c r="BM4" s="1319" t="s">
        <v>1800</v>
      </c>
      <c r="BN4" s="1243"/>
      <c r="BO4" s="1320"/>
      <c r="BP4" s="1321" t="s">
        <v>1801</v>
      </c>
      <c r="BQ4" s="1243"/>
      <c r="BR4" s="1332"/>
      <c r="BS4" s="1333" t="s">
        <v>1802</v>
      </c>
      <c r="BT4" s="1243"/>
      <c r="BU4" s="1322"/>
      <c r="BV4" s="1323" t="s">
        <v>1779</v>
      </c>
      <c r="BW4" s="1243"/>
      <c r="BX4" s="1324"/>
      <c r="BY4" s="1325" t="s">
        <v>1803</v>
      </c>
      <c r="BZ4" s="1243"/>
      <c r="CA4" s="1326"/>
      <c r="CB4" s="1327" t="s">
        <v>1804</v>
      </c>
      <c r="CC4" s="1243"/>
      <c r="CD4" s="1328"/>
      <c r="CE4" s="1329" t="s">
        <v>1805</v>
      </c>
      <c r="CF4" s="1243"/>
      <c r="CG4" s="1330"/>
      <c r="CH4" s="1331" t="s">
        <v>1806</v>
      </c>
      <c r="CI4" s="1243"/>
      <c r="CJ4" s="1312"/>
      <c r="CK4" s="1313" t="s">
        <v>1807</v>
      </c>
      <c r="CL4" s="1273"/>
    </row>
    <row r="5" ht="18.75" customHeight="1">
      <c r="A5" s="1241"/>
      <c r="B5" s="1305" t="str">
        <f t="shared" si="1"/>
        <v/>
      </c>
      <c r="C5" s="1243"/>
      <c r="D5" s="1334" t="str">
        <f>IMAGE("https://raw.githubusercontent.com/msikma/pokesprite/master/items/tm/electric.png",4,32,32)</f>
        <v/>
      </c>
      <c r="E5" s="1335" t="s">
        <v>1808</v>
      </c>
      <c r="F5" s="1243"/>
      <c r="G5" s="1334"/>
      <c r="H5" s="1335" t="s">
        <v>1809</v>
      </c>
      <c r="I5" s="1243"/>
      <c r="J5" s="1334"/>
      <c r="K5" s="1335" t="s">
        <v>1809</v>
      </c>
      <c r="L5" s="1243"/>
      <c r="M5" s="1334"/>
      <c r="N5" s="1335" t="s">
        <v>1809</v>
      </c>
      <c r="O5" s="1243"/>
      <c r="P5" s="1336"/>
      <c r="Q5" s="1337" t="s">
        <v>1810</v>
      </c>
      <c r="R5" s="1243"/>
      <c r="S5" s="1338"/>
      <c r="T5" s="1339" t="s">
        <v>1811</v>
      </c>
      <c r="U5" s="1243"/>
      <c r="V5" s="1281" t="str">
        <f>IMAGE("https://i.ibb.co/JrCg1n0/ace.png")</f>
        <v/>
      </c>
      <c r="W5" s="1282" t="s">
        <v>1812</v>
      </c>
      <c r="X5" s="1243"/>
      <c r="Y5" s="1340"/>
      <c r="Z5" s="1284" t="s">
        <v>1813</v>
      </c>
      <c r="AA5" s="1243"/>
      <c r="AB5" s="1341"/>
      <c r="AC5" s="1286" t="s">
        <v>1814</v>
      </c>
      <c r="AD5" s="1243"/>
      <c r="AE5" s="1342"/>
      <c r="AF5" s="1288" t="s">
        <v>1815</v>
      </c>
      <c r="AG5" s="1243"/>
      <c r="AH5" s="1343"/>
      <c r="AI5" s="1290" t="s">
        <v>1816</v>
      </c>
      <c r="AJ5" s="1243"/>
      <c r="AK5" s="1344"/>
      <c r="AL5" s="1292" t="s">
        <v>1817</v>
      </c>
      <c r="AM5" s="1243"/>
      <c r="AN5" s="1345"/>
      <c r="AO5" s="1294" t="s">
        <v>1818</v>
      </c>
      <c r="AP5" s="1243"/>
      <c r="AQ5" s="1346"/>
      <c r="AR5" s="1296" t="s">
        <v>1819</v>
      </c>
      <c r="AS5" s="1243"/>
      <c r="AT5" s="1347"/>
      <c r="AU5" s="1298" t="s">
        <v>1820</v>
      </c>
      <c r="AV5" s="1243"/>
      <c r="AW5" s="1348"/>
      <c r="AX5" s="1300" t="s">
        <v>1821</v>
      </c>
      <c r="AY5" s="1243"/>
      <c r="AZ5" s="1349"/>
      <c r="BA5" s="1302" t="s">
        <v>1822</v>
      </c>
      <c r="BB5" s="1243"/>
      <c r="BC5" s="1340"/>
      <c r="BD5" s="1284" t="s">
        <v>1823</v>
      </c>
      <c r="BE5" s="1243"/>
      <c r="BF5" s="1341"/>
      <c r="BG5" s="1286" t="s">
        <v>1824</v>
      </c>
      <c r="BH5" s="1243"/>
      <c r="BI5" s="1342"/>
      <c r="BJ5" s="1288" t="s">
        <v>1825</v>
      </c>
      <c r="BK5" s="1243"/>
      <c r="BL5" s="1343"/>
      <c r="BM5" s="1290" t="s">
        <v>1826</v>
      </c>
      <c r="BN5" s="1243"/>
      <c r="BO5" s="1344"/>
      <c r="BP5" s="1292" t="s">
        <v>1827</v>
      </c>
      <c r="BQ5" s="1243"/>
      <c r="BR5" s="1350"/>
      <c r="BS5" s="1351" t="s">
        <v>1828</v>
      </c>
      <c r="BT5" s="1243"/>
      <c r="BU5" s="1345"/>
      <c r="BV5" s="1294" t="s">
        <v>1829</v>
      </c>
      <c r="BW5" s="1243"/>
      <c r="BX5" s="1346"/>
      <c r="BY5" s="1296" t="s">
        <v>1830</v>
      </c>
      <c r="BZ5" s="1243"/>
      <c r="CA5" s="1347"/>
      <c r="CB5" s="1298" t="s">
        <v>1829</v>
      </c>
      <c r="CC5" s="1243"/>
      <c r="CD5" s="1348"/>
      <c r="CE5" s="1300" t="s">
        <v>1831</v>
      </c>
      <c r="CF5" s="1243"/>
      <c r="CG5" s="1349"/>
      <c r="CH5" s="1302" t="s">
        <v>1832</v>
      </c>
      <c r="CI5" s="1243"/>
      <c r="CJ5" s="1340"/>
      <c r="CK5" s="1284" t="s">
        <v>1833</v>
      </c>
      <c r="CL5" s="1273"/>
    </row>
    <row r="6" ht="18.75" customHeight="1">
      <c r="A6" s="1241"/>
      <c r="B6" s="1305" t="str">
        <f>IMAGE("https://i.ibb.co/9t4FGkb/left.png")</f>
        <v/>
      </c>
      <c r="C6" s="1243"/>
      <c r="D6" s="1352" t="str">
        <f>IMAGE("https://raw.githubusercontent.com/msikma/pokesprite/master/items/tm/fairy.png",4,32,32)</f>
        <v/>
      </c>
      <c r="E6" s="1353" t="s">
        <v>1834</v>
      </c>
      <c r="F6" s="1243"/>
      <c r="G6" s="1352"/>
      <c r="H6" s="1353" t="s">
        <v>1835</v>
      </c>
      <c r="I6" s="1243"/>
      <c r="J6" s="1352"/>
      <c r="K6" s="1353" t="s">
        <v>1835</v>
      </c>
      <c r="L6" s="1243"/>
      <c r="M6" s="1352"/>
      <c r="N6" s="1353" t="s">
        <v>1835</v>
      </c>
      <c r="O6" s="1243"/>
      <c r="P6" s="1354"/>
      <c r="Q6" s="1355" t="s">
        <v>1836</v>
      </c>
      <c r="R6" s="1243"/>
      <c r="S6" s="1356"/>
      <c r="T6" s="1357" t="s">
        <v>1837</v>
      </c>
      <c r="U6" s="1243"/>
      <c r="V6" s="1281" t="str">
        <f>IMAGE("https://i.ibb.co/QHv5Kn4/Screenshot-1.png")</f>
        <v/>
      </c>
      <c r="W6" s="1282" t="s">
        <v>1838</v>
      </c>
      <c r="X6" s="1243"/>
      <c r="Y6" s="1312"/>
      <c r="Z6" s="1313" t="s">
        <v>1839</v>
      </c>
      <c r="AA6" s="1243"/>
      <c r="AB6" s="1314"/>
      <c r="AC6" s="1315" t="s">
        <v>1840</v>
      </c>
      <c r="AD6" s="1243"/>
      <c r="AE6" s="1316"/>
      <c r="AF6" s="1317" t="s">
        <v>1841</v>
      </c>
      <c r="AG6" s="1243"/>
      <c r="AH6" s="1318"/>
      <c r="AI6" s="1319" t="s">
        <v>1842</v>
      </c>
      <c r="AJ6" s="1243"/>
      <c r="AK6" s="1320"/>
      <c r="AL6" s="1321" t="s">
        <v>1843</v>
      </c>
      <c r="AM6" s="1243"/>
      <c r="AN6" s="1322"/>
      <c r="AO6" s="1323" t="s">
        <v>1844</v>
      </c>
      <c r="AP6" s="1243"/>
      <c r="AQ6" s="1324"/>
      <c r="AR6" s="1325" t="s">
        <v>1845</v>
      </c>
      <c r="AS6" s="1243"/>
      <c r="AT6" s="1326"/>
      <c r="AU6" s="1327" t="s">
        <v>1846</v>
      </c>
      <c r="AV6" s="1243"/>
      <c r="AW6" s="1328"/>
      <c r="AX6" s="1329" t="s">
        <v>1847</v>
      </c>
      <c r="AY6" s="1243"/>
      <c r="AZ6" s="1330"/>
      <c r="BA6" s="1331" t="s">
        <v>1848</v>
      </c>
      <c r="BB6" s="1243"/>
      <c r="BC6" s="1358"/>
      <c r="BD6" s="1359" t="s">
        <v>1849</v>
      </c>
      <c r="BE6" s="1243"/>
      <c r="BF6" s="1314"/>
      <c r="BG6" s="1315" t="s">
        <v>1850</v>
      </c>
      <c r="BH6" s="1243"/>
      <c r="BI6" s="1316"/>
      <c r="BJ6" s="1317" t="s">
        <v>1851</v>
      </c>
      <c r="BK6" s="1243"/>
      <c r="BL6" s="1318"/>
      <c r="BM6" s="1319" t="s">
        <v>1852</v>
      </c>
      <c r="BN6" s="1243"/>
      <c r="BO6" s="1320"/>
      <c r="BP6" s="1321" t="s">
        <v>1853</v>
      </c>
      <c r="BQ6" s="1243"/>
      <c r="BR6" s="1360"/>
      <c r="BS6" s="1361" t="s">
        <v>1854</v>
      </c>
      <c r="BT6" s="1243"/>
      <c r="BU6" s="1322"/>
      <c r="BV6" s="1323" t="s">
        <v>1797</v>
      </c>
      <c r="BW6" s="1243"/>
      <c r="BX6" s="1324"/>
      <c r="BY6" s="1325" t="s">
        <v>1855</v>
      </c>
      <c r="BZ6" s="1243"/>
      <c r="CA6" s="1326"/>
      <c r="CB6" s="1327" t="s">
        <v>1856</v>
      </c>
      <c r="CC6" s="1243"/>
      <c r="CD6" s="1328"/>
      <c r="CE6" s="1329" t="s">
        <v>1857</v>
      </c>
      <c r="CF6" s="1243"/>
      <c r="CG6" s="1362"/>
      <c r="CH6" s="1363" t="s">
        <v>1858</v>
      </c>
      <c r="CI6" s="1243"/>
      <c r="CJ6" s="1312"/>
      <c r="CK6" s="1313" t="s">
        <v>1859</v>
      </c>
      <c r="CL6" s="1273"/>
    </row>
    <row r="7" ht="18.75" customHeight="1">
      <c r="A7" s="1241"/>
      <c r="B7" s="1305" t="str">
        <f>IMAGE("https://i.ibb.co/9sSLT6b/right.png")</f>
        <v/>
      </c>
      <c r="C7" s="1243"/>
      <c r="D7" s="1364" t="str">
        <f>IMAGE("https://raw.githubusercontent.com/msikma/pokesprite/master/items/tm/fighting.png",4,32,32)</f>
        <v/>
      </c>
      <c r="E7" s="1365" t="s">
        <v>1860</v>
      </c>
      <c r="F7" s="1243"/>
      <c r="G7" s="1364"/>
      <c r="H7" s="1365" t="s">
        <v>1861</v>
      </c>
      <c r="I7" s="1243"/>
      <c r="J7" s="1364"/>
      <c r="K7" s="1365" t="s">
        <v>1861</v>
      </c>
      <c r="L7" s="1243"/>
      <c r="M7" s="1364"/>
      <c r="N7" s="1365" t="s">
        <v>1861</v>
      </c>
      <c r="O7" s="1243"/>
      <c r="P7" s="1366"/>
      <c r="Q7" s="1367" t="s">
        <v>1862</v>
      </c>
      <c r="R7" s="1243"/>
      <c r="S7" s="1368"/>
      <c r="T7" s="1369" t="s">
        <v>1863</v>
      </c>
      <c r="U7" s="1243"/>
      <c r="V7" s="1281" t="str">
        <f>IMAGE("https://i.ibb.co/Jqr38wc/Screenshot-2.png")</f>
        <v/>
      </c>
      <c r="W7" s="1282" t="s">
        <v>1864</v>
      </c>
      <c r="X7" s="1243"/>
      <c r="Y7" s="1340"/>
      <c r="Z7" s="1284" t="s">
        <v>1865</v>
      </c>
      <c r="AA7" s="1243"/>
      <c r="AB7" s="1341"/>
      <c r="AC7" s="1286" t="s">
        <v>1866</v>
      </c>
      <c r="AD7" s="1243"/>
      <c r="AE7" s="1342"/>
      <c r="AF7" s="1288" t="s">
        <v>1867</v>
      </c>
      <c r="AG7" s="1243"/>
      <c r="AH7" s="1343"/>
      <c r="AI7" s="1290" t="s">
        <v>1868</v>
      </c>
      <c r="AJ7" s="1243"/>
      <c r="AK7" s="1344"/>
      <c r="AL7" s="1292" t="s">
        <v>1869</v>
      </c>
      <c r="AM7" s="1243"/>
      <c r="AN7" s="1345"/>
      <c r="AO7" s="1294" t="s">
        <v>1870</v>
      </c>
      <c r="AP7" s="1243"/>
      <c r="AQ7" s="1346"/>
      <c r="AR7" s="1296" t="s">
        <v>1871</v>
      </c>
      <c r="AS7" s="1243"/>
      <c r="AT7" s="1347"/>
      <c r="AU7" s="1298" t="s">
        <v>1872</v>
      </c>
      <c r="AV7" s="1243"/>
      <c r="AW7" s="1348"/>
      <c r="AX7" s="1300" t="s">
        <v>1873</v>
      </c>
      <c r="AY7" s="1243"/>
      <c r="AZ7" s="1349"/>
      <c r="BA7" s="1302" t="s">
        <v>1874</v>
      </c>
      <c r="BB7" s="1243"/>
      <c r="BC7" s="1370"/>
      <c r="BD7" s="1371"/>
      <c r="BE7" s="1243"/>
      <c r="BF7" s="1341"/>
      <c r="BG7" s="1286" t="s">
        <v>1875</v>
      </c>
      <c r="BH7" s="1243"/>
      <c r="BI7" s="1342"/>
      <c r="BJ7" s="1288" t="s">
        <v>1876</v>
      </c>
      <c r="BK7" s="1243"/>
      <c r="BL7" s="1343"/>
      <c r="BM7" s="1290" t="s">
        <v>1877</v>
      </c>
      <c r="BN7" s="1243"/>
      <c r="BO7" s="1344"/>
      <c r="BP7" s="1292" t="s">
        <v>1878</v>
      </c>
      <c r="BQ7" s="1243"/>
      <c r="BR7" s="1372"/>
      <c r="BS7" s="1373" t="s">
        <v>1879</v>
      </c>
      <c r="BT7" s="1243"/>
      <c r="BU7" s="1345"/>
      <c r="BV7" s="1294" t="s">
        <v>1823</v>
      </c>
      <c r="BW7" s="1243"/>
      <c r="BX7" s="1346"/>
      <c r="BY7" s="1296" t="s">
        <v>1880</v>
      </c>
      <c r="BZ7" s="1243"/>
      <c r="CA7" s="1347"/>
      <c r="CB7" s="1298" t="s">
        <v>1797</v>
      </c>
      <c r="CC7" s="1243"/>
      <c r="CD7" s="1348"/>
      <c r="CE7" s="1300" t="s">
        <v>1881</v>
      </c>
      <c r="CF7" s="1243"/>
      <c r="CG7" s="1370"/>
      <c r="CH7" s="1371"/>
      <c r="CI7" s="1243"/>
      <c r="CJ7" s="1374"/>
      <c r="CK7" s="1375" t="s">
        <v>1882</v>
      </c>
      <c r="CL7" s="1273"/>
    </row>
    <row r="8" ht="18.75" customHeight="1">
      <c r="A8" s="1241"/>
      <c r="B8" s="1376" t="str">
        <f>IMAGE("https://i.ibb.co/6410MSY/money.png")</f>
        <v/>
      </c>
      <c r="C8" s="1243"/>
      <c r="D8" s="1377" t="str">
        <f>IMAGE("https://raw.githubusercontent.com/msikma/pokesprite/master/items/tm/fire.png",4,32,32)</f>
        <v/>
      </c>
      <c r="E8" s="1378" t="s">
        <v>1883</v>
      </c>
      <c r="F8" s="1243"/>
      <c r="G8" s="1377"/>
      <c r="H8" s="1378" t="s">
        <v>1884</v>
      </c>
      <c r="I8" s="1243"/>
      <c r="J8" s="1377"/>
      <c r="K8" s="1378" t="s">
        <v>1884</v>
      </c>
      <c r="L8" s="1243"/>
      <c r="M8" s="1377"/>
      <c r="N8" s="1378" t="s">
        <v>1884</v>
      </c>
      <c r="O8" s="1243"/>
      <c r="P8" s="1379"/>
      <c r="Q8" s="1380" t="s">
        <v>1885</v>
      </c>
      <c r="R8" s="1243"/>
      <c r="S8" s="1377"/>
      <c r="T8" s="1378" t="s">
        <v>1886</v>
      </c>
      <c r="U8" s="1243"/>
      <c r="V8" s="1281" t="str">
        <f>IMAGE("https://i.ibb.co/rGcwQTb/Screenshot-3.png")</f>
        <v/>
      </c>
      <c r="W8" s="1282" t="s">
        <v>1887</v>
      </c>
      <c r="X8" s="1243"/>
      <c r="Y8" s="1312"/>
      <c r="Z8" s="1313" t="s">
        <v>1888</v>
      </c>
      <c r="AA8" s="1243"/>
      <c r="AB8" s="1314"/>
      <c r="AC8" s="1315" t="s">
        <v>1889</v>
      </c>
      <c r="AD8" s="1243"/>
      <c r="AE8" s="1316"/>
      <c r="AF8" s="1317" t="s">
        <v>1890</v>
      </c>
      <c r="AG8" s="1243"/>
      <c r="AH8" s="1318"/>
      <c r="AI8" s="1319" t="s">
        <v>1891</v>
      </c>
      <c r="AJ8" s="1243"/>
      <c r="AK8" s="1320"/>
      <c r="AL8" s="1321" t="s">
        <v>1892</v>
      </c>
      <c r="AM8" s="1243"/>
      <c r="AN8" s="1322"/>
      <c r="AO8" s="1323" t="s">
        <v>1893</v>
      </c>
      <c r="AP8" s="1243"/>
      <c r="AQ8" s="1324"/>
      <c r="AR8" s="1325" t="s">
        <v>1894</v>
      </c>
      <c r="AS8" s="1243"/>
      <c r="AT8" s="1326"/>
      <c r="AU8" s="1327" t="s">
        <v>1895</v>
      </c>
      <c r="AV8" s="1243"/>
      <c r="AW8" s="1328"/>
      <c r="AX8" s="1329" t="s">
        <v>1896</v>
      </c>
      <c r="AY8" s="1243"/>
      <c r="AZ8" s="1330"/>
      <c r="BA8" s="1331" t="s">
        <v>1897</v>
      </c>
      <c r="BB8" s="1243"/>
      <c r="BC8" s="1370"/>
      <c r="BD8" s="31"/>
      <c r="BE8" s="1243"/>
      <c r="BF8" s="1314"/>
      <c r="BG8" s="1315" t="s">
        <v>1898</v>
      </c>
      <c r="BH8" s="1243"/>
      <c r="BI8" s="1316"/>
      <c r="BJ8" s="1317" t="s">
        <v>1899</v>
      </c>
      <c r="BK8" s="1243"/>
      <c r="BL8" s="1381"/>
      <c r="BM8" s="1382" t="s">
        <v>1900</v>
      </c>
      <c r="BN8" s="1243"/>
      <c r="BO8" s="1320"/>
      <c r="BP8" s="1321" t="s">
        <v>1901</v>
      </c>
      <c r="BQ8" s="1243"/>
      <c r="BR8" s="1383"/>
      <c r="BS8" s="1384" t="s">
        <v>1902</v>
      </c>
      <c r="BT8" s="1243"/>
      <c r="BU8" s="1385"/>
      <c r="BV8" s="1386" t="s">
        <v>1849</v>
      </c>
      <c r="BW8" s="1243"/>
      <c r="BX8" s="1324"/>
      <c r="BY8" s="1325" t="s">
        <v>1903</v>
      </c>
      <c r="BZ8" s="1243"/>
      <c r="CA8" s="1387"/>
      <c r="CB8" s="1388" t="s">
        <v>1849</v>
      </c>
      <c r="CC8" s="1243"/>
      <c r="CD8" s="1328"/>
      <c r="CE8" s="1329" t="s">
        <v>1904</v>
      </c>
      <c r="CF8" s="1243"/>
      <c r="CG8" s="1370"/>
      <c r="CH8" s="31"/>
      <c r="CI8" s="1243"/>
      <c r="CJ8" s="1370"/>
      <c r="CK8" s="1371"/>
      <c r="CL8" s="1273"/>
    </row>
    <row r="9" ht="18.75" customHeight="1">
      <c r="A9" s="1238"/>
      <c r="B9" s="1389"/>
      <c r="C9" s="1390"/>
      <c r="D9" s="1366" t="str">
        <f>IMAGE("https://raw.githubusercontent.com/msikma/pokesprite/master/items/tm/flying.png",4,32,32)</f>
        <v/>
      </c>
      <c r="E9" s="1367" t="s">
        <v>1905</v>
      </c>
      <c r="F9" s="1243"/>
      <c r="G9" s="1366"/>
      <c r="H9" s="1367" t="s">
        <v>1906</v>
      </c>
      <c r="I9" s="1243"/>
      <c r="J9" s="1366"/>
      <c r="K9" s="1367" t="s">
        <v>1906</v>
      </c>
      <c r="L9" s="1243"/>
      <c r="M9" s="1366"/>
      <c r="N9" s="1367" t="s">
        <v>1906</v>
      </c>
      <c r="O9" s="1243"/>
      <c r="P9" s="1391"/>
      <c r="Q9" s="1392" t="s">
        <v>1907</v>
      </c>
      <c r="R9" s="1243"/>
      <c r="S9" s="1393"/>
      <c r="T9" s="1353" t="s">
        <v>1908</v>
      </c>
      <c r="U9" s="1243"/>
      <c r="V9" s="1281" t="str">
        <f>IMAGE("https://i.ibb.co/djd6Zbm/Screenshot-4.png")</f>
        <v/>
      </c>
      <c r="W9" s="1282" t="s">
        <v>1909</v>
      </c>
      <c r="X9" s="1243"/>
      <c r="Y9" s="1340"/>
      <c r="Z9" s="1284" t="s">
        <v>1910</v>
      </c>
      <c r="AA9" s="1243"/>
      <c r="AB9" s="1341"/>
      <c r="AC9" s="1286" t="s">
        <v>1911</v>
      </c>
      <c r="AD9" s="1243"/>
      <c r="AE9" s="1342"/>
      <c r="AF9" s="1288" t="s">
        <v>1912</v>
      </c>
      <c r="AG9" s="1243"/>
      <c r="AH9" s="1343"/>
      <c r="AI9" s="1290" t="s">
        <v>1913</v>
      </c>
      <c r="AJ9" s="1243"/>
      <c r="AK9" s="1344"/>
      <c r="AL9" s="1292" t="s">
        <v>1914</v>
      </c>
      <c r="AM9" s="1243"/>
      <c r="AN9" s="1345"/>
      <c r="AO9" s="1294" t="s">
        <v>1915</v>
      </c>
      <c r="AP9" s="1243"/>
      <c r="AQ9" s="1346"/>
      <c r="AR9" s="1296" t="s">
        <v>1916</v>
      </c>
      <c r="AS9" s="1243"/>
      <c r="AT9" s="1347"/>
      <c r="AU9" s="1298" t="s">
        <v>1917</v>
      </c>
      <c r="AV9" s="1243"/>
      <c r="AW9" s="1348"/>
      <c r="AX9" s="1300" t="s">
        <v>1918</v>
      </c>
      <c r="AY9" s="1243"/>
      <c r="AZ9" s="1349"/>
      <c r="BA9" s="1302" t="s">
        <v>1919</v>
      </c>
      <c r="BB9" s="1243"/>
      <c r="BC9" s="1370"/>
      <c r="BD9" s="31"/>
      <c r="BE9" s="1243"/>
      <c r="BF9" s="1394"/>
      <c r="BG9" s="1395" t="s">
        <v>1920</v>
      </c>
      <c r="BH9" s="1243"/>
      <c r="BI9" s="1342"/>
      <c r="BJ9" s="1288" t="s">
        <v>1921</v>
      </c>
      <c r="BK9" s="1243"/>
      <c r="BL9" s="1370"/>
      <c r="BM9" s="1371"/>
      <c r="BN9" s="1243"/>
      <c r="BO9" s="1344"/>
      <c r="BP9" s="1292" t="s">
        <v>1922</v>
      </c>
      <c r="BQ9" s="1243"/>
      <c r="BR9" s="1396"/>
      <c r="BS9" s="1397" t="s">
        <v>1923</v>
      </c>
      <c r="BT9" s="1243"/>
      <c r="BU9" s="1370"/>
      <c r="BV9" s="1371"/>
      <c r="BW9" s="1243"/>
      <c r="BX9" s="1346"/>
      <c r="BY9" s="1296" t="s">
        <v>1924</v>
      </c>
      <c r="BZ9" s="1243"/>
      <c r="CA9" s="1370"/>
      <c r="CB9" s="1371"/>
      <c r="CC9" s="1243"/>
      <c r="CD9" s="1348"/>
      <c r="CE9" s="1300" t="s">
        <v>1925</v>
      </c>
      <c r="CF9" s="1243"/>
      <c r="CG9" s="1370"/>
      <c r="CH9" s="31"/>
      <c r="CI9" s="1243"/>
      <c r="CJ9" s="1370"/>
      <c r="CK9" s="31"/>
      <c r="CL9" s="1273"/>
    </row>
    <row r="10" ht="18.75" customHeight="1">
      <c r="A10" s="1238"/>
      <c r="B10" s="1238"/>
      <c r="C10" s="1390"/>
      <c r="D10" s="1308" t="str">
        <f>IMAGE("https://raw.githubusercontent.com/msikma/pokesprite/master/items/tm/ghost.png",4,32,32)</f>
        <v/>
      </c>
      <c r="E10" s="1309" t="s">
        <v>1926</v>
      </c>
      <c r="F10" s="1243"/>
      <c r="G10" s="1308"/>
      <c r="H10" s="1309" t="s">
        <v>1927</v>
      </c>
      <c r="I10" s="1243"/>
      <c r="J10" s="1308"/>
      <c r="K10" s="1309" t="s">
        <v>1927</v>
      </c>
      <c r="L10" s="1243"/>
      <c r="M10" s="1308"/>
      <c r="N10" s="1309" t="s">
        <v>1927</v>
      </c>
      <c r="O10" s="1243"/>
      <c r="P10" s="1334"/>
      <c r="Q10" s="1335" t="s">
        <v>1928</v>
      </c>
      <c r="R10" s="1243"/>
      <c r="S10" s="1364"/>
      <c r="T10" s="1365" t="s">
        <v>1929</v>
      </c>
      <c r="U10" s="1243"/>
      <c r="V10" s="1281" t="str">
        <f>IMAGE("https://i.ibb.co/8cwjJ93/Screenshot-5.png")</f>
        <v/>
      </c>
      <c r="W10" s="1282" t="s">
        <v>1930</v>
      </c>
      <c r="X10" s="1243"/>
      <c r="Y10" s="1312"/>
      <c r="Z10" s="1313" t="s">
        <v>1931</v>
      </c>
      <c r="AA10" s="1243"/>
      <c r="AB10" s="1314"/>
      <c r="AC10" s="1315" t="s">
        <v>1932</v>
      </c>
      <c r="AD10" s="1243"/>
      <c r="AE10" s="1316"/>
      <c r="AF10" s="1317" t="s">
        <v>1933</v>
      </c>
      <c r="AG10" s="1243"/>
      <c r="AH10" s="1318"/>
      <c r="AI10" s="1319" t="s">
        <v>1934</v>
      </c>
      <c r="AJ10" s="1243"/>
      <c r="AK10" s="1320"/>
      <c r="AL10" s="1321" t="s">
        <v>1935</v>
      </c>
      <c r="AM10" s="1243"/>
      <c r="AN10" s="1322"/>
      <c r="AO10" s="1323" t="s">
        <v>1936</v>
      </c>
      <c r="AP10" s="1243"/>
      <c r="AQ10" s="1324"/>
      <c r="AR10" s="1325" t="s">
        <v>1937</v>
      </c>
      <c r="AS10" s="1243"/>
      <c r="AT10" s="1326"/>
      <c r="AU10" s="1327" t="s">
        <v>1938</v>
      </c>
      <c r="AV10" s="1243"/>
      <c r="AW10" s="1328"/>
      <c r="AX10" s="1329" t="s">
        <v>1939</v>
      </c>
      <c r="AY10" s="1243"/>
      <c r="AZ10" s="1362"/>
      <c r="BA10" s="1363" t="s">
        <v>1940</v>
      </c>
      <c r="BB10" s="1243"/>
      <c r="BC10" s="1370"/>
      <c r="BD10" s="31"/>
      <c r="BE10" s="1243"/>
      <c r="BF10" s="1370"/>
      <c r="BG10" s="1371"/>
      <c r="BH10" s="1243"/>
      <c r="BI10" s="1316"/>
      <c r="BJ10" s="1317" t="s">
        <v>1941</v>
      </c>
      <c r="BK10" s="1243"/>
      <c r="BL10" s="1370"/>
      <c r="BM10" s="31"/>
      <c r="BN10" s="1243"/>
      <c r="BO10" s="1398"/>
      <c r="BP10" s="1399" t="s">
        <v>1942</v>
      </c>
      <c r="BQ10" s="1243"/>
      <c r="BR10" s="1400"/>
      <c r="BS10" s="1401" t="s">
        <v>1943</v>
      </c>
      <c r="BT10" s="1243"/>
      <c r="BU10" s="1370"/>
      <c r="BV10" s="31"/>
      <c r="BW10" s="1243"/>
      <c r="BX10" s="1324"/>
      <c r="BY10" s="1325" t="s">
        <v>1944</v>
      </c>
      <c r="BZ10" s="1243"/>
      <c r="CA10" s="1370"/>
      <c r="CB10" s="31"/>
      <c r="CC10" s="1243"/>
      <c r="CD10" s="1328"/>
      <c r="CE10" s="1329" t="s">
        <v>1945</v>
      </c>
      <c r="CF10" s="1243"/>
      <c r="CG10" s="1370"/>
      <c r="CH10" s="31"/>
      <c r="CI10" s="1243"/>
      <c r="CJ10" s="1370"/>
      <c r="CK10" s="31"/>
      <c r="CL10" s="1273"/>
    </row>
    <row r="11" ht="18.75" customHeight="1">
      <c r="A11" s="1238"/>
      <c r="B11" s="1238"/>
      <c r="C11" s="1390"/>
      <c r="D11" s="1402" t="str">
        <f>IMAGE("https://raw.githubusercontent.com/msikma/pokesprite/master/items/tm/grass.png",4,32,32)</f>
        <v/>
      </c>
      <c r="E11" s="1403" t="s">
        <v>1946</v>
      </c>
      <c r="F11" s="1243"/>
      <c r="G11" s="1402"/>
      <c r="H11" s="1403" t="s">
        <v>1947</v>
      </c>
      <c r="I11" s="1243"/>
      <c r="J11" s="1402"/>
      <c r="K11" s="1403" t="s">
        <v>1947</v>
      </c>
      <c r="L11" s="1243"/>
      <c r="M11" s="1402"/>
      <c r="N11" s="1403" t="s">
        <v>1947</v>
      </c>
      <c r="O11" s="1243"/>
      <c r="P11" s="1377"/>
      <c r="Q11" s="1378" t="s">
        <v>1948</v>
      </c>
      <c r="R11" s="1243"/>
      <c r="S11" s="1404"/>
      <c r="T11" s="1405" t="s">
        <v>1949</v>
      </c>
      <c r="U11" s="1243"/>
      <c r="V11" s="1281" t="str">
        <f>IMAGE("https://i.ibb.co/fpwCDs8/Screenshot-6.png")</f>
        <v/>
      </c>
      <c r="W11" s="1282" t="s">
        <v>446</v>
      </c>
      <c r="X11" s="1243"/>
      <c r="Y11" s="1340"/>
      <c r="Z11" s="1284" t="s">
        <v>1950</v>
      </c>
      <c r="AA11" s="1243"/>
      <c r="AB11" s="1341"/>
      <c r="AC11" s="1286" t="s">
        <v>1951</v>
      </c>
      <c r="AD11" s="1243"/>
      <c r="AE11" s="1342"/>
      <c r="AF11" s="1288" t="s">
        <v>1952</v>
      </c>
      <c r="AG11" s="1243"/>
      <c r="AH11" s="1343"/>
      <c r="AI11" s="1290" t="s">
        <v>1953</v>
      </c>
      <c r="AJ11" s="1243"/>
      <c r="AK11" s="1344"/>
      <c r="AL11" s="1292" t="s">
        <v>1954</v>
      </c>
      <c r="AM11" s="1243"/>
      <c r="AN11" s="1345"/>
      <c r="AO11" s="1294" t="s">
        <v>1955</v>
      </c>
      <c r="AP11" s="1243"/>
      <c r="AQ11" s="1346"/>
      <c r="AR11" s="1296" t="s">
        <v>1956</v>
      </c>
      <c r="AS11" s="1243"/>
      <c r="AT11" s="1347"/>
      <c r="AU11" s="1298" t="s">
        <v>1957</v>
      </c>
      <c r="AV11" s="1243"/>
      <c r="AW11" s="1299"/>
      <c r="AX11" s="1300" t="s">
        <v>1958</v>
      </c>
      <c r="AY11" s="1243"/>
      <c r="AZ11" s="1370"/>
      <c r="BA11" s="1371"/>
      <c r="BB11" s="1243"/>
      <c r="BC11" s="1370"/>
      <c r="BD11" s="31"/>
      <c r="BE11" s="1243"/>
      <c r="BF11" s="1370"/>
      <c r="BG11" s="31"/>
      <c r="BH11" s="1243"/>
      <c r="BI11" s="1342"/>
      <c r="BJ11" s="1288" t="s">
        <v>1959</v>
      </c>
      <c r="BK11" s="1243"/>
      <c r="BL11" s="1370"/>
      <c r="BM11" s="1371"/>
      <c r="BN11" s="1243"/>
      <c r="BO11" s="1370"/>
      <c r="BP11" s="1371"/>
      <c r="BQ11" s="1243"/>
      <c r="BR11" s="1406"/>
      <c r="BS11" s="1407" t="s">
        <v>1960</v>
      </c>
      <c r="BT11" s="1243"/>
      <c r="BU11" s="1370"/>
      <c r="BV11" s="31"/>
      <c r="BW11" s="1243"/>
      <c r="BX11" s="1346"/>
      <c r="BY11" s="1296" t="s">
        <v>1961</v>
      </c>
      <c r="BZ11" s="1243"/>
      <c r="CA11" s="1370"/>
      <c r="CB11" s="31"/>
      <c r="CC11" s="1243"/>
      <c r="CD11" s="1348"/>
      <c r="CE11" s="1300" t="s">
        <v>1962</v>
      </c>
      <c r="CF11" s="1243"/>
      <c r="CG11" s="1370"/>
      <c r="CH11" s="31"/>
      <c r="CI11" s="1243"/>
      <c r="CJ11" s="1370"/>
      <c r="CK11" s="31"/>
      <c r="CL11" s="1273"/>
    </row>
    <row r="12" ht="18.75" customHeight="1">
      <c r="A12" s="1238"/>
      <c r="B12" s="1238"/>
      <c r="C12" s="1390"/>
      <c r="D12" s="1354" t="str">
        <f>IMAGE("https://raw.githubusercontent.com/msikma/pokesprite/master/items/tm/ground.png",4,32,32)</f>
        <v/>
      </c>
      <c r="E12" s="1355" t="s">
        <v>1963</v>
      </c>
      <c r="F12" s="1243"/>
      <c r="G12" s="1354"/>
      <c r="H12" s="1355" t="s">
        <v>1964</v>
      </c>
      <c r="I12" s="1243"/>
      <c r="J12" s="1354"/>
      <c r="K12" s="1355" t="s">
        <v>1964</v>
      </c>
      <c r="L12" s="1243"/>
      <c r="M12" s="1354"/>
      <c r="N12" s="1355" t="s">
        <v>1964</v>
      </c>
      <c r="O12" s="1243"/>
      <c r="P12" s="1408"/>
      <c r="Q12" s="1409" t="s">
        <v>1965</v>
      </c>
      <c r="R12" s="1243"/>
      <c r="S12" s="1410"/>
      <c r="T12" s="1367" t="s">
        <v>1966</v>
      </c>
      <c r="U12" s="1243"/>
      <c r="V12" s="1281" t="str">
        <f>IMAGE("https://i.ibb.co/94N2sVx/rachel.png")</f>
        <v/>
      </c>
      <c r="W12" s="1282" t="s">
        <v>449</v>
      </c>
      <c r="X12" s="1243"/>
      <c r="Y12" s="1312"/>
      <c r="Z12" s="1313" t="s">
        <v>1967</v>
      </c>
      <c r="AA12" s="1243"/>
      <c r="AB12" s="1314"/>
      <c r="AC12" s="1315" t="s">
        <v>1968</v>
      </c>
      <c r="AD12" s="1243"/>
      <c r="AE12" s="1316"/>
      <c r="AF12" s="1317" t="s">
        <v>1969</v>
      </c>
      <c r="AG12" s="1243"/>
      <c r="AH12" s="1318"/>
      <c r="AI12" s="1319" t="s">
        <v>1970</v>
      </c>
      <c r="AJ12" s="1243"/>
      <c r="AK12" s="1320"/>
      <c r="AL12" s="1321" t="s">
        <v>1971</v>
      </c>
      <c r="AM12" s="1243"/>
      <c r="AN12" s="1322"/>
      <c r="AO12" s="1323" t="s">
        <v>1972</v>
      </c>
      <c r="AP12" s="1243"/>
      <c r="AQ12" s="1324"/>
      <c r="AR12" s="1325" t="s">
        <v>1973</v>
      </c>
      <c r="AS12" s="1243"/>
      <c r="AT12" s="1326"/>
      <c r="AU12" s="1327" t="s">
        <v>1974</v>
      </c>
      <c r="AV12" s="1243"/>
      <c r="AW12" s="1328"/>
      <c r="AX12" s="1329" t="s">
        <v>1975</v>
      </c>
      <c r="AY12" s="1243"/>
      <c r="AZ12" s="1370"/>
      <c r="BA12" s="31"/>
      <c r="BB12" s="1243"/>
      <c r="BC12" s="1370"/>
      <c r="BD12" s="31"/>
      <c r="BE12" s="1243"/>
      <c r="BF12" s="1370"/>
      <c r="BG12" s="31"/>
      <c r="BH12" s="1243"/>
      <c r="BI12" s="1316"/>
      <c r="BJ12" s="1317" t="s">
        <v>1976</v>
      </c>
      <c r="BK12" s="1243"/>
      <c r="BL12" s="1370"/>
      <c r="BM12" s="31"/>
      <c r="BN12" s="1243"/>
      <c r="BO12" s="1370"/>
      <c r="BP12" s="31"/>
      <c r="BQ12" s="1243"/>
      <c r="BR12" s="1411"/>
      <c r="BS12" s="1412" t="s">
        <v>1977</v>
      </c>
      <c r="BT12" s="1243"/>
      <c r="BU12" s="1370"/>
      <c r="BV12" s="31"/>
      <c r="BW12" s="1243"/>
      <c r="BX12" s="1324"/>
      <c r="BY12" s="1325" t="s">
        <v>1978</v>
      </c>
      <c r="BZ12" s="1243"/>
      <c r="CA12" s="1370"/>
      <c r="CB12" s="31"/>
      <c r="CC12" s="1243"/>
      <c r="CD12" s="1328"/>
      <c r="CE12" s="1329" t="s">
        <v>1979</v>
      </c>
      <c r="CF12" s="1243"/>
      <c r="CG12" s="1370"/>
      <c r="CH12" s="31"/>
      <c r="CI12" s="1243"/>
      <c r="CJ12" s="1370"/>
      <c r="CK12" s="31"/>
      <c r="CL12" s="1273"/>
    </row>
    <row r="13" ht="18.75" customHeight="1">
      <c r="A13" s="1238"/>
      <c r="B13" s="1238"/>
      <c r="C13" s="1390"/>
      <c r="D13" s="1413" t="str">
        <f>IMAGE("https://raw.githubusercontent.com/msikma/pokesprite/master/items/tm/ice.png",4,32,32)</f>
        <v/>
      </c>
      <c r="E13" s="1414" t="s">
        <v>1980</v>
      </c>
      <c r="F13" s="1243"/>
      <c r="G13" s="1413"/>
      <c r="H13" s="1414" t="s">
        <v>1981</v>
      </c>
      <c r="I13" s="1243"/>
      <c r="J13" s="1413"/>
      <c r="K13" s="1414" t="s">
        <v>1981</v>
      </c>
      <c r="L13" s="1243"/>
      <c r="M13" s="1413"/>
      <c r="N13" s="1414" t="s">
        <v>1981</v>
      </c>
      <c r="O13" s="1243"/>
      <c r="P13" s="1415"/>
      <c r="Q13" s="1416" t="s">
        <v>1982</v>
      </c>
      <c r="R13" s="1243"/>
      <c r="S13" s="1417"/>
      <c r="T13" s="1309" t="s">
        <v>1983</v>
      </c>
      <c r="U13" s="1243"/>
      <c r="V13" s="1281" t="str">
        <f>IMAGE("https://i.ibb.co/DV854sM/Screenshot-1.png")</f>
        <v/>
      </c>
      <c r="W13" s="1282" t="s">
        <v>1984</v>
      </c>
      <c r="X13" s="1243"/>
      <c r="Y13" s="1340"/>
      <c r="Z13" s="1284" t="s">
        <v>1985</v>
      </c>
      <c r="AA13" s="1243"/>
      <c r="AB13" s="1341"/>
      <c r="AC13" s="1286" t="s">
        <v>1986</v>
      </c>
      <c r="AD13" s="1243"/>
      <c r="AE13" s="1342"/>
      <c r="AF13" s="1288" t="s">
        <v>1987</v>
      </c>
      <c r="AG13" s="1243"/>
      <c r="AH13" s="1343"/>
      <c r="AI13" s="1290" t="s">
        <v>1988</v>
      </c>
      <c r="AJ13" s="1243"/>
      <c r="AK13" s="1344"/>
      <c r="AL13" s="1292" t="s">
        <v>1989</v>
      </c>
      <c r="AM13" s="1243"/>
      <c r="AN13" s="1345"/>
      <c r="AO13" s="1294" t="s">
        <v>1990</v>
      </c>
      <c r="AP13" s="1243"/>
      <c r="AQ13" s="1346"/>
      <c r="AR13" s="1296" t="s">
        <v>1991</v>
      </c>
      <c r="AS13" s="1243"/>
      <c r="AT13" s="1347"/>
      <c r="AU13" s="1298" t="s">
        <v>1992</v>
      </c>
      <c r="AV13" s="1243"/>
      <c r="AW13" s="1348"/>
      <c r="AX13" s="1300" t="s">
        <v>1993</v>
      </c>
      <c r="AY13" s="1243"/>
      <c r="AZ13" s="1370"/>
      <c r="BA13" s="31"/>
      <c r="BB13" s="1243"/>
      <c r="BC13" s="1370"/>
      <c r="BD13" s="31"/>
      <c r="BE13" s="1243"/>
      <c r="BF13" s="1370"/>
      <c r="BG13" s="31"/>
      <c r="BH13" s="1243"/>
      <c r="BI13" s="1342"/>
      <c r="BJ13" s="1288" t="s">
        <v>1994</v>
      </c>
      <c r="BK13" s="1243"/>
      <c r="BL13" s="1370"/>
      <c r="BM13" s="31"/>
      <c r="BN13" s="1243"/>
      <c r="BO13" s="1370"/>
      <c r="BP13" s="31"/>
      <c r="BQ13" s="1243"/>
      <c r="BR13" s="1418"/>
      <c r="BS13" s="1419" t="s">
        <v>1995</v>
      </c>
      <c r="BT13" s="1243"/>
      <c r="BU13" s="1370"/>
      <c r="BV13" s="31"/>
      <c r="BW13" s="1243"/>
      <c r="BX13" s="1420"/>
      <c r="BY13" s="1421" t="s">
        <v>1996</v>
      </c>
      <c r="BZ13" s="1243"/>
      <c r="CA13" s="1370"/>
      <c r="CB13" s="31"/>
      <c r="CC13" s="1243"/>
      <c r="CD13" s="1348"/>
      <c r="CE13" s="1300" t="s">
        <v>1997</v>
      </c>
      <c r="CF13" s="1243"/>
      <c r="CG13" s="1370"/>
      <c r="CH13" s="31"/>
      <c r="CI13" s="1243"/>
      <c r="CJ13" s="1370"/>
      <c r="CK13" s="31"/>
      <c r="CL13" s="1273"/>
    </row>
    <row r="14" ht="18.75" customHeight="1">
      <c r="A14" s="1238"/>
      <c r="B14" s="1238"/>
      <c r="C14" s="1390"/>
      <c r="D14" s="1422" t="str">
        <f>IMAGE("https://raw.githubusercontent.com/msikma/pokesprite/master/items/tm/normal.png",4,32,32)</f>
        <v/>
      </c>
      <c r="E14" s="1423" t="s">
        <v>1998</v>
      </c>
      <c r="F14" s="1243"/>
      <c r="G14" s="1424"/>
      <c r="H14" s="1425" t="s">
        <v>1999</v>
      </c>
      <c r="I14" s="1243"/>
      <c r="J14" s="1422"/>
      <c r="K14" s="1423" t="s">
        <v>2000</v>
      </c>
      <c r="L14" s="1243"/>
      <c r="M14" s="1422"/>
      <c r="N14" s="1423" t="s">
        <v>2000</v>
      </c>
      <c r="O14" s="1243"/>
      <c r="P14" s="1426"/>
      <c r="Q14" s="1427" t="s">
        <v>2001</v>
      </c>
      <c r="R14" s="1243"/>
      <c r="S14" s="1338"/>
      <c r="T14" s="1339" t="s">
        <v>2002</v>
      </c>
      <c r="U14" s="1243"/>
      <c r="V14" s="1281" t="str">
        <f>IMAGE("https://i.ibb.co/x1ZJhDZ/maniac.png")</f>
        <v/>
      </c>
      <c r="W14" s="1282" t="s">
        <v>458</v>
      </c>
      <c r="X14" s="1243"/>
      <c r="Y14" s="1312"/>
      <c r="Z14" s="1313" t="s">
        <v>2003</v>
      </c>
      <c r="AA14" s="1243"/>
      <c r="AB14" s="1314"/>
      <c r="AC14" s="1315" t="s">
        <v>2004</v>
      </c>
      <c r="AD14" s="1243"/>
      <c r="AE14" s="1316"/>
      <c r="AF14" s="1317" t="s">
        <v>2005</v>
      </c>
      <c r="AG14" s="1243"/>
      <c r="AH14" s="1318"/>
      <c r="AI14" s="1319" t="s">
        <v>2006</v>
      </c>
      <c r="AJ14" s="1243"/>
      <c r="AK14" s="1320"/>
      <c r="AL14" s="1321" t="s">
        <v>2007</v>
      </c>
      <c r="AM14" s="1243"/>
      <c r="AN14" s="1322"/>
      <c r="AO14" s="1323" t="s">
        <v>2008</v>
      </c>
      <c r="AP14" s="1243"/>
      <c r="AQ14" s="1324"/>
      <c r="AR14" s="1325" t="s">
        <v>2009</v>
      </c>
      <c r="AS14" s="1243"/>
      <c r="AT14" s="1326"/>
      <c r="AU14" s="1327" t="s">
        <v>2010</v>
      </c>
      <c r="AV14" s="1243"/>
      <c r="AW14" s="1328"/>
      <c r="AX14" s="1329" t="s">
        <v>2011</v>
      </c>
      <c r="AY14" s="1243"/>
      <c r="AZ14" s="1370"/>
      <c r="BA14" s="31"/>
      <c r="BB14" s="1243"/>
      <c r="BC14" s="1370"/>
      <c r="BD14" s="31"/>
      <c r="BE14" s="1243"/>
      <c r="BF14" s="1370"/>
      <c r="BG14" s="31"/>
      <c r="BH14" s="1243"/>
      <c r="BI14" s="1316"/>
      <c r="BJ14" s="1317" t="s">
        <v>2012</v>
      </c>
      <c r="BK14" s="1243"/>
      <c r="BL14" s="1370"/>
      <c r="BM14" s="31"/>
      <c r="BN14" s="1243"/>
      <c r="BO14" s="1370"/>
      <c r="BP14" s="31"/>
      <c r="BQ14" s="1243"/>
      <c r="BR14" s="1428"/>
      <c r="BS14" s="1429" t="s">
        <v>2013</v>
      </c>
      <c r="BT14" s="1243"/>
      <c r="BU14" s="1370"/>
      <c r="BV14" s="31"/>
      <c r="BW14" s="1243"/>
      <c r="BX14" s="1370"/>
      <c r="BY14" s="1371"/>
      <c r="BZ14" s="1243"/>
      <c r="CA14" s="1370"/>
      <c r="CB14" s="31"/>
      <c r="CC14" s="1243"/>
      <c r="CD14" s="1328"/>
      <c r="CE14" s="1329" t="s">
        <v>2014</v>
      </c>
      <c r="CF14" s="1243"/>
      <c r="CG14" s="1370"/>
      <c r="CH14" s="31"/>
      <c r="CI14" s="1243"/>
      <c r="CJ14" s="1370"/>
      <c r="CK14" s="31"/>
      <c r="CL14" s="1273"/>
    </row>
    <row r="15" ht="18.75" customHeight="1">
      <c r="A15" s="1238"/>
      <c r="B15" s="1238"/>
      <c r="C15" s="1390"/>
      <c r="D15" s="1424" t="str">
        <f>IMAGE("https://raw.githubusercontent.com/msikma/pokesprite/master/items/tm/poison.png",4,32,32)</f>
        <v/>
      </c>
      <c r="E15" s="1425" t="s">
        <v>2015</v>
      </c>
      <c r="F15" s="1243"/>
      <c r="G15" s="1430"/>
      <c r="H15" s="1431" t="s">
        <v>2016</v>
      </c>
      <c r="I15" s="1243"/>
      <c r="J15" s="1424"/>
      <c r="K15" s="1425" t="s">
        <v>1999</v>
      </c>
      <c r="L15" s="1243"/>
      <c r="M15" s="1424"/>
      <c r="N15" s="1425" t="s">
        <v>1999</v>
      </c>
      <c r="O15" s="1243"/>
      <c r="P15" s="1432"/>
      <c r="Q15" s="1433" t="s">
        <v>2017</v>
      </c>
      <c r="R15" s="1243"/>
      <c r="S15" s="1434"/>
      <c r="T15" s="1369" t="s">
        <v>2018</v>
      </c>
      <c r="U15" s="1243"/>
      <c r="V15" s="1281" t="str">
        <f>IMAGE("https://i.ibb.co/yq8TYD9/oldman.png")</f>
        <v/>
      </c>
      <c r="W15" s="1282" t="s">
        <v>2019</v>
      </c>
      <c r="X15" s="1243"/>
      <c r="Y15" s="1340"/>
      <c r="Z15" s="1284" t="s">
        <v>2020</v>
      </c>
      <c r="AA15" s="1243"/>
      <c r="AB15" s="1341"/>
      <c r="AC15" s="1286" t="s">
        <v>2021</v>
      </c>
      <c r="AD15" s="1243"/>
      <c r="AE15" s="1342"/>
      <c r="AF15" s="1288" t="s">
        <v>2022</v>
      </c>
      <c r="AG15" s="1243"/>
      <c r="AH15" s="1343"/>
      <c r="AI15" s="1290" t="s">
        <v>2023</v>
      </c>
      <c r="AJ15" s="1243"/>
      <c r="AK15" s="1344"/>
      <c r="AL15" s="1292" t="s">
        <v>2024</v>
      </c>
      <c r="AM15" s="1243"/>
      <c r="AN15" s="1345"/>
      <c r="AO15" s="1294" t="s">
        <v>2025</v>
      </c>
      <c r="AP15" s="1243"/>
      <c r="AQ15" s="1346"/>
      <c r="AR15" s="1296" t="s">
        <v>2026</v>
      </c>
      <c r="AS15" s="1243"/>
      <c r="AT15" s="1347"/>
      <c r="AU15" s="1298" t="s">
        <v>2027</v>
      </c>
      <c r="AV15" s="1243"/>
      <c r="AW15" s="1348"/>
      <c r="AX15" s="1300" t="s">
        <v>2028</v>
      </c>
      <c r="AY15" s="1243"/>
      <c r="AZ15" s="1370"/>
      <c r="BA15" s="31"/>
      <c r="BB15" s="1243"/>
      <c r="BC15" s="1370"/>
      <c r="BD15" s="1371"/>
      <c r="BE15" s="1243"/>
      <c r="BF15" s="1370"/>
      <c r="BG15" s="1371"/>
      <c r="BH15" s="1243"/>
      <c r="BI15" s="1342"/>
      <c r="BJ15" s="1288" t="s">
        <v>2029</v>
      </c>
      <c r="BK15" s="1243"/>
      <c r="BL15" s="1370"/>
      <c r="BM15" s="31"/>
      <c r="BN15" s="1243"/>
      <c r="BO15" s="1370"/>
      <c r="BP15" s="31"/>
      <c r="BQ15" s="1243"/>
      <c r="BR15" s="1435"/>
      <c r="BS15" s="1436" t="s">
        <v>2030</v>
      </c>
      <c r="BT15" s="1243"/>
      <c r="BU15" s="1370"/>
      <c r="BV15" s="31"/>
      <c r="BW15" s="1243"/>
      <c r="BX15" s="1370"/>
      <c r="BY15" s="31"/>
      <c r="BZ15" s="1243"/>
      <c r="CA15" s="1370"/>
      <c r="CB15" s="31"/>
      <c r="CC15" s="1243"/>
      <c r="CD15" s="1348"/>
      <c r="CE15" s="1300" t="s">
        <v>2031</v>
      </c>
      <c r="CF15" s="1243"/>
      <c r="CG15" s="1370"/>
      <c r="CH15" s="31"/>
      <c r="CI15" s="1243"/>
      <c r="CJ15" s="1370"/>
      <c r="CK15" s="31"/>
      <c r="CL15" s="1273"/>
    </row>
    <row r="16" ht="18.75" customHeight="1">
      <c r="A16" s="1238"/>
      <c r="B16" s="1238"/>
      <c r="C16" s="1390"/>
      <c r="D16" s="1430" t="str">
        <f>IMAGE("https://raw.githubusercontent.com/msikma/pokesprite/master/items/tm/psychic.png",4,32,32)</f>
        <v/>
      </c>
      <c r="E16" s="1431" t="s">
        <v>111</v>
      </c>
      <c r="F16" s="1243"/>
      <c r="G16" s="1437"/>
      <c r="H16" s="1438" t="s">
        <v>1878</v>
      </c>
      <c r="I16" s="1243"/>
      <c r="J16" s="1430"/>
      <c r="K16" s="1431" t="s">
        <v>2016</v>
      </c>
      <c r="L16" s="1243"/>
      <c r="M16" s="1430"/>
      <c r="N16" s="1431" t="s">
        <v>2016</v>
      </c>
      <c r="O16" s="1243"/>
      <c r="P16" s="1439"/>
      <c r="Q16" s="1440" t="s">
        <v>2032</v>
      </c>
      <c r="R16" s="1243"/>
      <c r="S16" s="1441"/>
      <c r="T16" s="1414" t="s">
        <v>2033</v>
      </c>
      <c r="U16" s="1243"/>
      <c r="V16" s="1281" t="str">
        <f>IMAGE("https://i.ibb.co/NNgpZtp/tamer.png")</f>
        <v/>
      </c>
      <c r="W16" s="1282" t="s">
        <v>2034</v>
      </c>
      <c r="X16" s="1243"/>
      <c r="Y16" s="1312"/>
      <c r="Z16" s="1313" t="s">
        <v>2035</v>
      </c>
      <c r="AA16" s="1243"/>
      <c r="AB16" s="1314"/>
      <c r="AC16" s="1315" t="s">
        <v>2036</v>
      </c>
      <c r="AD16" s="1243"/>
      <c r="AE16" s="1316"/>
      <c r="AF16" s="1317" t="s">
        <v>2037</v>
      </c>
      <c r="AG16" s="1243"/>
      <c r="AH16" s="1318"/>
      <c r="AI16" s="1319" t="s">
        <v>2038</v>
      </c>
      <c r="AJ16" s="1243"/>
      <c r="AK16" s="1320"/>
      <c r="AL16" s="1321" t="s">
        <v>2039</v>
      </c>
      <c r="AM16" s="1243"/>
      <c r="AN16" s="1322"/>
      <c r="AO16" s="1323" t="s">
        <v>2040</v>
      </c>
      <c r="AP16" s="1243"/>
      <c r="AQ16" s="1324"/>
      <c r="AR16" s="1325" t="s">
        <v>2041</v>
      </c>
      <c r="AS16" s="1243"/>
      <c r="AT16" s="1326"/>
      <c r="AU16" s="1327" t="s">
        <v>2042</v>
      </c>
      <c r="AV16" s="1243"/>
      <c r="AW16" s="1328"/>
      <c r="AX16" s="1329" t="s">
        <v>2043</v>
      </c>
      <c r="AY16" s="1243"/>
      <c r="AZ16" s="1370"/>
      <c r="BA16" s="31"/>
      <c r="BB16" s="1243"/>
      <c r="BC16" s="1370"/>
      <c r="BD16" s="31"/>
      <c r="BE16" s="1243"/>
      <c r="BF16" s="1370"/>
      <c r="BG16" s="31"/>
      <c r="BH16" s="1243"/>
      <c r="BI16" s="1442"/>
      <c r="BJ16" s="1443" t="s">
        <v>2044</v>
      </c>
      <c r="BK16" s="1243"/>
      <c r="BL16" s="1370"/>
      <c r="BM16" s="31"/>
      <c r="BN16" s="1243"/>
      <c r="BO16" s="1370"/>
      <c r="BP16" s="31"/>
      <c r="BQ16" s="1243"/>
      <c r="BR16" s="1444"/>
      <c r="BS16" s="1445" t="s">
        <v>2045</v>
      </c>
      <c r="BT16" s="1243"/>
      <c r="BU16" s="1370"/>
      <c r="BV16" s="31"/>
      <c r="BW16" s="1243"/>
      <c r="BX16" s="1370"/>
      <c r="BY16" s="31"/>
      <c r="BZ16" s="1243"/>
      <c r="CA16" s="1370"/>
      <c r="CB16" s="31"/>
      <c r="CC16" s="1243"/>
      <c r="CD16" s="1328"/>
      <c r="CE16" s="1329" t="s">
        <v>2046</v>
      </c>
      <c r="CF16" s="1243"/>
      <c r="CG16" s="1370"/>
      <c r="CH16" s="31"/>
      <c r="CI16" s="1243"/>
      <c r="CJ16" s="1370"/>
      <c r="CK16" s="31"/>
      <c r="CL16" s="1273"/>
    </row>
    <row r="17" ht="18.75" customHeight="1">
      <c r="A17" s="1238"/>
      <c r="B17" s="1238"/>
      <c r="C17" s="1390"/>
      <c r="D17" s="1437" t="str">
        <f>IMAGE("https://raw.githubusercontent.com/msikma/pokesprite/master/items/tm/rock.png",4,32,32)</f>
        <v/>
      </c>
      <c r="E17" s="1438" t="s">
        <v>2047</v>
      </c>
      <c r="F17" s="1243"/>
      <c r="G17" s="1446"/>
      <c r="H17" s="1447" t="s">
        <v>2048</v>
      </c>
      <c r="I17" s="1243"/>
      <c r="J17" s="1437"/>
      <c r="K17" s="1438" t="s">
        <v>1878</v>
      </c>
      <c r="L17" s="1243"/>
      <c r="M17" s="1437"/>
      <c r="N17" s="1438" t="s">
        <v>1878</v>
      </c>
      <c r="O17" s="1243"/>
      <c r="P17" s="1448"/>
      <c r="Q17" s="1449" t="s">
        <v>2049</v>
      </c>
      <c r="R17" s="1243"/>
      <c r="S17" s="1404"/>
      <c r="T17" s="1405" t="s">
        <v>2050</v>
      </c>
      <c r="U17" s="1243"/>
      <c r="V17" s="1450" t="str">
        <f>IMAGE("https://i.ibb.co/QQfMnKS/Screenshot-1.png")</f>
        <v/>
      </c>
      <c r="W17" s="1451" t="s">
        <v>391</v>
      </c>
      <c r="X17" s="1243"/>
      <c r="Y17" s="1340"/>
      <c r="Z17" s="1284" t="s">
        <v>2051</v>
      </c>
      <c r="AA17" s="1243"/>
      <c r="AB17" s="1341"/>
      <c r="AC17" s="1286" t="s">
        <v>2052</v>
      </c>
      <c r="AD17" s="1243"/>
      <c r="AE17" s="1342"/>
      <c r="AF17" s="1288" t="s">
        <v>2053</v>
      </c>
      <c r="AG17" s="1243"/>
      <c r="AH17" s="1343"/>
      <c r="AI17" s="1290" t="s">
        <v>2054</v>
      </c>
      <c r="AJ17" s="1243"/>
      <c r="AK17" s="1344"/>
      <c r="AL17" s="1292" t="s">
        <v>2055</v>
      </c>
      <c r="AM17" s="1243"/>
      <c r="AN17" s="1345"/>
      <c r="AO17" s="1294" t="s">
        <v>2056</v>
      </c>
      <c r="AP17" s="1243"/>
      <c r="AQ17" s="1346"/>
      <c r="AR17" s="1296" t="s">
        <v>2057</v>
      </c>
      <c r="AS17" s="1243"/>
      <c r="AT17" s="1347"/>
      <c r="AU17" s="1298" t="s">
        <v>2058</v>
      </c>
      <c r="AV17" s="1243"/>
      <c r="AW17" s="1348"/>
      <c r="AX17" s="1300" t="s">
        <v>2059</v>
      </c>
      <c r="AY17" s="1243"/>
      <c r="AZ17" s="1370"/>
      <c r="BA17" s="31"/>
      <c r="BB17" s="1243"/>
      <c r="BC17" s="1370"/>
      <c r="BD17" s="31"/>
      <c r="BE17" s="1243"/>
      <c r="BF17" s="1370"/>
      <c r="BG17" s="31"/>
      <c r="BH17" s="1243"/>
      <c r="BI17" s="1370"/>
      <c r="BJ17" s="1371"/>
      <c r="BK17" s="1243"/>
      <c r="BL17" s="1370"/>
      <c r="BM17" s="31"/>
      <c r="BN17" s="1243"/>
      <c r="BO17" s="1370"/>
      <c r="BP17" s="31"/>
      <c r="BQ17" s="1243"/>
      <c r="BR17" s="1452"/>
      <c r="BS17" s="1453" t="s">
        <v>2060</v>
      </c>
      <c r="BT17" s="1243"/>
      <c r="BU17" s="1370"/>
      <c r="BV17" s="31"/>
      <c r="BW17" s="1243"/>
      <c r="BX17" s="1370"/>
      <c r="BY17" s="31"/>
      <c r="BZ17" s="1243"/>
      <c r="CA17" s="1370"/>
      <c r="CB17" s="31"/>
      <c r="CC17" s="1243"/>
      <c r="CD17" s="1348"/>
      <c r="CE17" s="1300" t="s">
        <v>2061</v>
      </c>
      <c r="CF17" s="1243"/>
      <c r="CG17" s="1370"/>
      <c r="CH17" s="31"/>
      <c r="CI17" s="1243"/>
      <c r="CJ17" s="1370"/>
      <c r="CK17" s="31"/>
      <c r="CL17" s="1273"/>
    </row>
    <row r="18" ht="18.75" customHeight="1">
      <c r="A18" s="1238"/>
      <c r="B18" s="1238"/>
      <c r="C18" s="1390"/>
      <c r="D18" s="1446" t="str">
        <f>IMAGE("https://raw.githubusercontent.com/msikma/pokesprite/master/items/tm/steel.png",4,32,32)</f>
        <v/>
      </c>
      <c r="E18" s="1447" t="s">
        <v>2062</v>
      </c>
      <c r="F18" s="1243"/>
      <c r="G18" s="1454"/>
      <c r="H18" s="1455" t="s">
        <v>2063</v>
      </c>
      <c r="I18" s="1243"/>
      <c r="J18" s="1446"/>
      <c r="K18" s="1447" t="s">
        <v>2048</v>
      </c>
      <c r="L18" s="1243"/>
      <c r="M18" s="1446"/>
      <c r="N18" s="1447" t="s">
        <v>2048</v>
      </c>
      <c r="O18" s="1243"/>
      <c r="P18" s="1446"/>
      <c r="Q18" s="1447" t="s">
        <v>2064</v>
      </c>
      <c r="R18" s="1243"/>
      <c r="S18" s="1456"/>
      <c r="T18" s="1457" t="s">
        <v>2065</v>
      </c>
      <c r="U18" s="1243"/>
      <c r="V18" s="1370"/>
      <c r="W18" s="31"/>
      <c r="X18" s="1243"/>
      <c r="Y18" s="1312"/>
      <c r="Z18" s="1313" t="s">
        <v>2066</v>
      </c>
      <c r="AA18" s="1243"/>
      <c r="AB18" s="1314"/>
      <c r="AC18" s="1315" t="s">
        <v>2067</v>
      </c>
      <c r="AD18" s="1243"/>
      <c r="AE18" s="1316"/>
      <c r="AF18" s="1317" t="s">
        <v>2068</v>
      </c>
      <c r="AG18" s="1243"/>
      <c r="AH18" s="1318"/>
      <c r="AI18" s="1319" t="s">
        <v>2069</v>
      </c>
      <c r="AJ18" s="1243"/>
      <c r="AK18" s="1320"/>
      <c r="AL18" s="1321" t="s">
        <v>2070</v>
      </c>
      <c r="AM18" s="1243"/>
      <c r="AN18" s="1322"/>
      <c r="AO18" s="1323" t="s">
        <v>2071</v>
      </c>
      <c r="AP18" s="1243"/>
      <c r="AQ18" s="1324"/>
      <c r="AR18" s="1325" t="s">
        <v>2057</v>
      </c>
      <c r="AS18" s="1243"/>
      <c r="AT18" s="1326"/>
      <c r="AU18" s="1327" t="s">
        <v>2072</v>
      </c>
      <c r="AV18" s="1243"/>
      <c r="AW18" s="1328"/>
      <c r="AX18" s="1329" t="s">
        <v>2073</v>
      </c>
      <c r="AY18" s="1243"/>
      <c r="AZ18" s="1370"/>
      <c r="BA18" s="31"/>
      <c r="BB18" s="1243"/>
      <c r="BC18" s="1370"/>
      <c r="BD18" s="31"/>
      <c r="BE18" s="1243"/>
      <c r="BF18" s="1370"/>
      <c r="BG18" s="31"/>
      <c r="BH18" s="1243"/>
      <c r="BI18" s="1370"/>
      <c r="BJ18" s="31"/>
      <c r="BK18" s="1243"/>
      <c r="BL18" s="1370"/>
      <c r="BM18" s="31"/>
      <c r="BN18" s="1243"/>
      <c r="BO18" s="1370"/>
      <c r="BP18" s="31"/>
      <c r="BQ18" s="1243"/>
      <c r="BR18" s="1458"/>
      <c r="BS18" s="1459" t="s">
        <v>2074</v>
      </c>
      <c r="BT18" s="1243"/>
      <c r="BU18" s="1370"/>
      <c r="BV18" s="31"/>
      <c r="BW18" s="1243"/>
      <c r="BX18" s="1370"/>
      <c r="BY18" s="31"/>
      <c r="BZ18" s="1243"/>
      <c r="CA18" s="1370"/>
      <c r="CB18" s="31"/>
      <c r="CC18" s="1243"/>
      <c r="CD18" s="1328"/>
      <c r="CE18" s="1329" t="s">
        <v>2075</v>
      </c>
      <c r="CF18" s="1243"/>
      <c r="CG18" s="1370"/>
      <c r="CH18" s="31"/>
      <c r="CI18" s="1243"/>
      <c r="CJ18" s="1370"/>
      <c r="CK18" s="31"/>
      <c r="CL18" s="1273"/>
    </row>
    <row r="19" ht="18.75" customHeight="1">
      <c r="A19" s="1238"/>
      <c r="B19" s="1238"/>
      <c r="C19" s="1390"/>
      <c r="D19" s="1454" t="str">
        <f>IMAGE("https://raw.githubusercontent.com/msikma/pokesprite/master/items/tm/water.png",4,32,32)</f>
        <v/>
      </c>
      <c r="E19" s="1455" t="s">
        <v>2076</v>
      </c>
      <c r="F19" s="1243"/>
      <c r="G19" s="1370"/>
      <c r="H19" s="1371"/>
      <c r="I19" s="1243"/>
      <c r="J19" s="1454"/>
      <c r="K19" s="1455" t="s">
        <v>2063</v>
      </c>
      <c r="L19" s="1243"/>
      <c r="M19" s="1454"/>
      <c r="N19" s="1455" t="s">
        <v>2063</v>
      </c>
      <c r="O19" s="1243"/>
      <c r="P19" s="1460"/>
      <c r="Q19" s="1461" t="s">
        <v>2077</v>
      </c>
      <c r="R19" s="1243"/>
      <c r="S19" s="1446"/>
      <c r="T19" s="1447" t="s">
        <v>2078</v>
      </c>
      <c r="U19" s="1243"/>
      <c r="V19" s="1370"/>
      <c r="W19" s="31"/>
      <c r="X19" s="1243"/>
      <c r="Y19" s="1340"/>
      <c r="Z19" s="1284" t="s">
        <v>2079</v>
      </c>
      <c r="AA19" s="1243"/>
      <c r="AB19" s="1341"/>
      <c r="AC19" s="1286" t="s">
        <v>2080</v>
      </c>
      <c r="AD19" s="1243"/>
      <c r="AE19" s="1342"/>
      <c r="AF19" s="1288" t="s">
        <v>2081</v>
      </c>
      <c r="AG19" s="1243"/>
      <c r="AH19" s="1343"/>
      <c r="AI19" s="1290" t="s">
        <v>2082</v>
      </c>
      <c r="AJ19" s="1243"/>
      <c r="AK19" s="1344"/>
      <c r="AL19" s="1292" t="s">
        <v>2083</v>
      </c>
      <c r="AM19" s="1243"/>
      <c r="AN19" s="1345"/>
      <c r="AO19" s="1294" t="s">
        <v>2084</v>
      </c>
      <c r="AP19" s="1243"/>
      <c r="AQ19" s="1346"/>
      <c r="AR19" s="1296" t="s">
        <v>2085</v>
      </c>
      <c r="AS19" s="1243"/>
      <c r="AT19" s="1347"/>
      <c r="AU19" s="1298" t="s">
        <v>2086</v>
      </c>
      <c r="AV19" s="1243"/>
      <c r="AW19" s="1299"/>
      <c r="AX19" s="1300" t="s">
        <v>2087</v>
      </c>
      <c r="AY19" s="1243"/>
      <c r="AZ19" s="1370"/>
      <c r="BA19" s="1371"/>
      <c r="BB19" s="1243"/>
      <c r="BC19" s="1370"/>
      <c r="BD19" s="1371"/>
      <c r="BE19" s="1243"/>
      <c r="BF19" s="1370"/>
      <c r="BG19" s="1371"/>
      <c r="BH19" s="1243"/>
      <c r="BI19" s="1370"/>
      <c r="BJ19" s="1371"/>
      <c r="BK19" s="1243"/>
      <c r="BL19" s="1370"/>
      <c r="BM19" s="1371"/>
      <c r="BN19" s="1243"/>
      <c r="BO19" s="1370"/>
      <c r="BP19" s="1371"/>
      <c r="BQ19" s="1243"/>
      <c r="BR19" s="1370"/>
      <c r="BS19" s="1371"/>
      <c r="BT19" s="1243"/>
      <c r="BU19" s="1370"/>
      <c r="BV19" s="1371"/>
      <c r="BW19" s="1243"/>
      <c r="BX19" s="1370"/>
      <c r="BY19" s="1371"/>
      <c r="BZ19" s="1243"/>
      <c r="CA19" s="1370"/>
      <c r="CB19" s="1371"/>
      <c r="CC19" s="1243"/>
      <c r="CD19" s="1348"/>
      <c r="CE19" s="1300" t="s">
        <v>2088</v>
      </c>
      <c r="CF19" s="1243"/>
      <c r="CG19" s="1370"/>
      <c r="CH19" s="1371"/>
      <c r="CI19" s="1243"/>
      <c r="CJ19" s="1370"/>
      <c r="CK19" s="1371"/>
      <c r="CL19" s="1273"/>
    </row>
    <row r="20" ht="18.75" customHeight="1">
      <c r="A20" s="1238"/>
      <c r="B20" s="1370"/>
      <c r="C20" s="1370"/>
      <c r="D20" s="1370"/>
      <c r="E20" s="1370"/>
      <c r="F20" s="1370"/>
      <c r="G20" s="1370"/>
      <c r="H20" s="1370"/>
      <c r="I20" s="1370"/>
      <c r="J20" s="1370"/>
      <c r="K20" s="1370"/>
      <c r="L20" s="1370"/>
      <c r="M20" s="1370"/>
      <c r="N20" s="1370"/>
      <c r="O20" s="1370"/>
      <c r="P20" s="1446"/>
      <c r="Q20" s="1447" t="s">
        <v>2089</v>
      </c>
      <c r="R20" s="1462"/>
      <c r="S20" s="1463"/>
      <c r="T20" s="1464" t="s">
        <v>2090</v>
      </c>
      <c r="U20" s="1462"/>
      <c r="V20" s="1370"/>
      <c r="W20" s="31"/>
      <c r="X20" s="1462"/>
      <c r="Y20" s="1312"/>
      <c r="Z20" s="1313" t="s">
        <v>2091</v>
      </c>
      <c r="AA20" s="1462"/>
      <c r="AB20" s="1314"/>
      <c r="AC20" s="1315" t="s">
        <v>2092</v>
      </c>
      <c r="AD20" s="1462"/>
      <c r="AE20" s="1316"/>
      <c r="AF20" s="1317" t="s">
        <v>2093</v>
      </c>
      <c r="AG20" s="1462"/>
      <c r="AH20" s="1318"/>
      <c r="AI20" s="1319" t="s">
        <v>2094</v>
      </c>
      <c r="AJ20" s="1462"/>
      <c r="AK20" s="1320"/>
      <c r="AL20" s="1321" t="s">
        <v>2095</v>
      </c>
      <c r="AM20" s="1462"/>
      <c r="AN20" s="1322"/>
      <c r="AO20" s="1323" t="s">
        <v>2096</v>
      </c>
      <c r="AP20" s="1462"/>
      <c r="AQ20" s="1324"/>
      <c r="AR20" s="1325" t="s">
        <v>2097</v>
      </c>
      <c r="AS20" s="1462"/>
      <c r="AT20" s="1326"/>
      <c r="AU20" s="1327" t="s">
        <v>2098</v>
      </c>
      <c r="AV20" s="1462"/>
      <c r="AW20" s="1328"/>
      <c r="AX20" s="1329" t="s">
        <v>2099</v>
      </c>
      <c r="AY20" s="1462"/>
      <c r="AZ20" s="1370"/>
      <c r="BA20" s="31"/>
      <c r="BB20" s="1462"/>
      <c r="BC20" s="1370"/>
      <c r="BD20" s="31"/>
      <c r="BE20" s="1462"/>
      <c r="BF20" s="1370"/>
      <c r="BG20" s="31"/>
      <c r="BH20" s="1462"/>
      <c r="BI20" s="1370"/>
      <c r="BJ20" s="31"/>
      <c r="BK20" s="1462"/>
      <c r="BL20" s="1370"/>
      <c r="BM20" s="31"/>
      <c r="BN20" s="1462"/>
      <c r="BO20" s="1370"/>
      <c r="BP20" s="31"/>
      <c r="BQ20" s="1462"/>
      <c r="BR20" s="1370"/>
      <c r="BS20" s="31"/>
      <c r="BT20" s="1462"/>
      <c r="BU20" s="1370"/>
      <c r="BV20" s="31"/>
      <c r="BW20" s="1462"/>
      <c r="BX20" s="1370"/>
      <c r="BY20" s="31"/>
      <c r="BZ20" s="1462"/>
      <c r="CA20" s="1370"/>
      <c r="CB20" s="31"/>
      <c r="CC20" s="1462"/>
      <c r="CD20" s="1328"/>
      <c r="CE20" s="1329" t="s">
        <v>2100</v>
      </c>
      <c r="CF20" s="1462"/>
      <c r="CG20" s="1370"/>
      <c r="CH20" s="31"/>
      <c r="CI20" s="1462"/>
      <c r="CJ20" s="1370"/>
      <c r="CK20" s="31"/>
      <c r="CL20" s="1273"/>
    </row>
    <row r="21" ht="18.75" customHeight="1">
      <c r="A21" s="1238"/>
      <c r="B21" s="1238"/>
      <c r="C21" s="1370"/>
      <c r="D21" s="1370"/>
      <c r="E21" s="1370"/>
      <c r="F21" s="1370"/>
      <c r="G21" s="1370"/>
      <c r="H21" s="1370"/>
      <c r="I21" s="1370"/>
      <c r="J21" s="1370"/>
      <c r="K21" s="1370"/>
      <c r="L21" s="1370"/>
      <c r="M21" s="1370"/>
      <c r="N21" s="31"/>
      <c r="O21" s="1465"/>
      <c r="P21" s="1424"/>
      <c r="Q21" s="1425" t="s">
        <v>2101</v>
      </c>
      <c r="R21" s="1465"/>
      <c r="S21" s="1466"/>
      <c r="T21" s="1467" t="s">
        <v>2102</v>
      </c>
      <c r="U21" s="1465"/>
      <c r="V21" s="1370"/>
      <c r="W21" s="31"/>
      <c r="X21" s="1465"/>
      <c r="Y21" s="1340"/>
      <c r="Z21" s="1284" t="s">
        <v>2103</v>
      </c>
      <c r="AA21" s="1465"/>
      <c r="AB21" s="1341"/>
      <c r="AC21" s="1286" t="s">
        <v>2104</v>
      </c>
      <c r="AD21" s="1465"/>
      <c r="AE21" s="1342"/>
      <c r="AF21" s="1288" t="s">
        <v>2105</v>
      </c>
      <c r="AG21" s="1465"/>
      <c r="AH21" s="1343"/>
      <c r="AI21" s="1290" t="s">
        <v>2106</v>
      </c>
      <c r="AJ21" s="1465"/>
      <c r="AK21" s="1344"/>
      <c r="AL21" s="1292" t="s">
        <v>2107</v>
      </c>
      <c r="AM21" s="1465"/>
      <c r="AN21" s="1345"/>
      <c r="AO21" s="1294" t="s">
        <v>2108</v>
      </c>
      <c r="AP21" s="1465"/>
      <c r="AQ21" s="1346"/>
      <c r="AR21" s="1296" t="s">
        <v>2109</v>
      </c>
      <c r="AS21" s="1465"/>
      <c r="AT21" s="1347"/>
      <c r="AU21" s="1298" t="s">
        <v>2110</v>
      </c>
      <c r="AV21" s="1465"/>
      <c r="AW21" s="1348"/>
      <c r="AX21" s="1300" t="s">
        <v>2111</v>
      </c>
      <c r="AY21" s="1465"/>
      <c r="AZ21" s="1370"/>
      <c r="BA21" s="31"/>
      <c r="BB21" s="1465"/>
      <c r="BC21" s="1370"/>
      <c r="BD21" s="31"/>
      <c r="BE21" s="1465"/>
      <c r="BF21" s="1370"/>
      <c r="BG21" s="31"/>
      <c r="BH21" s="1465"/>
      <c r="BI21" s="1370"/>
      <c r="BJ21" s="31"/>
      <c r="BK21" s="1465"/>
      <c r="BL21" s="1370"/>
      <c r="BM21" s="31"/>
      <c r="BN21" s="1465"/>
      <c r="BO21" s="1370"/>
      <c r="BP21" s="31"/>
      <c r="BQ21" s="1465"/>
      <c r="BR21" s="1370"/>
      <c r="BS21" s="31"/>
      <c r="BT21" s="1465"/>
      <c r="BU21" s="1370"/>
      <c r="BV21" s="31"/>
      <c r="BW21" s="1465"/>
      <c r="BX21" s="1370"/>
      <c r="BY21" s="31"/>
      <c r="BZ21" s="1465"/>
      <c r="CA21" s="1370"/>
      <c r="CB21" s="31"/>
      <c r="CC21" s="1465"/>
      <c r="CD21" s="1348"/>
      <c r="CE21" s="1300" t="s">
        <v>2112</v>
      </c>
      <c r="CF21" s="1465"/>
      <c r="CG21" s="1370"/>
      <c r="CH21" s="31"/>
      <c r="CI21" s="1465"/>
      <c r="CJ21" s="1370"/>
      <c r="CK21" s="31"/>
      <c r="CL21" s="1273"/>
    </row>
    <row r="22" ht="18.75" customHeight="1">
      <c r="A22" s="1238"/>
      <c r="B22" s="1238"/>
      <c r="C22" s="1370"/>
      <c r="D22" s="1370"/>
      <c r="E22" s="1370"/>
      <c r="F22" s="1370"/>
      <c r="G22" s="1370"/>
      <c r="H22" s="1370"/>
      <c r="I22" s="1370"/>
      <c r="J22" s="1370"/>
      <c r="K22" s="1370"/>
      <c r="L22" s="1370"/>
      <c r="M22" s="1370"/>
      <c r="N22" s="31"/>
      <c r="O22" s="1465"/>
      <c r="P22" s="1275"/>
      <c r="Q22" s="1276" t="s">
        <v>2113</v>
      </c>
      <c r="R22" s="1465"/>
      <c r="S22" s="1468"/>
      <c r="T22" s="1392" t="s">
        <v>2114</v>
      </c>
      <c r="U22" s="1465"/>
      <c r="V22" s="1370"/>
      <c r="W22" s="31"/>
      <c r="X22" s="1465"/>
      <c r="Y22" s="1312"/>
      <c r="Z22" s="1313" t="s">
        <v>2022</v>
      </c>
      <c r="AA22" s="1465"/>
      <c r="AB22" s="1314"/>
      <c r="AC22" s="1315" t="s">
        <v>2115</v>
      </c>
      <c r="AD22" s="1465"/>
      <c r="AE22" s="1316"/>
      <c r="AF22" s="1317" t="s">
        <v>2116</v>
      </c>
      <c r="AG22" s="1465"/>
      <c r="AH22" s="1318"/>
      <c r="AI22" s="1319" t="s">
        <v>2117</v>
      </c>
      <c r="AJ22" s="1465"/>
      <c r="AK22" s="1320"/>
      <c r="AL22" s="1321" t="s">
        <v>2118</v>
      </c>
      <c r="AM22" s="1465"/>
      <c r="AN22" s="1322"/>
      <c r="AO22" s="1323" t="s">
        <v>2119</v>
      </c>
      <c r="AP22" s="1465"/>
      <c r="AQ22" s="1324"/>
      <c r="AR22" s="1325" t="s">
        <v>2120</v>
      </c>
      <c r="AS22" s="1465"/>
      <c r="AT22" s="1326"/>
      <c r="AU22" s="1327" t="s">
        <v>2121</v>
      </c>
      <c r="AV22" s="1465"/>
      <c r="AW22" s="1328"/>
      <c r="AX22" s="1329" t="s">
        <v>2122</v>
      </c>
      <c r="AY22" s="1465"/>
      <c r="AZ22" s="1370"/>
      <c r="BA22" s="31"/>
      <c r="BB22" s="1465"/>
      <c r="BC22" s="1370"/>
      <c r="BD22" s="31"/>
      <c r="BE22" s="1465"/>
      <c r="BF22" s="1370"/>
      <c r="BG22" s="31"/>
      <c r="BH22" s="1465"/>
      <c r="BI22" s="1370"/>
      <c r="BJ22" s="31"/>
      <c r="BK22" s="1465"/>
      <c r="BL22" s="1370"/>
      <c r="BM22" s="31"/>
      <c r="BN22" s="1465"/>
      <c r="BO22" s="1370"/>
      <c r="BP22" s="31"/>
      <c r="BQ22" s="1465"/>
      <c r="BR22" s="1370"/>
      <c r="BS22" s="31"/>
      <c r="BT22" s="1465"/>
      <c r="BU22" s="1370"/>
      <c r="BV22" s="31"/>
      <c r="BW22" s="1465"/>
      <c r="BX22" s="1370"/>
      <c r="BY22" s="31"/>
      <c r="BZ22" s="1465"/>
      <c r="CA22" s="1370"/>
      <c r="CB22" s="31"/>
      <c r="CC22" s="1465"/>
      <c r="CD22" s="1328"/>
      <c r="CE22" s="1329" t="s">
        <v>2123</v>
      </c>
      <c r="CF22" s="1465"/>
      <c r="CG22" s="1370"/>
      <c r="CH22" s="31"/>
      <c r="CI22" s="1465"/>
      <c r="CJ22" s="1370"/>
      <c r="CK22" s="31"/>
      <c r="CL22" s="1273"/>
    </row>
    <row r="23" ht="18.75" customHeight="1">
      <c r="A23" s="1238"/>
      <c r="B23" s="1238"/>
      <c r="C23" s="1370"/>
      <c r="D23" s="1370"/>
      <c r="E23" s="1370"/>
      <c r="F23" s="1370"/>
      <c r="G23" s="1370"/>
      <c r="H23" s="1370"/>
      <c r="I23" s="1370"/>
      <c r="J23" s="1370"/>
      <c r="K23" s="1370"/>
      <c r="L23" s="1370"/>
      <c r="M23" s="1370"/>
      <c r="N23" s="31"/>
      <c r="O23" s="1465"/>
      <c r="P23" s="1469"/>
      <c r="Q23" s="1470" t="s">
        <v>2124</v>
      </c>
      <c r="R23" s="1465"/>
      <c r="S23" s="1471"/>
      <c r="T23" s="1472" t="s">
        <v>2125</v>
      </c>
      <c r="U23" s="1465"/>
      <c r="V23" s="1370"/>
      <c r="W23" s="31"/>
      <c r="X23" s="1465"/>
      <c r="Y23" s="1340"/>
      <c r="Z23" s="1284" t="s">
        <v>2126</v>
      </c>
      <c r="AA23" s="1465"/>
      <c r="AB23" s="1341"/>
      <c r="AC23" s="1286" t="s">
        <v>2127</v>
      </c>
      <c r="AD23" s="1465"/>
      <c r="AE23" s="1342"/>
      <c r="AF23" s="1288" t="s">
        <v>2128</v>
      </c>
      <c r="AG23" s="1465"/>
      <c r="AH23" s="1343"/>
      <c r="AI23" s="1290" t="s">
        <v>2129</v>
      </c>
      <c r="AJ23" s="1465"/>
      <c r="AK23" s="1344"/>
      <c r="AL23" s="1292" t="s">
        <v>2130</v>
      </c>
      <c r="AM23" s="1465"/>
      <c r="AN23" s="1345"/>
      <c r="AO23" s="1294" t="s">
        <v>2131</v>
      </c>
      <c r="AP23" s="1465"/>
      <c r="AQ23" s="1346"/>
      <c r="AR23" s="1296" t="s">
        <v>2132</v>
      </c>
      <c r="AS23" s="1465"/>
      <c r="AT23" s="1347"/>
      <c r="AU23" s="1298" t="s">
        <v>2133</v>
      </c>
      <c r="AV23" s="1465"/>
      <c r="AW23" s="1348"/>
      <c r="AX23" s="1300" t="s">
        <v>2134</v>
      </c>
      <c r="AY23" s="1465"/>
      <c r="AZ23" s="1370"/>
      <c r="BA23" s="31"/>
      <c r="BB23" s="1465"/>
      <c r="BC23" s="1370"/>
      <c r="BD23" s="31"/>
      <c r="BE23" s="1465"/>
      <c r="BF23" s="1370"/>
      <c r="BG23" s="31"/>
      <c r="BH23" s="1465"/>
      <c r="BI23" s="1370"/>
      <c r="BJ23" s="31"/>
      <c r="BK23" s="1465"/>
      <c r="BL23" s="1370"/>
      <c r="BM23" s="31"/>
      <c r="BN23" s="1465"/>
      <c r="BO23" s="1370"/>
      <c r="BP23" s="31"/>
      <c r="BQ23" s="1465"/>
      <c r="BR23" s="1370"/>
      <c r="BS23" s="31"/>
      <c r="BT23" s="1465"/>
      <c r="BU23" s="1370"/>
      <c r="BV23" s="31"/>
      <c r="BW23" s="1465"/>
      <c r="BX23" s="1370"/>
      <c r="BY23" s="31"/>
      <c r="BZ23" s="1465"/>
      <c r="CA23" s="1370"/>
      <c r="CB23" s="31"/>
      <c r="CC23" s="1465"/>
      <c r="CD23" s="1348"/>
      <c r="CE23" s="1300" t="s">
        <v>2135</v>
      </c>
      <c r="CF23" s="1465"/>
      <c r="CG23" s="1370"/>
      <c r="CH23" s="31"/>
      <c r="CI23" s="1465"/>
      <c r="CJ23" s="1370"/>
      <c r="CK23" s="31"/>
      <c r="CL23" s="1273"/>
    </row>
    <row r="24" ht="18.75" customHeight="1">
      <c r="A24" s="1238"/>
      <c r="B24" s="1238"/>
      <c r="C24" s="1370"/>
      <c r="D24" s="1370"/>
      <c r="E24" s="1370"/>
      <c r="F24" s="1370"/>
      <c r="G24" s="1370"/>
      <c r="H24" s="1370"/>
      <c r="I24" s="1370"/>
      <c r="J24" s="1370"/>
      <c r="K24" s="1370"/>
      <c r="L24" s="1370"/>
      <c r="M24" s="1370"/>
      <c r="N24" s="31"/>
      <c r="O24" s="1465"/>
      <c r="P24" s="1473"/>
      <c r="Q24" s="1474" t="s">
        <v>2136</v>
      </c>
      <c r="R24" s="1465"/>
      <c r="S24" s="1475"/>
      <c r="T24" s="1423" t="s">
        <v>2137</v>
      </c>
      <c r="U24" s="1465"/>
      <c r="V24" s="1370"/>
      <c r="W24" s="31"/>
      <c r="X24" s="1465"/>
      <c r="Y24" s="1312"/>
      <c r="Z24" s="1313" t="s">
        <v>2138</v>
      </c>
      <c r="AA24" s="1465"/>
      <c r="AB24" s="1314"/>
      <c r="AC24" s="1315" t="s">
        <v>2139</v>
      </c>
      <c r="AD24" s="1465"/>
      <c r="AE24" s="1316"/>
      <c r="AF24" s="1317" t="s">
        <v>2140</v>
      </c>
      <c r="AG24" s="1465"/>
      <c r="AH24" s="1381"/>
      <c r="AI24" s="1382" t="s">
        <v>2141</v>
      </c>
      <c r="AJ24" s="1465"/>
      <c r="AK24" s="1320"/>
      <c r="AL24" s="1321" t="s">
        <v>2142</v>
      </c>
      <c r="AM24" s="1465"/>
      <c r="AN24" s="1322"/>
      <c r="AO24" s="1323" t="s">
        <v>2143</v>
      </c>
      <c r="AP24" s="1465"/>
      <c r="AQ24" s="1324"/>
      <c r="AR24" s="1325" t="s">
        <v>2144</v>
      </c>
      <c r="AS24" s="1465"/>
      <c r="AT24" s="1326"/>
      <c r="AU24" s="1327" t="s">
        <v>2145</v>
      </c>
      <c r="AV24" s="1465"/>
      <c r="AW24" s="1328"/>
      <c r="AX24" s="1329" t="s">
        <v>2146</v>
      </c>
      <c r="AY24" s="1465"/>
      <c r="AZ24" s="1370"/>
      <c r="BA24" s="31"/>
      <c r="BB24" s="1465"/>
      <c r="BC24" s="1370"/>
      <c r="BD24" s="31"/>
      <c r="BE24" s="1465"/>
      <c r="BF24" s="1370"/>
      <c r="BG24" s="31"/>
      <c r="BH24" s="1465"/>
      <c r="BI24" s="1370"/>
      <c r="BJ24" s="31"/>
      <c r="BK24" s="1465"/>
      <c r="BL24" s="1370"/>
      <c r="BM24" s="31"/>
      <c r="BN24" s="1465"/>
      <c r="BO24" s="1370"/>
      <c r="BP24" s="31"/>
      <c r="BQ24" s="1465"/>
      <c r="BR24" s="1370"/>
      <c r="BS24" s="31"/>
      <c r="BT24" s="1465"/>
      <c r="BU24" s="1370"/>
      <c r="BV24" s="31"/>
      <c r="BW24" s="1465"/>
      <c r="BX24" s="1370"/>
      <c r="BY24" s="31"/>
      <c r="BZ24" s="1465"/>
      <c r="CA24" s="1370"/>
      <c r="CB24" s="31"/>
      <c r="CC24" s="1465"/>
      <c r="CD24" s="1328"/>
      <c r="CE24" s="1329" t="s">
        <v>2147</v>
      </c>
      <c r="CF24" s="1465"/>
      <c r="CG24" s="1370"/>
      <c r="CH24" s="31"/>
      <c r="CI24" s="1465"/>
      <c r="CJ24" s="1370"/>
      <c r="CK24" s="31"/>
      <c r="CL24" s="1273"/>
    </row>
    <row r="25" ht="18.75" customHeight="1">
      <c r="A25" s="1238"/>
      <c r="B25" s="1238"/>
      <c r="C25" s="1370"/>
      <c r="D25" s="1370"/>
      <c r="E25" s="1370"/>
      <c r="F25" s="1370"/>
      <c r="G25" s="1370"/>
      <c r="H25" s="1370"/>
      <c r="I25" s="1370"/>
      <c r="J25" s="1370"/>
      <c r="K25" s="1370"/>
      <c r="L25" s="1370"/>
      <c r="M25" s="1370"/>
      <c r="N25" s="31"/>
      <c r="O25" s="1465"/>
      <c r="P25" s="1476"/>
      <c r="Q25" s="1477" t="s">
        <v>2148</v>
      </c>
      <c r="R25" s="1465"/>
      <c r="S25" s="1478"/>
      <c r="T25" s="1479" t="s">
        <v>2149</v>
      </c>
      <c r="U25" s="1465"/>
      <c r="V25" s="1370"/>
      <c r="W25" s="31"/>
      <c r="X25" s="1465"/>
      <c r="Y25" s="1340"/>
      <c r="Z25" s="1284" t="s">
        <v>2150</v>
      </c>
      <c r="AA25" s="1465"/>
      <c r="AB25" s="1341"/>
      <c r="AC25" s="1286" t="s">
        <v>1923</v>
      </c>
      <c r="AD25" s="1465"/>
      <c r="AE25" s="1342"/>
      <c r="AF25" s="1288" t="s">
        <v>2151</v>
      </c>
      <c r="AG25" s="1465"/>
      <c r="AH25" s="1370"/>
      <c r="AI25" s="1371"/>
      <c r="AJ25" s="1465"/>
      <c r="AK25" s="1344"/>
      <c r="AL25" s="1292" t="s">
        <v>2152</v>
      </c>
      <c r="AM25" s="1465"/>
      <c r="AN25" s="1345"/>
      <c r="AO25" s="1294" t="s">
        <v>2153</v>
      </c>
      <c r="AP25" s="1465"/>
      <c r="AQ25" s="1324"/>
      <c r="AR25" s="1325" t="s">
        <v>2154</v>
      </c>
      <c r="AS25" s="1465"/>
      <c r="AT25" s="1347"/>
      <c r="AU25" s="1298" t="s">
        <v>2155</v>
      </c>
      <c r="AV25" s="1465"/>
      <c r="AW25" s="1348"/>
      <c r="AX25" s="1300" t="s">
        <v>2156</v>
      </c>
      <c r="AY25" s="1465"/>
      <c r="AZ25" s="1370"/>
      <c r="BA25" s="31"/>
      <c r="BB25" s="1465"/>
      <c r="BC25" s="1370"/>
      <c r="BD25" s="31"/>
      <c r="BE25" s="1465"/>
      <c r="BF25" s="1370"/>
      <c r="BG25" s="31"/>
      <c r="BH25" s="1465"/>
      <c r="BI25" s="1370"/>
      <c r="BJ25" s="31"/>
      <c r="BK25" s="1465"/>
      <c r="BL25" s="1370"/>
      <c r="BM25" s="31"/>
      <c r="BN25" s="1465"/>
      <c r="BO25" s="1370"/>
      <c r="BP25" s="31"/>
      <c r="BQ25" s="1465"/>
      <c r="BR25" s="1370"/>
      <c r="BS25" s="31"/>
      <c r="BT25" s="1465"/>
      <c r="BU25" s="1370"/>
      <c r="BV25" s="31"/>
      <c r="BW25" s="1465"/>
      <c r="BX25" s="1370"/>
      <c r="BY25" s="31"/>
      <c r="BZ25" s="1465"/>
      <c r="CA25" s="1370"/>
      <c r="CB25" s="31"/>
      <c r="CC25" s="1465"/>
      <c r="CD25" s="1348"/>
      <c r="CE25" s="1300" t="s">
        <v>2157</v>
      </c>
      <c r="CF25" s="1465"/>
      <c r="CG25" s="1370"/>
      <c r="CH25" s="31"/>
      <c r="CI25" s="1465"/>
      <c r="CJ25" s="1370"/>
      <c r="CK25" s="31"/>
      <c r="CL25" s="1273"/>
    </row>
    <row r="26" ht="18.75" customHeight="1">
      <c r="A26" s="1238"/>
      <c r="B26" s="1238"/>
      <c r="C26" s="1370"/>
      <c r="D26" s="1370"/>
      <c r="E26" s="1370"/>
      <c r="F26" s="1370"/>
      <c r="G26" s="1370"/>
      <c r="H26" s="1370"/>
      <c r="I26" s="1370"/>
      <c r="J26" s="1370"/>
      <c r="K26" s="1370"/>
      <c r="L26" s="1370"/>
      <c r="M26" s="1370"/>
      <c r="N26" s="31"/>
      <c r="O26" s="1465"/>
      <c r="P26" s="1480"/>
      <c r="Q26" s="1481" t="s">
        <v>2158</v>
      </c>
      <c r="R26" s="1465"/>
      <c r="S26" s="1379"/>
      <c r="T26" s="1380" t="s">
        <v>2159</v>
      </c>
      <c r="U26" s="1465"/>
      <c r="V26" s="1370"/>
      <c r="W26" s="31"/>
      <c r="X26" s="1465"/>
      <c r="Y26" s="1312"/>
      <c r="Z26" s="1313" t="s">
        <v>2160</v>
      </c>
      <c r="AA26" s="1465"/>
      <c r="AB26" s="1314"/>
      <c r="AC26" s="1315" t="s">
        <v>2161</v>
      </c>
      <c r="AD26" s="1465"/>
      <c r="AE26" s="1316"/>
      <c r="AF26" s="1317" t="s">
        <v>2162</v>
      </c>
      <c r="AG26" s="1465"/>
      <c r="AH26" s="1370"/>
      <c r="AI26" s="31"/>
      <c r="AJ26" s="1465"/>
      <c r="AK26" s="1320"/>
      <c r="AL26" s="1321" t="s">
        <v>2163</v>
      </c>
      <c r="AM26" s="1465"/>
      <c r="AN26" s="1322"/>
      <c r="AO26" s="1323" t="s">
        <v>2164</v>
      </c>
      <c r="AP26" s="1465"/>
      <c r="AQ26" s="1346"/>
      <c r="AR26" s="1296" t="s">
        <v>2165</v>
      </c>
      <c r="AS26" s="1465"/>
      <c r="AT26" s="1326"/>
      <c r="AU26" s="1327" t="s">
        <v>2166</v>
      </c>
      <c r="AV26" s="1465"/>
      <c r="AW26" s="1328"/>
      <c r="AX26" s="1329" t="s">
        <v>2167</v>
      </c>
      <c r="AY26" s="1465"/>
      <c r="AZ26" s="1370"/>
      <c r="BA26" s="31"/>
      <c r="BB26" s="1465"/>
      <c r="BC26" s="1370"/>
      <c r="BD26" s="31"/>
      <c r="BE26" s="1465"/>
      <c r="BF26" s="1370"/>
      <c r="BG26" s="31"/>
      <c r="BH26" s="1465"/>
      <c r="BI26" s="1370"/>
      <c r="BJ26" s="31"/>
      <c r="BK26" s="1465"/>
      <c r="BL26" s="1370"/>
      <c r="BM26" s="31"/>
      <c r="BN26" s="1465"/>
      <c r="BO26" s="1370"/>
      <c r="BP26" s="31"/>
      <c r="BQ26" s="1465"/>
      <c r="BR26" s="1370"/>
      <c r="BS26" s="31"/>
      <c r="BT26" s="1465"/>
      <c r="BU26" s="1370"/>
      <c r="BV26" s="31"/>
      <c r="BW26" s="1465"/>
      <c r="BX26" s="1370"/>
      <c r="BY26" s="31"/>
      <c r="BZ26" s="1465"/>
      <c r="CA26" s="1370"/>
      <c r="CB26" s="31"/>
      <c r="CC26" s="1465"/>
      <c r="CD26" s="1482"/>
      <c r="CE26" s="1483" t="s">
        <v>2168</v>
      </c>
      <c r="CF26" s="1465"/>
      <c r="CG26" s="1370"/>
      <c r="CH26" s="31"/>
      <c r="CI26" s="1465"/>
      <c r="CJ26" s="1370"/>
      <c r="CK26" s="31"/>
      <c r="CL26" s="1273"/>
    </row>
    <row r="27" ht="18.75" customHeight="1">
      <c r="A27" s="1238"/>
      <c r="B27" s="1238"/>
      <c r="C27" s="1370"/>
      <c r="D27" s="1370"/>
      <c r="E27" s="1370"/>
      <c r="F27" s="1370"/>
      <c r="G27" s="1370"/>
      <c r="H27" s="1370"/>
      <c r="I27" s="1370"/>
      <c r="J27" s="1370"/>
      <c r="K27" s="1370"/>
      <c r="L27" s="1370"/>
      <c r="M27" s="1370"/>
      <c r="N27" s="31"/>
      <c r="O27" s="1465"/>
      <c r="P27" s="1484"/>
      <c r="Q27" s="1485" t="s">
        <v>2169</v>
      </c>
      <c r="R27" s="1465"/>
      <c r="S27" s="1424"/>
      <c r="T27" s="1425" t="s">
        <v>2170</v>
      </c>
      <c r="U27" s="1465"/>
      <c r="V27" s="1370"/>
      <c r="W27" s="31"/>
      <c r="X27" s="1465"/>
      <c r="Y27" s="1340"/>
      <c r="Z27" s="1284" t="s">
        <v>2171</v>
      </c>
      <c r="AA27" s="1465"/>
      <c r="AB27" s="1341"/>
      <c r="AC27" s="1286" t="s">
        <v>2172</v>
      </c>
      <c r="AD27" s="1465"/>
      <c r="AE27" s="1342"/>
      <c r="AF27" s="1288" t="s">
        <v>2173</v>
      </c>
      <c r="AG27" s="1465"/>
      <c r="AH27" s="1370"/>
      <c r="AI27" s="31"/>
      <c r="AJ27" s="1465"/>
      <c r="AK27" s="1344"/>
      <c r="AL27" s="1292" t="s">
        <v>2174</v>
      </c>
      <c r="AM27" s="1465"/>
      <c r="AN27" s="1345"/>
      <c r="AO27" s="1294" t="s">
        <v>2175</v>
      </c>
      <c r="AP27" s="1465"/>
      <c r="AQ27" s="1324"/>
      <c r="AR27" s="1325" t="s">
        <v>2176</v>
      </c>
      <c r="AS27" s="1465"/>
      <c r="AT27" s="1347"/>
      <c r="AU27" s="1298" t="s">
        <v>2177</v>
      </c>
      <c r="AV27" s="1465"/>
      <c r="AW27" s="1299"/>
      <c r="AX27" s="1300" t="s">
        <v>2178</v>
      </c>
      <c r="AY27" s="1465"/>
      <c r="AZ27" s="1370"/>
      <c r="BA27" s="1371"/>
      <c r="BB27" s="1465"/>
      <c r="BC27" s="1370"/>
      <c r="BD27" s="1371"/>
      <c r="BE27" s="1465"/>
      <c r="BF27" s="1370"/>
      <c r="BG27" s="1371"/>
      <c r="BH27" s="1465"/>
      <c r="BI27" s="1370"/>
      <c r="BJ27" s="1371"/>
      <c r="BK27" s="1465"/>
      <c r="BL27" s="1370"/>
      <c r="BM27" s="1371"/>
      <c r="BN27" s="1465"/>
      <c r="BO27" s="1370"/>
      <c r="BP27" s="1371"/>
      <c r="BQ27" s="1465"/>
      <c r="BR27" s="1370"/>
      <c r="BS27" s="1371"/>
      <c r="BT27" s="1465"/>
      <c r="BU27" s="1370"/>
      <c r="BV27" s="1371"/>
      <c r="BW27" s="1465"/>
      <c r="BX27" s="1370"/>
      <c r="BY27" s="1371"/>
      <c r="BZ27" s="1465"/>
      <c r="CA27" s="1370"/>
      <c r="CB27" s="1371"/>
      <c r="CC27" s="1465"/>
      <c r="CD27" s="1370"/>
      <c r="CE27" s="1371"/>
      <c r="CF27" s="1465"/>
      <c r="CG27" s="1370"/>
      <c r="CH27" s="1371"/>
      <c r="CI27" s="1465"/>
      <c r="CJ27" s="1370"/>
      <c r="CK27" s="1371"/>
      <c r="CL27" s="1273"/>
    </row>
    <row r="28" ht="18.75" customHeight="1">
      <c r="A28" s="1238"/>
      <c r="B28" s="1238"/>
      <c r="C28" s="1370"/>
      <c r="D28" s="1370"/>
      <c r="E28" s="1370"/>
      <c r="F28" s="1370"/>
      <c r="G28" s="1370"/>
      <c r="H28" s="1370"/>
      <c r="I28" s="1370"/>
      <c r="J28" s="1370"/>
      <c r="K28" s="1370"/>
      <c r="L28" s="1370"/>
      <c r="M28" s="1370"/>
      <c r="N28" s="31"/>
      <c r="O28" s="1465"/>
      <c r="P28" s="1356"/>
      <c r="Q28" s="1357" t="s">
        <v>2179</v>
      </c>
      <c r="R28" s="1465"/>
      <c r="S28" s="1432"/>
      <c r="T28" s="1433" t="s">
        <v>2180</v>
      </c>
      <c r="U28" s="1465"/>
      <c r="V28" s="1370"/>
      <c r="W28" s="31"/>
      <c r="X28" s="1465"/>
      <c r="Y28" s="1312"/>
      <c r="Z28" s="1313" t="s">
        <v>2181</v>
      </c>
      <c r="AA28" s="1465"/>
      <c r="AB28" s="1314"/>
      <c r="AC28" s="1315" t="s">
        <v>2182</v>
      </c>
      <c r="AD28" s="1465"/>
      <c r="AE28" s="1316"/>
      <c r="AF28" s="1317" t="s">
        <v>2183</v>
      </c>
      <c r="AG28" s="1465"/>
      <c r="AH28" s="1370"/>
      <c r="AI28" s="31"/>
      <c r="AJ28" s="1465"/>
      <c r="AK28" s="1320"/>
      <c r="AL28" s="1321" t="s">
        <v>2184</v>
      </c>
      <c r="AM28" s="1465"/>
      <c r="AN28" s="1322"/>
      <c r="AO28" s="1323" t="s">
        <v>2185</v>
      </c>
      <c r="AP28" s="1465"/>
      <c r="AQ28" s="1346"/>
      <c r="AR28" s="1296" t="s">
        <v>2186</v>
      </c>
      <c r="AS28" s="1465"/>
      <c r="AT28" s="1326"/>
      <c r="AU28" s="1327" t="s">
        <v>2187</v>
      </c>
      <c r="AV28" s="1465"/>
      <c r="AW28" s="1328"/>
      <c r="AX28" s="1329" t="s">
        <v>2188</v>
      </c>
      <c r="AY28" s="1465"/>
      <c r="AZ28" s="1370"/>
      <c r="BA28" s="31"/>
      <c r="BB28" s="1465"/>
      <c r="BC28" s="1370"/>
      <c r="BD28" s="31"/>
      <c r="BE28" s="1465"/>
      <c r="BF28" s="1370"/>
      <c r="BG28" s="31"/>
      <c r="BH28" s="1465"/>
      <c r="BI28" s="1370"/>
      <c r="BJ28" s="31"/>
      <c r="BK28" s="1465"/>
      <c r="BL28" s="1370"/>
      <c r="BM28" s="31"/>
      <c r="BN28" s="1465"/>
      <c r="BO28" s="1370"/>
      <c r="BP28" s="31"/>
      <c r="BQ28" s="1465"/>
      <c r="BR28" s="1370"/>
      <c r="BS28" s="31"/>
      <c r="BT28" s="1465"/>
      <c r="BU28" s="1370"/>
      <c r="BV28" s="31"/>
      <c r="BW28" s="1465"/>
      <c r="BX28" s="1370"/>
      <c r="BY28" s="31"/>
      <c r="BZ28" s="1465"/>
      <c r="CA28" s="1370"/>
      <c r="CB28" s="31"/>
      <c r="CC28" s="1465"/>
      <c r="CD28" s="1370"/>
      <c r="CE28" s="31"/>
      <c r="CF28" s="1465"/>
      <c r="CG28" s="1370"/>
      <c r="CH28" s="31"/>
      <c r="CI28" s="1465"/>
      <c r="CJ28" s="1370"/>
      <c r="CK28" s="31"/>
      <c r="CL28" s="1273"/>
    </row>
    <row r="29" ht="18.75" customHeight="1">
      <c r="A29" s="1238"/>
      <c r="B29" s="1238"/>
      <c r="C29" s="1370"/>
      <c r="D29" s="1370"/>
      <c r="E29" s="1370"/>
      <c r="F29" s="1370"/>
      <c r="G29" s="1370"/>
      <c r="H29" s="1370"/>
      <c r="I29" s="1370"/>
      <c r="J29" s="1370"/>
      <c r="K29" s="1370"/>
      <c r="L29" s="1370"/>
      <c r="M29" s="1370"/>
      <c r="N29" s="31"/>
      <c r="O29" s="1465"/>
      <c r="P29" s="1486"/>
      <c r="Q29" s="1487" t="s">
        <v>2189</v>
      </c>
      <c r="R29" s="1465"/>
      <c r="S29" s="1488"/>
      <c r="T29" s="1431" t="s">
        <v>2190</v>
      </c>
      <c r="U29" s="1465"/>
      <c r="V29" s="1370"/>
      <c r="W29" s="31"/>
      <c r="X29" s="1465"/>
      <c r="Y29" s="1340"/>
      <c r="Z29" s="1284" t="s">
        <v>2191</v>
      </c>
      <c r="AA29" s="1465"/>
      <c r="AB29" s="1341"/>
      <c r="AC29" s="1286" t="s">
        <v>2192</v>
      </c>
      <c r="AD29" s="1465"/>
      <c r="AE29" s="1342"/>
      <c r="AF29" s="1288" t="s">
        <v>2193</v>
      </c>
      <c r="AG29" s="1465"/>
      <c r="AH29" s="1370"/>
      <c r="AI29" s="31"/>
      <c r="AJ29" s="1465"/>
      <c r="AK29" s="1344"/>
      <c r="AL29" s="1292" t="s">
        <v>2194</v>
      </c>
      <c r="AM29" s="1465"/>
      <c r="AN29" s="1345"/>
      <c r="AO29" s="1294" t="s">
        <v>2195</v>
      </c>
      <c r="AP29" s="1465"/>
      <c r="AQ29" s="1324"/>
      <c r="AR29" s="1325" t="s">
        <v>2196</v>
      </c>
      <c r="AS29" s="1465"/>
      <c r="AT29" s="1347"/>
      <c r="AU29" s="1298" t="s">
        <v>2197</v>
      </c>
      <c r="AV29" s="1465"/>
      <c r="AW29" s="1348"/>
      <c r="AX29" s="1300" t="s">
        <v>2198</v>
      </c>
      <c r="AY29" s="1465"/>
      <c r="AZ29" s="1370"/>
      <c r="BA29" s="31"/>
      <c r="BB29" s="1465"/>
      <c r="BC29" s="1370"/>
      <c r="BD29" s="31"/>
      <c r="BE29" s="1465"/>
      <c r="BF29" s="1370"/>
      <c r="BG29" s="31"/>
      <c r="BH29" s="1465"/>
      <c r="BI29" s="1370"/>
      <c r="BJ29" s="31"/>
      <c r="BK29" s="1465"/>
      <c r="BL29" s="1370"/>
      <c r="BM29" s="31"/>
      <c r="BN29" s="1465"/>
      <c r="BO29" s="1370"/>
      <c r="BP29" s="31"/>
      <c r="BQ29" s="1465"/>
      <c r="BR29" s="1370"/>
      <c r="BS29" s="31"/>
      <c r="BT29" s="1465"/>
      <c r="BU29" s="1370"/>
      <c r="BV29" s="31"/>
      <c r="BW29" s="1465"/>
      <c r="BX29" s="1370"/>
      <c r="BY29" s="31"/>
      <c r="BZ29" s="1465"/>
      <c r="CA29" s="1370"/>
      <c r="CB29" s="31"/>
      <c r="CC29" s="1465"/>
      <c r="CD29" s="1370"/>
      <c r="CE29" s="31"/>
      <c r="CF29" s="1465"/>
      <c r="CG29" s="1370"/>
      <c r="CH29" s="31"/>
      <c r="CI29" s="1465"/>
      <c r="CJ29" s="1370"/>
      <c r="CK29" s="31"/>
      <c r="CL29" s="1273"/>
    </row>
    <row r="30" ht="18.75" customHeight="1">
      <c r="A30" s="1238"/>
      <c r="B30" s="1238"/>
      <c r="C30" s="1370"/>
      <c r="D30" s="1370"/>
      <c r="E30" s="1370"/>
      <c r="F30" s="1370"/>
      <c r="G30" s="1370"/>
      <c r="H30" s="1370"/>
      <c r="I30" s="1370"/>
      <c r="J30" s="1370"/>
      <c r="K30" s="1370"/>
      <c r="L30" s="1370"/>
      <c r="M30" s="1370"/>
      <c r="N30" s="31"/>
      <c r="O30" s="1465"/>
      <c r="P30" s="1489"/>
      <c r="Q30" s="1490" t="s">
        <v>2199</v>
      </c>
      <c r="R30" s="1465"/>
      <c r="S30" s="1368"/>
      <c r="T30" s="1369" t="s">
        <v>2200</v>
      </c>
      <c r="U30" s="1465"/>
      <c r="V30" s="1370"/>
      <c r="W30" s="31"/>
      <c r="X30" s="1465"/>
      <c r="Y30" s="1312"/>
      <c r="Z30" s="1313" t="s">
        <v>2201</v>
      </c>
      <c r="AA30" s="1465"/>
      <c r="AB30" s="1314"/>
      <c r="AC30" s="1315" t="s">
        <v>2202</v>
      </c>
      <c r="AD30" s="1465"/>
      <c r="AE30" s="1316"/>
      <c r="AF30" s="1317" t="s">
        <v>2203</v>
      </c>
      <c r="AG30" s="1465"/>
      <c r="AH30" s="1370"/>
      <c r="AI30" s="31"/>
      <c r="AJ30" s="1465"/>
      <c r="AK30" s="1320"/>
      <c r="AL30" s="1321" t="s">
        <v>2204</v>
      </c>
      <c r="AM30" s="1465"/>
      <c r="AN30" s="1322"/>
      <c r="AO30" s="1323" t="s">
        <v>2205</v>
      </c>
      <c r="AP30" s="1465"/>
      <c r="AQ30" s="1346"/>
      <c r="AR30" s="1296" t="s">
        <v>2206</v>
      </c>
      <c r="AS30" s="1465"/>
      <c r="AT30" s="1326"/>
      <c r="AU30" s="1327" t="s">
        <v>2207</v>
      </c>
      <c r="AV30" s="1465"/>
      <c r="AW30" s="1328"/>
      <c r="AX30" s="1329" t="s">
        <v>2208</v>
      </c>
      <c r="AY30" s="1465"/>
      <c r="AZ30" s="1370"/>
      <c r="BA30" s="31"/>
      <c r="BB30" s="1465"/>
      <c r="BC30" s="1370"/>
      <c r="BD30" s="31"/>
      <c r="BE30" s="1465"/>
      <c r="BF30" s="1370"/>
      <c r="BG30" s="31"/>
      <c r="BH30" s="1465"/>
      <c r="BI30" s="1370"/>
      <c r="BJ30" s="31"/>
      <c r="BK30" s="1465"/>
      <c r="BL30" s="1370"/>
      <c r="BM30" s="31"/>
      <c r="BN30" s="1465"/>
      <c r="BO30" s="1370"/>
      <c r="BP30" s="31"/>
      <c r="BQ30" s="1465"/>
      <c r="BR30" s="1370"/>
      <c r="BS30" s="31"/>
      <c r="BT30" s="1465"/>
      <c r="BU30" s="1370"/>
      <c r="BV30" s="31"/>
      <c r="BW30" s="1465"/>
      <c r="BX30" s="1370"/>
      <c r="BY30" s="31"/>
      <c r="BZ30" s="1465"/>
      <c r="CA30" s="1370"/>
      <c r="CB30" s="31"/>
      <c r="CC30" s="1465"/>
      <c r="CD30" s="1370"/>
      <c r="CE30" s="31"/>
      <c r="CF30" s="1465"/>
      <c r="CG30" s="1370"/>
      <c r="CH30" s="31"/>
      <c r="CI30" s="1465"/>
      <c r="CJ30" s="1370"/>
      <c r="CK30" s="31"/>
      <c r="CL30" s="1273"/>
    </row>
    <row r="31" ht="18.75" customHeight="1">
      <c r="A31" s="1238"/>
      <c r="B31" s="1238"/>
      <c r="C31" s="1370"/>
      <c r="D31" s="1370"/>
      <c r="E31" s="1370"/>
      <c r="F31" s="1370"/>
      <c r="G31" s="1370"/>
      <c r="H31" s="1370"/>
      <c r="I31" s="1370"/>
      <c r="J31" s="1370"/>
      <c r="K31" s="1370"/>
      <c r="L31" s="1370"/>
      <c r="M31" s="1370"/>
      <c r="N31" s="31"/>
      <c r="O31" s="1465"/>
      <c r="P31" s="1491"/>
      <c r="Q31" s="1492" t="s">
        <v>2209</v>
      </c>
      <c r="R31" s="1465"/>
      <c r="S31" s="1275"/>
      <c r="T31" s="1276" t="s">
        <v>2210</v>
      </c>
      <c r="U31" s="1465"/>
      <c r="V31" s="1370"/>
      <c r="W31" s="31"/>
      <c r="X31" s="1465"/>
      <c r="Y31" s="1340"/>
      <c r="Z31" s="1284" t="s">
        <v>2211</v>
      </c>
      <c r="AA31" s="1465"/>
      <c r="AB31" s="1341"/>
      <c r="AC31" s="1286" t="s">
        <v>2212</v>
      </c>
      <c r="AD31" s="1465"/>
      <c r="AE31" s="1342"/>
      <c r="AF31" s="1288" t="s">
        <v>2213</v>
      </c>
      <c r="AG31" s="1465"/>
      <c r="AH31" s="1370"/>
      <c r="AI31" s="31"/>
      <c r="AJ31" s="1465"/>
      <c r="AK31" s="1344"/>
      <c r="AL31" s="1292" t="s">
        <v>2214</v>
      </c>
      <c r="AM31" s="1465"/>
      <c r="AN31" s="1345"/>
      <c r="AO31" s="1294" t="s">
        <v>2215</v>
      </c>
      <c r="AP31" s="1465"/>
      <c r="AQ31" s="1324"/>
      <c r="AR31" s="1325" t="s">
        <v>2216</v>
      </c>
      <c r="AS31" s="1465"/>
      <c r="AT31" s="1347"/>
      <c r="AU31" s="1298" t="s">
        <v>2217</v>
      </c>
      <c r="AV31" s="1465"/>
      <c r="AW31" s="1348"/>
      <c r="AX31" s="1300" t="s">
        <v>2218</v>
      </c>
      <c r="AY31" s="1465"/>
      <c r="AZ31" s="1370"/>
      <c r="BA31" s="31"/>
      <c r="BB31" s="1465"/>
      <c r="BC31" s="1370"/>
      <c r="BD31" s="31"/>
      <c r="BE31" s="1465"/>
      <c r="BF31" s="1370"/>
      <c r="BG31" s="31"/>
      <c r="BH31" s="1465"/>
      <c r="BI31" s="1370"/>
      <c r="BJ31" s="31"/>
      <c r="BK31" s="1465"/>
      <c r="BL31" s="1370"/>
      <c r="BM31" s="31"/>
      <c r="BN31" s="1465"/>
      <c r="BO31" s="1370"/>
      <c r="BP31" s="31"/>
      <c r="BQ31" s="1465"/>
      <c r="BR31" s="1370"/>
      <c r="BS31" s="31"/>
      <c r="BT31" s="1465"/>
      <c r="BU31" s="1370"/>
      <c r="BV31" s="31"/>
      <c r="BW31" s="1465"/>
      <c r="BX31" s="1370"/>
      <c r="BY31" s="31"/>
      <c r="BZ31" s="1465"/>
      <c r="CA31" s="1370"/>
      <c r="CB31" s="31"/>
      <c r="CC31" s="1465"/>
      <c r="CD31" s="1370"/>
      <c r="CE31" s="31"/>
      <c r="CF31" s="1465"/>
      <c r="CG31" s="1370"/>
      <c r="CH31" s="31"/>
      <c r="CI31" s="1465"/>
      <c r="CJ31" s="1370"/>
      <c r="CK31" s="31"/>
      <c r="CL31" s="1273"/>
    </row>
    <row r="32" ht="18.75" customHeight="1">
      <c r="A32" s="1238"/>
      <c r="B32" s="1238"/>
      <c r="C32" s="1370"/>
      <c r="D32" s="1370"/>
      <c r="E32" s="1370"/>
      <c r="F32" s="1370"/>
      <c r="G32" s="1370"/>
      <c r="H32" s="1370"/>
      <c r="I32" s="1370"/>
      <c r="J32" s="1370"/>
      <c r="K32" s="1370"/>
      <c r="L32" s="1370"/>
      <c r="M32" s="1370"/>
      <c r="N32" s="31"/>
      <c r="O32" s="1465"/>
      <c r="P32" s="1493"/>
      <c r="Q32" s="1494" t="s">
        <v>2219</v>
      </c>
      <c r="R32" s="1465"/>
      <c r="S32" s="1495"/>
      <c r="T32" s="1496" t="s">
        <v>2220</v>
      </c>
      <c r="U32" s="1465"/>
      <c r="V32" s="1370"/>
      <c r="W32" s="31"/>
      <c r="X32" s="1465"/>
      <c r="Y32" s="1312"/>
      <c r="Z32" s="1313" t="s">
        <v>2221</v>
      </c>
      <c r="AA32" s="1465"/>
      <c r="AB32" s="1314"/>
      <c r="AC32" s="1315" t="s">
        <v>2222</v>
      </c>
      <c r="AD32" s="1465"/>
      <c r="AE32" s="1316" t="str">
        <f>IMAGE("https://raw.githubusercontent.com/msikma/pokesprite/master/items/shard/blue.png",4,32,32)</f>
        <v/>
      </c>
      <c r="AF32" s="1317" t="s">
        <v>1755</v>
      </c>
      <c r="AG32" s="1465"/>
      <c r="AH32" s="1370"/>
      <c r="AI32" s="31"/>
      <c r="AJ32" s="1465"/>
      <c r="AK32" s="1320"/>
      <c r="AL32" s="1321" t="s">
        <v>2223</v>
      </c>
      <c r="AM32" s="1465"/>
      <c r="AN32" s="1322"/>
      <c r="AO32" s="1323" t="s">
        <v>2224</v>
      </c>
      <c r="AP32" s="1465"/>
      <c r="AQ32" s="1346"/>
      <c r="AR32" s="1296" t="s">
        <v>2225</v>
      </c>
      <c r="AS32" s="1465"/>
      <c r="AT32" s="1326"/>
      <c r="AU32" s="1327" t="s">
        <v>2226</v>
      </c>
      <c r="AV32" s="1465"/>
      <c r="AW32" s="1328"/>
      <c r="AX32" s="1329" t="s">
        <v>2227</v>
      </c>
      <c r="AY32" s="1465"/>
      <c r="AZ32" s="1370"/>
      <c r="BA32" s="31"/>
      <c r="BB32" s="1465"/>
      <c r="BC32" s="1370"/>
      <c r="BD32" s="31"/>
      <c r="BE32" s="1465"/>
      <c r="BF32" s="1370"/>
      <c r="BG32" s="31"/>
      <c r="BH32" s="1465"/>
      <c r="BI32" s="1370"/>
      <c r="BJ32" s="31"/>
      <c r="BK32" s="1465"/>
      <c r="BL32" s="1370"/>
      <c r="BM32" s="31"/>
      <c r="BN32" s="1465"/>
      <c r="BO32" s="1370"/>
      <c r="BP32" s="31"/>
      <c r="BQ32" s="1465"/>
      <c r="BR32" s="1370"/>
      <c r="BS32" s="31"/>
      <c r="BT32" s="1465"/>
      <c r="BU32" s="1370"/>
      <c r="BV32" s="31"/>
      <c r="BW32" s="1465"/>
      <c r="BX32" s="1370"/>
      <c r="BY32" s="31"/>
      <c r="BZ32" s="1465"/>
      <c r="CA32" s="1370"/>
      <c r="CB32" s="31"/>
      <c r="CC32" s="1465"/>
      <c r="CD32" s="1370"/>
      <c r="CE32" s="31"/>
      <c r="CF32" s="1465"/>
      <c r="CG32" s="1370"/>
      <c r="CH32" s="31"/>
      <c r="CI32" s="1465"/>
      <c r="CJ32" s="1370"/>
      <c r="CK32" s="31"/>
      <c r="CL32" s="1273"/>
    </row>
    <row r="33" ht="18.75" customHeight="1">
      <c r="A33" s="1238"/>
      <c r="B33" s="1238"/>
      <c r="C33" s="1370"/>
      <c r="D33" s="1370"/>
      <c r="E33" s="1370"/>
      <c r="F33" s="1370"/>
      <c r="G33" s="1370"/>
      <c r="H33" s="1370"/>
      <c r="I33" s="1370"/>
      <c r="J33" s="1370"/>
      <c r="K33" s="1370"/>
      <c r="L33" s="1370"/>
      <c r="M33" s="1370"/>
      <c r="N33" s="31"/>
      <c r="O33" s="1465"/>
      <c r="P33" s="1497"/>
      <c r="Q33" s="1498" t="s">
        <v>2228</v>
      </c>
      <c r="R33" s="1465"/>
      <c r="S33" s="1336"/>
      <c r="T33" s="1337" t="s">
        <v>2229</v>
      </c>
      <c r="U33" s="1465"/>
      <c r="V33" s="1370"/>
      <c r="W33" s="31"/>
      <c r="X33" s="1465"/>
      <c r="Y33" s="1340"/>
      <c r="Z33" s="1284" t="s">
        <v>2230</v>
      </c>
      <c r="AA33" s="1465"/>
      <c r="AB33" s="1341"/>
      <c r="AC33" s="1286" t="s">
        <v>2231</v>
      </c>
      <c r="AD33" s="1465"/>
      <c r="AE33" s="1342" t="str">
        <f>IMAGE("https://raw.githubusercontent.com/msikma/pokesprite/master/items/shard/green.png",4,32,32)</f>
        <v/>
      </c>
      <c r="AF33" s="1288" t="s">
        <v>1779</v>
      </c>
      <c r="AG33" s="1465"/>
      <c r="AH33" s="1370"/>
      <c r="AI33" s="31"/>
      <c r="AJ33" s="1465"/>
      <c r="AK33" s="1344"/>
      <c r="AL33" s="1292" t="s">
        <v>2232</v>
      </c>
      <c r="AM33" s="1465"/>
      <c r="AN33" s="1345"/>
      <c r="AO33" s="1294" t="s">
        <v>2233</v>
      </c>
      <c r="AP33" s="1465"/>
      <c r="AQ33" s="1324"/>
      <c r="AR33" s="1325" t="s">
        <v>2234</v>
      </c>
      <c r="AS33" s="1465"/>
      <c r="AT33" s="1347"/>
      <c r="AU33" s="1298" t="s">
        <v>2235</v>
      </c>
      <c r="AV33" s="1465"/>
      <c r="AW33" s="1348"/>
      <c r="AX33" s="1300" t="s">
        <v>2236</v>
      </c>
      <c r="AY33" s="1465"/>
      <c r="AZ33" s="1370"/>
      <c r="BA33" s="31"/>
      <c r="BB33" s="1465"/>
      <c r="BC33" s="1370"/>
      <c r="BD33" s="31"/>
      <c r="BE33" s="1465"/>
      <c r="BF33" s="1370"/>
      <c r="BG33" s="31"/>
      <c r="BH33" s="1465"/>
      <c r="BI33" s="1370"/>
      <c r="BJ33" s="31"/>
      <c r="BK33" s="1465"/>
      <c r="BL33" s="1370"/>
      <c r="BM33" s="31"/>
      <c r="BN33" s="1465"/>
      <c r="BO33" s="1370"/>
      <c r="BP33" s="31"/>
      <c r="BQ33" s="1465"/>
      <c r="BR33" s="1370"/>
      <c r="BS33" s="31"/>
      <c r="BT33" s="1465"/>
      <c r="BU33" s="1370"/>
      <c r="BV33" s="31"/>
      <c r="BW33" s="1465"/>
      <c r="BX33" s="1370"/>
      <c r="BY33" s="31"/>
      <c r="BZ33" s="1465"/>
      <c r="CA33" s="1370"/>
      <c r="CB33" s="31"/>
      <c r="CC33" s="1465"/>
      <c r="CD33" s="1370"/>
      <c r="CE33" s="31"/>
      <c r="CF33" s="1465"/>
      <c r="CG33" s="1370"/>
      <c r="CH33" s="31"/>
      <c r="CI33" s="1465"/>
      <c r="CJ33" s="1370"/>
      <c r="CK33" s="31"/>
      <c r="CL33" s="1273"/>
    </row>
    <row r="34" ht="18.75" customHeight="1">
      <c r="A34" s="1238"/>
      <c r="B34" s="1238"/>
      <c r="C34" s="1370"/>
      <c r="D34" s="1370"/>
      <c r="E34" s="1370"/>
      <c r="F34" s="1370"/>
      <c r="G34" s="1370"/>
      <c r="H34" s="1370"/>
      <c r="I34" s="1370"/>
      <c r="J34" s="1370"/>
      <c r="K34" s="1370"/>
      <c r="L34" s="1370"/>
      <c r="M34" s="1370"/>
      <c r="N34" s="31"/>
      <c r="O34" s="1465"/>
      <c r="P34" s="1306"/>
      <c r="Q34" s="1307" t="s">
        <v>2237</v>
      </c>
      <c r="R34" s="1465"/>
      <c r="S34" s="1379"/>
      <c r="T34" s="1380" t="s">
        <v>2238</v>
      </c>
      <c r="U34" s="1465"/>
      <c r="V34" s="1370"/>
      <c r="W34" s="31"/>
      <c r="X34" s="1465"/>
      <c r="Y34" s="1499"/>
      <c r="Z34" s="1313" t="s">
        <v>2239</v>
      </c>
      <c r="AA34" s="1465"/>
      <c r="AB34" s="1314"/>
      <c r="AC34" s="1315" t="s">
        <v>2240</v>
      </c>
      <c r="AD34" s="1465"/>
      <c r="AE34" s="1316" t="str">
        <f>IMAGE("https://raw.githubusercontent.com/msikma/pokesprite/master/items/shard/red.png",4,32,32)</f>
        <v/>
      </c>
      <c r="AF34" s="1317" t="s">
        <v>1797</v>
      </c>
      <c r="AG34" s="1465"/>
      <c r="AH34" s="1370"/>
      <c r="AI34" s="31"/>
      <c r="AJ34" s="1465"/>
      <c r="AK34" s="1320"/>
      <c r="AL34" s="1321" t="s">
        <v>2241</v>
      </c>
      <c r="AM34" s="1465"/>
      <c r="AN34" s="1322"/>
      <c r="AO34" s="1323" t="s">
        <v>2242</v>
      </c>
      <c r="AP34" s="1465"/>
      <c r="AQ34" s="1346"/>
      <c r="AR34" s="1296" t="s">
        <v>2243</v>
      </c>
      <c r="AS34" s="1465"/>
      <c r="AT34" s="1326"/>
      <c r="AU34" s="1327" t="s">
        <v>2244</v>
      </c>
      <c r="AV34" s="1465"/>
      <c r="AW34" s="1328"/>
      <c r="AX34" s="1329" t="s">
        <v>2245</v>
      </c>
      <c r="AY34" s="1465"/>
      <c r="AZ34" s="1370"/>
      <c r="BA34" s="31"/>
      <c r="BB34" s="1465"/>
      <c r="BC34" s="1370"/>
      <c r="BD34" s="31"/>
      <c r="BE34" s="1465"/>
      <c r="BF34" s="1370"/>
      <c r="BG34" s="31"/>
      <c r="BH34" s="1465"/>
      <c r="BI34" s="1370"/>
      <c r="BJ34" s="31"/>
      <c r="BK34" s="1465"/>
      <c r="BL34" s="1370"/>
      <c r="BM34" s="31"/>
      <c r="BN34" s="1465"/>
      <c r="BO34" s="1370"/>
      <c r="BP34" s="31"/>
      <c r="BQ34" s="1465"/>
      <c r="BR34" s="1370"/>
      <c r="BS34" s="31"/>
      <c r="BT34" s="1465"/>
      <c r="BU34" s="1370"/>
      <c r="BV34" s="31"/>
      <c r="BW34" s="1465"/>
      <c r="BX34" s="1370"/>
      <c r="BY34" s="31"/>
      <c r="BZ34" s="1465"/>
      <c r="CA34" s="1370"/>
      <c r="CB34" s="31"/>
      <c r="CC34" s="1465"/>
      <c r="CD34" s="1370"/>
      <c r="CE34" s="31"/>
      <c r="CF34" s="1465"/>
      <c r="CG34" s="1370"/>
      <c r="CH34" s="31"/>
      <c r="CI34" s="1465"/>
      <c r="CJ34" s="1370"/>
      <c r="CK34" s="31"/>
      <c r="CL34" s="1273"/>
    </row>
    <row r="35" ht="18.75" customHeight="1">
      <c r="A35" s="1238"/>
      <c r="B35" s="1238"/>
      <c r="C35" s="1370"/>
      <c r="D35" s="1370"/>
      <c r="E35" s="1370"/>
      <c r="F35" s="1370"/>
      <c r="G35" s="1370"/>
      <c r="H35" s="1370"/>
      <c r="I35" s="1370"/>
      <c r="J35" s="1370"/>
      <c r="K35" s="1370"/>
      <c r="L35" s="1370"/>
      <c r="M35" s="1370"/>
      <c r="N35" s="31"/>
      <c r="O35" s="1465"/>
      <c r="P35" s="1456"/>
      <c r="Q35" s="1457" t="s">
        <v>2246</v>
      </c>
      <c r="R35" s="1465"/>
      <c r="S35" s="1486"/>
      <c r="T35" s="1487" t="s">
        <v>2247</v>
      </c>
      <c r="U35" s="1465"/>
      <c r="V35" s="1370"/>
      <c r="W35" s="31"/>
      <c r="X35" s="1465"/>
      <c r="Y35" s="1500"/>
      <c r="Z35" s="1501" t="s">
        <v>2248</v>
      </c>
      <c r="AA35" s="1465"/>
      <c r="AB35" s="1341"/>
      <c r="AC35" s="1286" t="s">
        <v>2249</v>
      </c>
      <c r="AD35" s="1465"/>
      <c r="AE35" s="1502" t="str">
        <f>IMAGE("https://raw.githubusercontent.com/msikma/pokesprite/master/items/shard/yellow.png",4,32,32)</f>
        <v/>
      </c>
      <c r="AF35" s="1503" t="s">
        <v>1849</v>
      </c>
      <c r="AG35" s="1465"/>
      <c r="AH35" s="1370"/>
      <c r="AI35" s="31"/>
      <c r="AJ35" s="1465"/>
      <c r="AK35" s="1344"/>
      <c r="AL35" s="1292" t="s">
        <v>2250</v>
      </c>
      <c r="AM35" s="1465"/>
      <c r="AN35" s="1345"/>
      <c r="AO35" s="1294" t="s">
        <v>2251</v>
      </c>
      <c r="AP35" s="1465"/>
      <c r="AQ35" s="1324"/>
      <c r="AR35" s="1325" t="s">
        <v>2252</v>
      </c>
      <c r="AS35" s="1465"/>
      <c r="AT35" s="1347"/>
      <c r="AU35" s="1298" t="s">
        <v>2253</v>
      </c>
      <c r="AV35" s="1465"/>
      <c r="AW35" s="1348"/>
      <c r="AX35" s="1300" t="s">
        <v>2254</v>
      </c>
      <c r="AY35" s="1465"/>
      <c r="AZ35" s="1370"/>
      <c r="BA35" s="31"/>
      <c r="BB35" s="1465"/>
      <c r="BC35" s="1370"/>
      <c r="BD35" s="31"/>
      <c r="BE35" s="1465"/>
      <c r="BF35" s="1370"/>
      <c r="BG35" s="31"/>
      <c r="BH35" s="1465"/>
      <c r="BI35" s="1370"/>
      <c r="BJ35" s="31"/>
      <c r="BK35" s="1465"/>
      <c r="BL35" s="1370"/>
      <c r="BM35" s="31"/>
      <c r="BN35" s="1465"/>
      <c r="BO35" s="1370"/>
      <c r="BP35" s="31"/>
      <c r="BQ35" s="1465"/>
      <c r="BR35" s="1370"/>
      <c r="BS35" s="31"/>
      <c r="BT35" s="1465"/>
      <c r="BU35" s="1370"/>
      <c r="BV35" s="31"/>
      <c r="BW35" s="1465"/>
      <c r="BX35" s="1370"/>
      <c r="BY35" s="31"/>
      <c r="BZ35" s="1465"/>
      <c r="CA35" s="1370"/>
      <c r="CB35" s="31"/>
      <c r="CC35" s="1465"/>
      <c r="CD35" s="1370"/>
      <c r="CE35" s="31"/>
      <c r="CF35" s="1465"/>
      <c r="CG35" s="1370"/>
      <c r="CH35" s="31"/>
      <c r="CI35" s="1465"/>
      <c r="CJ35" s="1370"/>
      <c r="CK35" s="1371"/>
      <c r="CL35" s="1273"/>
    </row>
    <row r="36" ht="18.75" customHeight="1">
      <c r="A36" s="1238"/>
      <c r="B36" s="1238"/>
      <c r="C36" s="1370"/>
      <c r="D36" s="1370"/>
      <c r="E36" s="1370"/>
      <c r="F36" s="1370"/>
      <c r="G36" s="1370"/>
      <c r="H36" s="1370"/>
      <c r="I36" s="1370"/>
      <c r="J36" s="1370"/>
      <c r="K36" s="1370"/>
      <c r="L36" s="1370"/>
      <c r="M36" s="1370"/>
      <c r="N36" s="31"/>
      <c r="O36" s="1465"/>
      <c r="P36" s="1456"/>
      <c r="Q36" s="1457" t="s">
        <v>2255</v>
      </c>
      <c r="R36" s="1465"/>
      <c r="S36" s="1504"/>
      <c r="T36" s="1455" t="s">
        <v>2256</v>
      </c>
      <c r="U36" s="1465"/>
      <c r="V36" s="1370"/>
      <c r="W36" s="31"/>
      <c r="X36" s="1465"/>
      <c r="Y36" s="1499"/>
      <c r="Z36" s="1313" t="s">
        <v>2257</v>
      </c>
      <c r="AA36" s="1465"/>
      <c r="AB36" s="1314"/>
      <c r="AC36" s="1315" t="s">
        <v>2258</v>
      </c>
      <c r="AD36" s="1465"/>
      <c r="AE36" s="1370"/>
      <c r="AF36" s="1371"/>
      <c r="AG36" s="1465"/>
      <c r="AH36" s="1370"/>
      <c r="AI36" s="31"/>
      <c r="AJ36" s="1465"/>
      <c r="AK36" s="1320"/>
      <c r="AL36" s="1321" t="s">
        <v>2259</v>
      </c>
      <c r="AM36" s="1465"/>
      <c r="AN36" s="1322"/>
      <c r="AO36" s="1323" t="s">
        <v>2260</v>
      </c>
      <c r="AP36" s="1465"/>
      <c r="AQ36" s="1346"/>
      <c r="AR36" s="1296" t="s">
        <v>2261</v>
      </c>
      <c r="AS36" s="1465"/>
      <c r="AT36" s="1326"/>
      <c r="AU36" s="1327" t="s">
        <v>2262</v>
      </c>
      <c r="AV36" s="1465"/>
      <c r="AW36" s="1328"/>
      <c r="AX36" s="1329" t="s">
        <v>2263</v>
      </c>
      <c r="AY36" s="1465"/>
      <c r="AZ36" s="1370"/>
      <c r="BA36" s="31"/>
      <c r="BB36" s="1465"/>
      <c r="BC36" s="1370"/>
      <c r="BD36" s="31"/>
      <c r="BE36" s="1465"/>
      <c r="BF36" s="1370"/>
      <c r="BG36" s="31"/>
      <c r="BH36" s="1465"/>
      <c r="BI36" s="1370"/>
      <c r="BJ36" s="31"/>
      <c r="BK36" s="1465"/>
      <c r="BL36" s="1370"/>
      <c r="BM36" s="31"/>
      <c r="BN36" s="1465"/>
      <c r="BO36" s="1370"/>
      <c r="BP36" s="31"/>
      <c r="BQ36" s="1465"/>
      <c r="BR36" s="1370"/>
      <c r="BS36" s="31"/>
      <c r="BT36" s="1465"/>
      <c r="BU36" s="1370"/>
      <c r="BV36" s="31"/>
      <c r="BW36" s="1465"/>
      <c r="BX36" s="1370"/>
      <c r="BY36" s="31"/>
      <c r="BZ36" s="1465"/>
      <c r="CA36" s="1370"/>
      <c r="CB36" s="31"/>
      <c r="CC36" s="1465"/>
      <c r="CD36" s="1370"/>
      <c r="CE36" s="31"/>
      <c r="CF36" s="1465"/>
      <c r="CG36" s="1370"/>
      <c r="CH36" s="31"/>
      <c r="CI36" s="1465"/>
      <c r="CJ36" s="1370"/>
      <c r="CK36" s="31"/>
      <c r="CL36" s="1273"/>
    </row>
    <row r="37" ht="18.75" customHeight="1">
      <c r="A37" s="1238"/>
      <c r="B37" s="1238"/>
      <c r="C37" s="1370"/>
      <c r="D37" s="1370"/>
      <c r="E37" s="1370"/>
      <c r="F37" s="1370"/>
      <c r="G37" s="1370"/>
      <c r="H37" s="1370"/>
      <c r="I37" s="1370"/>
      <c r="J37" s="1370"/>
      <c r="K37" s="1370"/>
      <c r="L37" s="1370"/>
      <c r="M37" s="1370"/>
      <c r="N37" s="31"/>
      <c r="O37" s="1465"/>
      <c r="P37" s="1505"/>
      <c r="Q37" s="1506" t="s">
        <v>2264</v>
      </c>
      <c r="R37" s="1465"/>
      <c r="S37" s="1370"/>
      <c r="T37" s="1371"/>
      <c r="U37" s="1465"/>
      <c r="V37" s="1370"/>
      <c r="W37" s="31"/>
      <c r="X37" s="1465"/>
      <c r="Y37" s="1507"/>
      <c r="Z37" s="1284" t="s">
        <v>2265</v>
      </c>
      <c r="AA37" s="1465"/>
      <c r="AB37" s="1341"/>
      <c r="AC37" s="1286" t="s">
        <v>2266</v>
      </c>
      <c r="AD37" s="1465"/>
      <c r="AE37" s="1370"/>
      <c r="AF37" s="1371"/>
      <c r="AG37" s="1465"/>
      <c r="AH37" s="1370"/>
      <c r="AI37" s="31"/>
      <c r="AJ37" s="1465"/>
      <c r="AK37" s="1344"/>
      <c r="AL37" s="1292" t="s">
        <v>2267</v>
      </c>
      <c r="AM37" s="1465"/>
      <c r="AN37" s="1345"/>
      <c r="AO37" s="1294" t="s">
        <v>2268</v>
      </c>
      <c r="AP37" s="1465"/>
      <c r="AQ37" s="1324"/>
      <c r="AR37" s="1325" t="s">
        <v>2269</v>
      </c>
      <c r="AS37" s="1465"/>
      <c r="AT37" s="1347"/>
      <c r="AU37" s="1298" t="s">
        <v>2270</v>
      </c>
      <c r="AV37" s="1465"/>
      <c r="AW37" s="1508"/>
      <c r="AX37" s="1509" t="s">
        <v>2271</v>
      </c>
      <c r="AY37" s="1465"/>
      <c r="AZ37" s="1370"/>
      <c r="BA37" s="31"/>
      <c r="BB37" s="1465"/>
      <c r="BC37" s="1370"/>
      <c r="BD37" s="31"/>
      <c r="BE37" s="1465"/>
      <c r="BF37" s="1370"/>
      <c r="BG37" s="31"/>
      <c r="BH37" s="1465"/>
      <c r="BI37" s="1370"/>
      <c r="BJ37" s="31"/>
      <c r="BK37" s="1465"/>
      <c r="BL37" s="1370"/>
      <c r="BM37" s="31"/>
      <c r="BN37" s="1465"/>
      <c r="BO37" s="1370"/>
      <c r="BP37" s="31"/>
      <c r="BQ37" s="1465"/>
      <c r="BR37" s="1370"/>
      <c r="BS37" s="31"/>
      <c r="BT37" s="1465"/>
      <c r="BU37" s="1370"/>
      <c r="BV37" s="31"/>
      <c r="BW37" s="1465"/>
      <c r="BX37" s="1370"/>
      <c r="BY37" s="31"/>
      <c r="BZ37" s="1465"/>
      <c r="CA37" s="1370"/>
      <c r="CB37" s="31"/>
      <c r="CC37" s="1465"/>
      <c r="CD37" s="1370"/>
      <c r="CE37" s="31"/>
      <c r="CF37" s="1465"/>
      <c r="CG37" s="1370"/>
      <c r="CH37" s="31"/>
      <c r="CI37" s="1465"/>
      <c r="CJ37" s="1370"/>
      <c r="CK37" s="31"/>
      <c r="CL37" s="1273"/>
    </row>
    <row r="38" ht="18.75" customHeight="1">
      <c r="A38" s="1238"/>
      <c r="B38" s="1238"/>
      <c r="C38" s="1370"/>
      <c r="D38" s="1370"/>
      <c r="E38" s="1370"/>
      <c r="F38" s="1370"/>
      <c r="G38" s="1370"/>
      <c r="H38" s="1370"/>
      <c r="I38" s="1370"/>
      <c r="J38" s="1370"/>
      <c r="K38" s="1370"/>
      <c r="L38" s="1370"/>
      <c r="M38" s="1370"/>
      <c r="N38" s="31"/>
      <c r="O38" s="1465"/>
      <c r="P38" s="1510"/>
      <c r="Q38" s="1511" t="s">
        <v>2272</v>
      </c>
      <c r="R38" s="1465"/>
      <c r="S38" s="1370"/>
      <c r="T38" s="31"/>
      <c r="U38" s="1465"/>
      <c r="V38" s="1370"/>
      <c r="W38" s="31"/>
      <c r="X38" s="1465"/>
      <c r="Y38" s="1499"/>
      <c r="Z38" s="1313" t="s">
        <v>2273</v>
      </c>
      <c r="AA38" s="1465"/>
      <c r="AB38" s="1314"/>
      <c r="AC38" s="1315" t="s">
        <v>2274</v>
      </c>
      <c r="AD38" s="1465"/>
      <c r="AE38" s="1370"/>
      <c r="AF38" s="1371"/>
      <c r="AG38" s="1465"/>
      <c r="AH38" s="1370"/>
      <c r="AI38" s="31"/>
      <c r="AJ38" s="1465"/>
      <c r="AK38" s="1320"/>
      <c r="AL38" s="1321" t="s">
        <v>2275</v>
      </c>
      <c r="AM38" s="1465"/>
      <c r="AN38" s="1322"/>
      <c r="AO38" s="1323" t="s">
        <v>2276</v>
      </c>
      <c r="AP38" s="1465"/>
      <c r="AQ38" s="1346"/>
      <c r="AR38" s="1296" t="s">
        <v>2277</v>
      </c>
      <c r="AS38" s="1465"/>
      <c r="AT38" s="1326"/>
      <c r="AU38" s="1327" t="s">
        <v>2278</v>
      </c>
      <c r="AV38" s="1465"/>
      <c r="AW38" s="1370"/>
      <c r="AX38" s="1371"/>
      <c r="AY38" s="1465"/>
      <c r="AZ38" s="1370"/>
      <c r="BA38" s="31"/>
      <c r="BB38" s="1465"/>
      <c r="BC38" s="1370"/>
      <c r="BD38" s="31"/>
      <c r="BE38" s="1465"/>
      <c r="BF38" s="1370"/>
      <c r="BG38" s="31"/>
      <c r="BH38" s="1465"/>
      <c r="BI38" s="1370"/>
      <c r="BJ38" s="31"/>
      <c r="BK38" s="1465"/>
      <c r="BL38" s="1370"/>
      <c r="BM38" s="31"/>
      <c r="BN38" s="1465"/>
      <c r="BO38" s="1370"/>
      <c r="BP38" s="31"/>
      <c r="BQ38" s="1465"/>
      <c r="BR38" s="1370"/>
      <c r="BS38" s="31"/>
      <c r="BT38" s="1465"/>
      <c r="BU38" s="1370"/>
      <c r="BV38" s="31"/>
      <c r="BW38" s="1465"/>
      <c r="BX38" s="1370"/>
      <c r="BY38" s="31"/>
      <c r="BZ38" s="1465"/>
      <c r="CA38" s="1370"/>
      <c r="CB38" s="31"/>
      <c r="CC38" s="1465"/>
      <c r="CD38" s="1370"/>
      <c r="CE38" s="31"/>
      <c r="CF38" s="1465"/>
      <c r="CG38" s="1370"/>
      <c r="CH38" s="31"/>
      <c r="CI38" s="1465"/>
      <c r="CJ38" s="1370"/>
      <c r="CK38" s="31"/>
      <c r="CL38" s="1273"/>
    </row>
    <row r="39" ht="18.75" customHeight="1">
      <c r="A39" s="1238"/>
      <c r="B39" s="1238"/>
      <c r="C39" s="1370"/>
      <c r="D39" s="1370"/>
      <c r="E39" s="1370"/>
      <c r="F39" s="1370"/>
      <c r="G39" s="1370"/>
      <c r="H39" s="1370"/>
      <c r="I39" s="1370"/>
      <c r="J39" s="1370"/>
      <c r="K39" s="1370"/>
      <c r="L39" s="1370"/>
      <c r="M39" s="1370"/>
      <c r="N39" s="31"/>
      <c r="O39" s="1465"/>
      <c r="P39" s="1512"/>
      <c r="Q39" s="1513" t="s">
        <v>2279</v>
      </c>
      <c r="R39" s="1465"/>
      <c r="S39" s="1370"/>
      <c r="T39" s="31"/>
      <c r="U39" s="1465"/>
      <c r="V39" s="1370"/>
      <c r="W39" s="31"/>
      <c r="X39" s="1465"/>
      <c r="Y39" s="1374"/>
      <c r="Z39" s="1375" t="s">
        <v>2280</v>
      </c>
      <c r="AA39" s="1465"/>
      <c r="AB39" s="1341"/>
      <c r="AC39" s="1286" t="s">
        <v>2281</v>
      </c>
      <c r="AD39" s="1465"/>
      <c r="AE39" s="1370"/>
      <c r="AF39" s="1371"/>
      <c r="AG39" s="1465"/>
      <c r="AH39" s="1370"/>
      <c r="AI39" s="31"/>
      <c r="AJ39" s="1465"/>
      <c r="AK39" s="1344"/>
      <c r="AL39" s="1292" t="s">
        <v>2282</v>
      </c>
      <c r="AM39" s="1465"/>
      <c r="AN39" s="1345"/>
      <c r="AO39" s="1294" t="s">
        <v>2283</v>
      </c>
      <c r="AP39" s="1465"/>
      <c r="AQ39" s="1324"/>
      <c r="AR39" s="1325" t="s">
        <v>2284</v>
      </c>
      <c r="AS39" s="1465"/>
      <c r="AT39" s="1347"/>
      <c r="AU39" s="1298" t="s">
        <v>2285</v>
      </c>
      <c r="AV39" s="1465"/>
      <c r="AW39" s="1370"/>
      <c r="AX39" s="31"/>
      <c r="AY39" s="1465"/>
      <c r="AZ39" s="1370"/>
      <c r="BA39" s="31"/>
      <c r="BB39" s="1465"/>
      <c r="BC39" s="1370"/>
      <c r="BD39" s="31"/>
      <c r="BE39" s="1465"/>
      <c r="BF39" s="1370"/>
      <c r="BG39" s="31"/>
      <c r="BH39" s="1465"/>
      <c r="BI39" s="1370"/>
      <c r="BJ39" s="31"/>
      <c r="BK39" s="1465"/>
      <c r="BL39" s="1370"/>
      <c r="BM39" s="31"/>
      <c r="BN39" s="1465"/>
      <c r="BO39" s="1370"/>
      <c r="BP39" s="31"/>
      <c r="BQ39" s="1465"/>
      <c r="BR39" s="1370"/>
      <c r="BS39" s="31"/>
      <c r="BT39" s="1465"/>
      <c r="BU39" s="1370"/>
      <c r="BV39" s="31"/>
      <c r="BW39" s="1465"/>
      <c r="BX39" s="1370"/>
      <c r="BY39" s="31"/>
      <c r="BZ39" s="1465"/>
      <c r="CA39" s="1370"/>
      <c r="CB39" s="31"/>
      <c r="CC39" s="1465"/>
      <c r="CD39" s="1370"/>
      <c r="CE39" s="31"/>
      <c r="CF39" s="1465"/>
      <c r="CG39" s="1370"/>
      <c r="CH39" s="31"/>
      <c r="CI39" s="1465"/>
      <c r="CJ39" s="1370"/>
      <c r="CK39" s="31"/>
      <c r="CL39" s="1273"/>
    </row>
    <row r="40" ht="18.75" customHeight="1">
      <c r="A40" s="1238"/>
      <c r="B40" s="1238"/>
      <c r="C40" s="1370"/>
      <c r="D40" s="1370"/>
      <c r="E40" s="1370"/>
      <c r="F40" s="1370"/>
      <c r="G40" s="1370"/>
      <c r="H40" s="1370"/>
      <c r="I40" s="1370"/>
      <c r="J40" s="1370"/>
      <c r="K40" s="1370"/>
      <c r="L40" s="1370"/>
      <c r="M40" s="1370"/>
      <c r="N40" s="31"/>
      <c r="O40" s="1465"/>
      <c r="P40" s="1514"/>
      <c r="Q40" s="1515" t="s">
        <v>2286</v>
      </c>
      <c r="R40" s="1465"/>
      <c r="S40" s="1370"/>
      <c r="T40" s="31"/>
      <c r="U40" s="1465"/>
      <c r="V40" s="1370"/>
      <c r="W40" s="31"/>
      <c r="X40" s="1465"/>
      <c r="Y40" s="1370"/>
      <c r="Z40" s="1371"/>
      <c r="AA40" s="1465"/>
      <c r="AB40" s="1314"/>
      <c r="AC40" s="1315" t="s">
        <v>2287</v>
      </c>
      <c r="AD40" s="1465"/>
      <c r="AE40" s="1370"/>
      <c r="AF40" s="1371"/>
      <c r="AG40" s="1465"/>
      <c r="AH40" s="1370"/>
      <c r="AI40" s="31"/>
      <c r="AJ40" s="1465"/>
      <c r="AK40" s="1320"/>
      <c r="AL40" s="1321" t="s">
        <v>2288</v>
      </c>
      <c r="AM40" s="1465"/>
      <c r="AN40" s="1322"/>
      <c r="AO40" s="1323" t="s">
        <v>2289</v>
      </c>
      <c r="AP40" s="1465"/>
      <c r="AQ40" s="1346"/>
      <c r="AR40" s="1296" t="s">
        <v>2290</v>
      </c>
      <c r="AS40" s="1465"/>
      <c r="AT40" s="1326"/>
      <c r="AU40" s="1327" t="s">
        <v>2291</v>
      </c>
      <c r="AV40" s="1465"/>
      <c r="AW40" s="1370"/>
      <c r="AX40" s="31"/>
      <c r="AY40" s="1465"/>
      <c r="AZ40" s="1370"/>
      <c r="BA40" s="31"/>
      <c r="BB40" s="1465"/>
      <c r="BC40" s="1370"/>
      <c r="BD40" s="31"/>
      <c r="BE40" s="1465"/>
      <c r="BF40" s="1370"/>
      <c r="BG40" s="31"/>
      <c r="BH40" s="1465"/>
      <c r="BI40" s="1370"/>
      <c r="BJ40" s="31"/>
      <c r="BK40" s="1465"/>
      <c r="BL40" s="1370"/>
      <c r="BM40" s="31"/>
      <c r="BN40" s="1465"/>
      <c r="BO40" s="1370"/>
      <c r="BP40" s="31"/>
      <c r="BQ40" s="1465"/>
      <c r="BR40" s="1370"/>
      <c r="BS40" s="31"/>
      <c r="BT40" s="1465"/>
      <c r="BU40" s="1370"/>
      <c r="BV40" s="31"/>
      <c r="BW40" s="1465"/>
      <c r="BX40" s="1370"/>
      <c r="BY40" s="31"/>
      <c r="BZ40" s="1465"/>
      <c r="CA40" s="1370"/>
      <c r="CB40" s="31"/>
      <c r="CC40" s="1465"/>
      <c r="CD40" s="1370"/>
      <c r="CE40" s="31"/>
      <c r="CF40" s="1465"/>
      <c r="CG40" s="1370"/>
      <c r="CH40" s="31"/>
      <c r="CI40" s="1465"/>
      <c r="CJ40" s="1370"/>
      <c r="CK40" s="31"/>
      <c r="CL40" s="1273"/>
    </row>
    <row r="41" ht="18.75" customHeight="1">
      <c r="A41" s="1238"/>
      <c r="B41" s="1238"/>
      <c r="C41" s="1370"/>
      <c r="D41" s="1370"/>
      <c r="E41" s="1370"/>
      <c r="F41" s="1370"/>
      <c r="G41" s="1370"/>
      <c r="H41" s="1370"/>
      <c r="I41" s="1370"/>
      <c r="J41" s="1370"/>
      <c r="K41" s="1370"/>
      <c r="L41" s="1370"/>
      <c r="M41" s="1370"/>
      <c r="N41" s="31"/>
      <c r="O41" s="1465"/>
      <c r="P41" s="1516"/>
      <c r="Q41" s="1517" t="s">
        <v>2292</v>
      </c>
      <c r="R41" s="1465"/>
      <c r="S41" s="1370"/>
      <c r="T41" s="31"/>
      <c r="U41" s="1465"/>
      <c r="V41" s="1370"/>
      <c r="W41" s="31"/>
      <c r="X41" s="1465"/>
      <c r="Y41" s="1370"/>
      <c r="Z41" s="31"/>
      <c r="AA41" s="1465"/>
      <c r="AB41" s="1341"/>
      <c r="AC41" s="1286" t="s">
        <v>2293</v>
      </c>
      <c r="AD41" s="1465"/>
      <c r="AE41" s="1370"/>
      <c r="AF41" s="1371"/>
      <c r="AG41" s="1465"/>
      <c r="AH41" s="1370"/>
      <c r="AI41" s="31"/>
      <c r="AJ41" s="1465"/>
      <c r="AK41" s="1518"/>
      <c r="AL41" s="1519" t="s">
        <v>2294</v>
      </c>
      <c r="AM41" s="1465"/>
      <c r="AN41" s="1345"/>
      <c r="AO41" s="1294" t="s">
        <v>2295</v>
      </c>
      <c r="AP41" s="1465"/>
      <c r="AQ41" s="1324"/>
      <c r="AR41" s="1325" t="s">
        <v>2296</v>
      </c>
      <c r="AS41" s="1465"/>
      <c r="AT41" s="1347"/>
      <c r="AU41" s="1298" t="s">
        <v>2297</v>
      </c>
      <c r="AV41" s="1465"/>
      <c r="AW41" s="1370"/>
      <c r="AX41" s="31"/>
      <c r="AY41" s="1465"/>
      <c r="AZ41" s="1370"/>
      <c r="BA41" s="31"/>
      <c r="BB41" s="1465"/>
      <c r="BC41" s="1370"/>
      <c r="BD41" s="31"/>
      <c r="BE41" s="1465"/>
      <c r="BF41" s="1370"/>
      <c r="BG41" s="31"/>
      <c r="BH41" s="1465"/>
      <c r="BI41" s="1370"/>
      <c r="BJ41" s="31"/>
      <c r="BK41" s="1465"/>
      <c r="BL41" s="1370"/>
      <c r="BM41" s="31"/>
      <c r="BN41" s="1465"/>
      <c r="BO41" s="1370"/>
      <c r="BP41" s="31"/>
      <c r="BQ41" s="1465"/>
      <c r="BR41" s="1370"/>
      <c r="BS41" s="31"/>
      <c r="BT41" s="1465"/>
      <c r="BU41" s="1370"/>
      <c r="BV41" s="31"/>
      <c r="BW41" s="1465"/>
      <c r="BX41" s="1370"/>
      <c r="BY41" s="31"/>
      <c r="BZ41" s="1465"/>
      <c r="CA41" s="1370"/>
      <c r="CB41" s="31"/>
      <c r="CC41" s="1465"/>
      <c r="CD41" s="1370"/>
      <c r="CE41" s="31"/>
      <c r="CF41" s="1465"/>
      <c r="CG41" s="1370"/>
      <c r="CH41" s="31"/>
      <c r="CI41" s="1465"/>
      <c r="CJ41" s="1370"/>
      <c r="CK41" s="31"/>
      <c r="CL41" s="1273"/>
    </row>
    <row r="42" ht="18.75" customHeight="1">
      <c r="A42" s="1238"/>
      <c r="B42" s="1238"/>
      <c r="C42" s="1370"/>
      <c r="D42" s="1370"/>
      <c r="E42" s="1370"/>
      <c r="F42" s="1370"/>
      <c r="G42" s="1370"/>
      <c r="H42" s="1370"/>
      <c r="I42" s="1370"/>
      <c r="J42" s="1370"/>
      <c r="K42" s="1370"/>
      <c r="L42" s="1370"/>
      <c r="M42" s="1370"/>
      <c r="N42" s="31"/>
      <c r="O42" s="1465"/>
      <c r="P42" s="1520"/>
      <c r="Q42" s="1521" t="s">
        <v>2298</v>
      </c>
      <c r="R42" s="1465"/>
      <c r="S42" s="1370"/>
      <c r="T42" s="31"/>
      <c r="U42" s="1465"/>
      <c r="V42" s="1370"/>
      <c r="W42" s="31"/>
      <c r="X42" s="1465"/>
      <c r="Y42" s="1370"/>
      <c r="Z42" s="31"/>
      <c r="AA42" s="1465"/>
      <c r="AB42" s="1314"/>
      <c r="AC42" s="1315" t="s">
        <v>2299</v>
      </c>
      <c r="AD42" s="1465"/>
      <c r="AE42" s="1370"/>
      <c r="AF42" s="1371"/>
      <c r="AG42" s="1465"/>
      <c r="AH42" s="1370"/>
      <c r="AI42" s="31"/>
      <c r="AJ42" s="1465"/>
      <c r="AK42" s="1370"/>
      <c r="AL42" s="1371"/>
      <c r="AM42" s="1465"/>
      <c r="AN42" s="1322"/>
      <c r="AO42" s="1323" t="s">
        <v>2300</v>
      </c>
      <c r="AP42" s="1465"/>
      <c r="AQ42" s="1346"/>
      <c r="AR42" s="1296" t="s">
        <v>2301</v>
      </c>
      <c r="AS42" s="1465"/>
      <c r="AT42" s="1326"/>
      <c r="AU42" s="1327" t="s">
        <v>2302</v>
      </c>
      <c r="AV42" s="1465"/>
      <c r="AW42" s="1370"/>
      <c r="AX42" s="31"/>
      <c r="AY42" s="1465"/>
      <c r="AZ42" s="1370"/>
      <c r="BA42" s="31"/>
      <c r="BB42" s="1465"/>
      <c r="BC42" s="1370"/>
      <c r="BD42" s="31"/>
      <c r="BE42" s="1465"/>
      <c r="BF42" s="1370"/>
      <c r="BG42" s="31"/>
      <c r="BH42" s="1465"/>
      <c r="BI42" s="1370"/>
      <c r="BJ42" s="31"/>
      <c r="BK42" s="1465"/>
      <c r="BL42" s="1370"/>
      <c r="BM42" s="31"/>
      <c r="BN42" s="1465"/>
      <c r="BO42" s="1370"/>
      <c r="BP42" s="31"/>
      <c r="BQ42" s="1465"/>
      <c r="BR42" s="1370"/>
      <c r="BS42" s="31"/>
      <c r="BT42" s="1465"/>
      <c r="BU42" s="1370"/>
      <c r="BV42" s="31"/>
      <c r="BW42" s="1465"/>
      <c r="BX42" s="1370"/>
      <c r="BY42" s="31"/>
      <c r="BZ42" s="1465"/>
      <c r="CA42" s="1370"/>
      <c r="CB42" s="31"/>
      <c r="CC42" s="1465"/>
      <c r="CD42" s="1370"/>
      <c r="CE42" s="31"/>
      <c r="CF42" s="1465"/>
      <c r="CG42" s="1370"/>
      <c r="CH42" s="31"/>
      <c r="CI42" s="1465"/>
      <c r="CJ42" s="1370"/>
      <c r="CK42" s="31"/>
      <c r="CL42" s="1273"/>
    </row>
    <row r="43" ht="18.75" customHeight="1">
      <c r="A43" s="1238"/>
      <c r="B43" s="1238"/>
      <c r="C43" s="1370"/>
      <c r="D43" s="1370"/>
      <c r="E43" s="1370"/>
      <c r="F43" s="1370"/>
      <c r="G43" s="1370"/>
      <c r="H43" s="1370"/>
      <c r="I43" s="1370"/>
      <c r="J43" s="1370"/>
      <c r="K43" s="1370"/>
      <c r="L43" s="1370"/>
      <c r="M43" s="1370"/>
      <c r="N43" s="31"/>
      <c r="O43" s="1465"/>
      <c r="P43" s="1277"/>
      <c r="Q43" s="1278" t="s">
        <v>2303</v>
      </c>
      <c r="R43" s="1465"/>
      <c r="S43" s="1370"/>
      <c r="T43" s="31"/>
      <c r="U43" s="1465"/>
      <c r="V43" s="1370"/>
      <c r="W43" s="31"/>
      <c r="X43" s="1465"/>
      <c r="Y43" s="1370"/>
      <c r="Z43" s="31"/>
      <c r="AA43" s="1465"/>
      <c r="AB43" s="1341"/>
      <c r="AC43" s="1286" t="s">
        <v>2304</v>
      </c>
      <c r="AD43" s="1465"/>
      <c r="AE43" s="1370"/>
      <c r="AF43" s="1371"/>
      <c r="AG43" s="1465"/>
      <c r="AH43" s="1370"/>
      <c r="AI43" s="31"/>
      <c r="AJ43" s="1465"/>
      <c r="AK43" s="1370"/>
      <c r="AL43" s="31"/>
      <c r="AM43" s="1465"/>
      <c r="AN43" s="1345"/>
      <c r="AO43" s="1294" t="s">
        <v>2305</v>
      </c>
      <c r="AP43" s="1465"/>
      <c r="AQ43" s="1324"/>
      <c r="AR43" s="1325" t="s">
        <v>2306</v>
      </c>
      <c r="AS43" s="1465"/>
      <c r="AT43" s="1347"/>
      <c r="AU43" s="1298" t="s">
        <v>2307</v>
      </c>
      <c r="AV43" s="1465"/>
      <c r="AW43" s="1370"/>
      <c r="AX43" s="31"/>
      <c r="AY43" s="1465"/>
      <c r="AZ43" s="1370"/>
      <c r="BA43" s="31"/>
      <c r="BB43" s="1465"/>
      <c r="BC43" s="1370"/>
      <c r="BD43" s="31"/>
      <c r="BE43" s="1465"/>
      <c r="BF43" s="1370"/>
      <c r="BG43" s="31"/>
      <c r="BH43" s="1465"/>
      <c r="BI43" s="1370"/>
      <c r="BJ43" s="31"/>
      <c r="BK43" s="1465"/>
      <c r="BL43" s="1370"/>
      <c r="BM43" s="31"/>
      <c r="BN43" s="1465"/>
      <c r="BO43" s="1370"/>
      <c r="BP43" s="31"/>
      <c r="BQ43" s="1465"/>
      <c r="BR43" s="1370"/>
      <c r="BS43" s="31"/>
      <c r="BT43" s="1465"/>
      <c r="BU43" s="1370"/>
      <c r="BV43" s="31"/>
      <c r="BW43" s="1465"/>
      <c r="BX43" s="1370"/>
      <c r="BY43" s="31"/>
      <c r="BZ43" s="1465"/>
      <c r="CA43" s="1370"/>
      <c r="CB43" s="31"/>
      <c r="CC43" s="1465"/>
      <c r="CD43" s="1370"/>
      <c r="CE43" s="31"/>
      <c r="CF43" s="1465"/>
      <c r="CG43" s="1370"/>
      <c r="CH43" s="31"/>
      <c r="CI43" s="1465"/>
      <c r="CJ43" s="1370"/>
      <c r="CK43" s="1371"/>
      <c r="CL43" s="1273"/>
    </row>
    <row r="44" ht="18.75" customHeight="1">
      <c r="A44" s="1238"/>
      <c r="B44" s="1238"/>
      <c r="C44" s="1370"/>
      <c r="D44" s="1370"/>
      <c r="E44" s="1370"/>
      <c r="F44" s="1370"/>
      <c r="G44" s="1370"/>
      <c r="H44" s="1370"/>
      <c r="I44" s="1370"/>
      <c r="J44" s="1370"/>
      <c r="K44" s="1370"/>
      <c r="L44" s="1370"/>
      <c r="M44" s="1370"/>
      <c r="N44" s="31"/>
      <c r="O44" s="1465"/>
      <c r="P44" s="1522"/>
      <c r="Q44" s="1523" t="s">
        <v>2308</v>
      </c>
      <c r="R44" s="1465"/>
      <c r="S44" s="1370"/>
      <c r="T44" s="31"/>
      <c r="U44" s="1465"/>
      <c r="V44" s="1370"/>
      <c r="W44" s="31"/>
      <c r="X44" s="1465"/>
      <c r="Y44" s="1370"/>
      <c r="Z44" s="31"/>
      <c r="AA44" s="1465"/>
      <c r="AB44" s="1314"/>
      <c r="AC44" s="1315" t="s">
        <v>2309</v>
      </c>
      <c r="AD44" s="1465"/>
      <c r="AE44" s="1370"/>
      <c r="AF44" s="1371"/>
      <c r="AG44" s="1465"/>
      <c r="AH44" s="1370"/>
      <c r="AI44" s="31"/>
      <c r="AJ44" s="1465"/>
      <c r="AK44" s="1370"/>
      <c r="AL44" s="31"/>
      <c r="AM44" s="1465"/>
      <c r="AN44" s="1322"/>
      <c r="AO44" s="1323" t="s">
        <v>2310</v>
      </c>
      <c r="AP44" s="1465"/>
      <c r="AQ44" s="1346"/>
      <c r="AR44" s="1296" t="s">
        <v>2311</v>
      </c>
      <c r="AS44" s="1465"/>
      <c r="AT44" s="1326"/>
      <c r="AU44" s="1327" t="s">
        <v>2312</v>
      </c>
      <c r="AV44" s="1465"/>
      <c r="AW44" s="1370"/>
      <c r="AX44" s="31"/>
      <c r="AY44" s="1465"/>
      <c r="AZ44" s="1370"/>
      <c r="BA44" s="31"/>
      <c r="BB44" s="1465"/>
      <c r="BC44" s="1370"/>
      <c r="BD44" s="31"/>
      <c r="BE44" s="1465"/>
      <c r="BF44" s="1370"/>
      <c r="BG44" s="31"/>
      <c r="BH44" s="1465"/>
      <c r="BI44" s="1370"/>
      <c r="BJ44" s="31"/>
      <c r="BK44" s="1465"/>
      <c r="BL44" s="1370"/>
      <c r="BM44" s="31"/>
      <c r="BN44" s="1465"/>
      <c r="BO44" s="1370"/>
      <c r="BP44" s="31"/>
      <c r="BQ44" s="1465"/>
      <c r="BR44" s="1370"/>
      <c r="BS44" s="31"/>
      <c r="BT44" s="1465"/>
      <c r="BU44" s="1370"/>
      <c r="BV44" s="31"/>
      <c r="BW44" s="1465"/>
      <c r="BX44" s="1370"/>
      <c r="BY44" s="31"/>
      <c r="BZ44" s="1465"/>
      <c r="CA44" s="1370"/>
      <c r="CB44" s="31"/>
      <c r="CC44" s="1465"/>
      <c r="CD44" s="1370"/>
      <c r="CE44" s="31"/>
      <c r="CF44" s="1465"/>
      <c r="CG44" s="1370"/>
      <c r="CH44" s="31"/>
      <c r="CI44" s="1465"/>
      <c r="CJ44" s="1370"/>
      <c r="CK44" s="31"/>
      <c r="CL44" s="1273"/>
    </row>
    <row r="45" ht="18.75" customHeight="1">
      <c r="A45" s="1238"/>
      <c r="B45" s="1238"/>
      <c r="C45" s="1370"/>
      <c r="D45" s="1370"/>
      <c r="E45" s="1370"/>
      <c r="F45" s="1370"/>
      <c r="G45" s="1370"/>
      <c r="H45" s="1370"/>
      <c r="I45" s="1370"/>
      <c r="J45" s="1370"/>
      <c r="K45" s="1370"/>
      <c r="L45" s="1370"/>
      <c r="M45" s="1370"/>
      <c r="N45" s="31"/>
      <c r="O45" s="1465"/>
      <c r="P45" s="1422"/>
      <c r="Q45" s="1423" t="s">
        <v>2313</v>
      </c>
      <c r="R45" s="1465"/>
      <c r="S45" s="1370"/>
      <c r="T45" s="31"/>
      <c r="U45" s="1465"/>
      <c r="V45" s="1370"/>
      <c r="W45" s="31"/>
      <c r="X45" s="1465"/>
      <c r="Y45" s="1370"/>
      <c r="Z45" s="31"/>
      <c r="AA45" s="1465"/>
      <c r="AB45" s="1341"/>
      <c r="AC45" s="1286" t="s">
        <v>2314</v>
      </c>
      <c r="AD45" s="1465"/>
      <c r="AE45" s="1370"/>
      <c r="AF45" s="1371"/>
      <c r="AG45" s="1465"/>
      <c r="AH45" s="1370"/>
      <c r="AI45" s="31"/>
      <c r="AJ45" s="1465"/>
      <c r="AK45" s="1370"/>
      <c r="AL45" s="31"/>
      <c r="AM45" s="1465"/>
      <c r="AN45" s="1345"/>
      <c r="AO45" s="1294" t="s">
        <v>2315</v>
      </c>
      <c r="AP45" s="1465"/>
      <c r="AQ45" s="1324"/>
      <c r="AR45" s="1325" t="s">
        <v>2311</v>
      </c>
      <c r="AS45" s="1465"/>
      <c r="AT45" s="1347"/>
      <c r="AU45" s="1298" t="s">
        <v>2316</v>
      </c>
      <c r="AV45" s="1465"/>
      <c r="AW45" s="1370"/>
      <c r="AX45" s="31"/>
      <c r="AY45" s="1465"/>
      <c r="AZ45" s="1370"/>
      <c r="BA45" s="31"/>
      <c r="BB45" s="1465"/>
      <c r="BC45" s="1370"/>
      <c r="BD45" s="31"/>
      <c r="BE45" s="1465"/>
      <c r="BF45" s="1370"/>
      <c r="BG45" s="31"/>
      <c r="BH45" s="1465"/>
      <c r="BI45" s="1370"/>
      <c r="BJ45" s="31"/>
      <c r="BK45" s="1465"/>
      <c r="BL45" s="1370"/>
      <c r="BM45" s="31"/>
      <c r="BN45" s="1465"/>
      <c r="BO45" s="1370"/>
      <c r="BP45" s="31"/>
      <c r="BQ45" s="1465"/>
      <c r="BR45" s="1370"/>
      <c r="BS45" s="31"/>
      <c r="BT45" s="1465"/>
      <c r="BU45" s="1370"/>
      <c r="BV45" s="31"/>
      <c r="BW45" s="1465"/>
      <c r="BX45" s="1370"/>
      <c r="BY45" s="31"/>
      <c r="BZ45" s="1465"/>
      <c r="CA45" s="1370"/>
      <c r="CB45" s="31"/>
      <c r="CC45" s="1465"/>
      <c r="CD45" s="1370"/>
      <c r="CE45" s="31"/>
      <c r="CF45" s="1465"/>
      <c r="CG45" s="1370"/>
      <c r="CH45" s="31"/>
      <c r="CI45" s="1465"/>
      <c r="CJ45" s="1370"/>
      <c r="CK45" s="31"/>
      <c r="CL45" s="1273"/>
    </row>
    <row r="46" ht="18.75" customHeight="1">
      <c r="A46" s="1238"/>
      <c r="B46" s="1238"/>
      <c r="C46" s="1370"/>
      <c r="D46" s="1370"/>
      <c r="E46" s="1370"/>
      <c r="F46" s="1370"/>
      <c r="G46" s="1370"/>
      <c r="H46" s="1370"/>
      <c r="I46" s="1370"/>
      <c r="J46" s="1370"/>
      <c r="K46" s="1370"/>
      <c r="L46" s="1370"/>
      <c r="M46" s="1370"/>
      <c r="N46" s="31"/>
      <c r="O46" s="1465"/>
      <c r="P46" s="1524"/>
      <c r="Q46" s="1525" t="s">
        <v>2317</v>
      </c>
      <c r="R46" s="1465"/>
      <c r="S46" s="1370"/>
      <c r="T46" s="31"/>
      <c r="U46" s="1465"/>
      <c r="V46" s="1370"/>
      <c r="W46" s="31"/>
      <c r="X46" s="1465"/>
      <c r="Y46" s="1370"/>
      <c r="Z46" s="31"/>
      <c r="AA46" s="1465"/>
      <c r="AB46" s="1314"/>
      <c r="AC46" s="1315" t="s">
        <v>2318</v>
      </c>
      <c r="AD46" s="1465"/>
      <c r="AE46" s="1370"/>
      <c r="AF46" s="1371"/>
      <c r="AG46" s="1465"/>
      <c r="AH46" s="1370"/>
      <c r="AI46" s="31"/>
      <c r="AJ46" s="1465"/>
      <c r="AK46" s="1370"/>
      <c r="AL46" s="31"/>
      <c r="AM46" s="1465"/>
      <c r="AN46" s="1322"/>
      <c r="AO46" s="1323" t="s">
        <v>2070</v>
      </c>
      <c r="AP46" s="1465"/>
      <c r="AQ46" s="1324"/>
      <c r="AR46" s="1325" t="s">
        <v>2319</v>
      </c>
      <c r="AS46" s="1465"/>
      <c r="AT46" s="1326"/>
      <c r="AU46" s="1327" t="s">
        <v>2320</v>
      </c>
      <c r="AV46" s="1465"/>
      <c r="AW46" s="1370"/>
      <c r="AX46" s="31"/>
      <c r="AY46" s="1465"/>
      <c r="AZ46" s="1370"/>
      <c r="BA46" s="31"/>
      <c r="BB46" s="1465"/>
      <c r="BC46" s="1370"/>
      <c r="BD46" s="31"/>
      <c r="BE46" s="1465"/>
      <c r="BF46" s="1370"/>
      <c r="BG46" s="31"/>
      <c r="BH46" s="1465"/>
      <c r="BI46" s="1370"/>
      <c r="BJ46" s="31"/>
      <c r="BK46" s="1465"/>
      <c r="BL46" s="1370"/>
      <c r="BM46" s="31"/>
      <c r="BN46" s="1465"/>
      <c r="BO46" s="1370"/>
      <c r="BP46" s="31"/>
      <c r="BQ46" s="1465"/>
      <c r="BR46" s="1370"/>
      <c r="BS46" s="31"/>
      <c r="BT46" s="1465"/>
      <c r="BU46" s="1370"/>
      <c r="BV46" s="31"/>
      <c r="BW46" s="1465"/>
      <c r="BX46" s="1370"/>
      <c r="BY46" s="31"/>
      <c r="BZ46" s="1465"/>
      <c r="CA46" s="1370"/>
      <c r="CB46" s="31"/>
      <c r="CC46" s="1465"/>
      <c r="CD46" s="1370"/>
      <c r="CE46" s="31"/>
      <c r="CF46" s="1465"/>
      <c r="CG46" s="1370"/>
      <c r="CH46" s="31"/>
      <c r="CI46" s="1465"/>
      <c r="CJ46" s="1370"/>
      <c r="CK46" s="31"/>
      <c r="CL46" s="1273"/>
    </row>
    <row r="47" ht="18.75" customHeight="1">
      <c r="A47" s="1238"/>
      <c r="B47" s="1238"/>
      <c r="C47" s="1370"/>
      <c r="D47" s="1370"/>
      <c r="E47" s="1370"/>
      <c r="F47" s="1370"/>
      <c r="G47" s="1370"/>
      <c r="H47" s="1370"/>
      <c r="I47" s="1370"/>
      <c r="J47" s="1370"/>
      <c r="K47" s="1370"/>
      <c r="L47" s="1370"/>
      <c r="M47" s="1370"/>
      <c r="N47" s="31"/>
      <c r="O47" s="1465"/>
      <c r="P47" s="1526"/>
      <c r="Q47" s="1527" t="s">
        <v>2321</v>
      </c>
      <c r="R47" s="1465"/>
      <c r="S47" s="1370"/>
      <c r="T47" s="31"/>
      <c r="U47" s="1465"/>
      <c r="V47" s="1370"/>
      <c r="W47" s="31"/>
      <c r="X47" s="1465"/>
      <c r="Y47" s="1370"/>
      <c r="Z47" s="31"/>
      <c r="AA47" s="1465"/>
      <c r="AB47" s="1341"/>
      <c r="AC47" s="1286" t="s">
        <v>2322</v>
      </c>
      <c r="AD47" s="1465"/>
      <c r="AE47" s="1370"/>
      <c r="AF47" s="1371"/>
      <c r="AG47" s="1465"/>
      <c r="AH47" s="1370"/>
      <c r="AI47" s="31"/>
      <c r="AJ47" s="1465"/>
      <c r="AK47" s="1370"/>
      <c r="AL47" s="31"/>
      <c r="AM47" s="1465"/>
      <c r="AN47" s="1345"/>
      <c r="AO47" s="1294" t="s">
        <v>2323</v>
      </c>
      <c r="AP47" s="1465"/>
      <c r="AQ47" s="1346"/>
      <c r="AR47" s="1296" t="s">
        <v>2324</v>
      </c>
      <c r="AS47" s="1465"/>
      <c r="AT47" s="1347"/>
      <c r="AU47" s="1298" t="s">
        <v>2325</v>
      </c>
      <c r="AV47" s="1465"/>
      <c r="AW47" s="1370"/>
      <c r="AX47" s="31"/>
      <c r="AY47" s="1465"/>
      <c r="AZ47" s="1370"/>
      <c r="BA47" s="31"/>
      <c r="BB47" s="1465"/>
      <c r="BC47" s="1370"/>
      <c r="BD47" s="31"/>
      <c r="BE47" s="1465"/>
      <c r="BF47" s="1370"/>
      <c r="BG47" s="31"/>
      <c r="BH47" s="1465"/>
      <c r="BI47" s="1370"/>
      <c r="BJ47" s="31"/>
      <c r="BK47" s="1465"/>
      <c r="BL47" s="1370"/>
      <c r="BM47" s="31"/>
      <c r="BN47" s="1465"/>
      <c r="BO47" s="1370"/>
      <c r="BP47" s="31"/>
      <c r="BQ47" s="1465"/>
      <c r="BR47" s="1370"/>
      <c r="BS47" s="31"/>
      <c r="BT47" s="1465"/>
      <c r="BU47" s="1370"/>
      <c r="BV47" s="31"/>
      <c r="BW47" s="1465"/>
      <c r="BX47" s="1370"/>
      <c r="BY47" s="31"/>
      <c r="BZ47" s="1465"/>
      <c r="CA47" s="1370"/>
      <c r="CB47" s="31"/>
      <c r="CC47" s="1465"/>
      <c r="CD47" s="1370"/>
      <c r="CE47" s="31"/>
      <c r="CF47" s="1465"/>
      <c r="CG47" s="1370"/>
      <c r="CH47" s="31"/>
      <c r="CI47" s="1465"/>
      <c r="CJ47" s="1370"/>
      <c r="CK47" s="31"/>
      <c r="CL47" s="1273"/>
    </row>
    <row r="48" ht="18.75" customHeight="1">
      <c r="A48" s="1238"/>
      <c r="B48" s="1238"/>
      <c r="C48" s="1370"/>
      <c r="D48" s="1370"/>
      <c r="E48" s="1370"/>
      <c r="F48" s="1370"/>
      <c r="G48" s="1370"/>
      <c r="H48" s="1370"/>
      <c r="I48" s="1370"/>
      <c r="J48" s="1370"/>
      <c r="K48" s="1370"/>
      <c r="L48" s="1370"/>
      <c r="M48" s="1370"/>
      <c r="N48" s="31"/>
      <c r="O48" s="1465"/>
      <c r="P48" s="1528"/>
      <c r="Q48" s="1529" t="s">
        <v>2326</v>
      </c>
      <c r="R48" s="1465"/>
      <c r="S48" s="1370"/>
      <c r="T48" s="31"/>
      <c r="U48" s="1465"/>
      <c r="V48" s="1370"/>
      <c r="W48" s="31"/>
      <c r="X48" s="1465"/>
      <c r="Y48" s="1370"/>
      <c r="Z48" s="31"/>
      <c r="AA48" s="1465"/>
      <c r="AB48" s="1314"/>
      <c r="AC48" s="1315" t="s">
        <v>2327</v>
      </c>
      <c r="AD48" s="1465"/>
      <c r="AE48" s="1370"/>
      <c r="AF48" s="1371"/>
      <c r="AG48" s="1465"/>
      <c r="AH48" s="1370"/>
      <c r="AI48" s="31"/>
      <c r="AJ48" s="1465"/>
      <c r="AK48" s="1370"/>
      <c r="AL48" s="31"/>
      <c r="AM48" s="1465"/>
      <c r="AN48" s="1322"/>
      <c r="AO48" s="1323" t="s">
        <v>2328</v>
      </c>
      <c r="AP48" s="1465"/>
      <c r="AQ48" s="1324"/>
      <c r="AR48" s="1325" t="s">
        <v>2329</v>
      </c>
      <c r="AS48" s="1465"/>
      <c r="AT48" s="1326"/>
      <c r="AU48" s="1327" t="s">
        <v>2330</v>
      </c>
      <c r="AV48" s="1465"/>
      <c r="AW48" s="1370"/>
      <c r="AX48" s="31"/>
      <c r="AY48" s="1465"/>
      <c r="AZ48" s="1370"/>
      <c r="BA48" s="31"/>
      <c r="BB48" s="1465"/>
      <c r="BC48" s="1370"/>
      <c r="BD48" s="31"/>
      <c r="BE48" s="1465"/>
      <c r="BF48" s="1370"/>
      <c r="BG48" s="31"/>
      <c r="BH48" s="1465"/>
      <c r="BI48" s="1370"/>
      <c r="BJ48" s="31"/>
      <c r="BK48" s="1465"/>
      <c r="BL48" s="1370"/>
      <c r="BM48" s="31"/>
      <c r="BN48" s="1465"/>
      <c r="BO48" s="1370"/>
      <c r="BP48" s="31"/>
      <c r="BQ48" s="1465"/>
      <c r="BR48" s="1370"/>
      <c r="BS48" s="31"/>
      <c r="BT48" s="1465"/>
      <c r="BU48" s="1370"/>
      <c r="BV48" s="31"/>
      <c r="BW48" s="1465"/>
      <c r="BX48" s="1370"/>
      <c r="BY48" s="31"/>
      <c r="BZ48" s="1465"/>
      <c r="CA48" s="1370"/>
      <c r="CB48" s="31"/>
      <c r="CC48" s="1465"/>
      <c r="CD48" s="1370"/>
      <c r="CE48" s="31"/>
      <c r="CF48" s="1465"/>
      <c r="CG48" s="1370"/>
      <c r="CH48" s="31"/>
      <c r="CI48" s="1465"/>
      <c r="CJ48" s="1370"/>
      <c r="CK48" s="31"/>
      <c r="CL48" s="1273"/>
    </row>
    <row r="49" ht="18.75" customHeight="1">
      <c r="A49" s="1238"/>
      <c r="B49" s="1238"/>
      <c r="C49" s="1370"/>
      <c r="D49" s="1370"/>
      <c r="E49" s="1370"/>
      <c r="F49" s="1370"/>
      <c r="G49" s="1370"/>
      <c r="H49" s="1370"/>
      <c r="I49" s="1370"/>
      <c r="J49" s="1370"/>
      <c r="K49" s="1370"/>
      <c r="L49" s="1370"/>
      <c r="M49" s="1370"/>
      <c r="N49" s="31"/>
      <c r="O49" s="1465"/>
      <c r="P49" s="1370"/>
      <c r="Q49" s="1371"/>
      <c r="R49" s="1465"/>
      <c r="S49" s="1370"/>
      <c r="T49" s="31"/>
      <c r="U49" s="1465"/>
      <c r="V49" s="1370"/>
      <c r="W49" s="31"/>
      <c r="X49" s="1465"/>
      <c r="Y49" s="1370"/>
      <c r="Z49" s="31"/>
      <c r="AA49" s="1465"/>
      <c r="AB49" s="1341"/>
      <c r="AC49" s="1286" t="s">
        <v>2331</v>
      </c>
      <c r="AD49" s="1465"/>
      <c r="AE49" s="1370"/>
      <c r="AF49" s="1371"/>
      <c r="AG49" s="1465"/>
      <c r="AH49" s="1370"/>
      <c r="AI49" s="31"/>
      <c r="AJ49" s="1465"/>
      <c r="AK49" s="1370"/>
      <c r="AL49" s="31"/>
      <c r="AM49" s="1465"/>
      <c r="AN49" s="1345"/>
      <c r="AO49" s="1294" t="s">
        <v>2332</v>
      </c>
      <c r="AP49" s="1465"/>
      <c r="AQ49" s="1346"/>
      <c r="AR49" s="1296" t="s">
        <v>2333</v>
      </c>
      <c r="AS49" s="1465"/>
      <c r="AT49" s="1347"/>
      <c r="AU49" s="1298" t="s">
        <v>2334</v>
      </c>
      <c r="AV49" s="1465"/>
      <c r="AW49" s="1370"/>
      <c r="AX49" s="31"/>
      <c r="AY49" s="1465"/>
      <c r="AZ49" s="1370"/>
      <c r="BA49" s="31"/>
      <c r="BB49" s="1465"/>
      <c r="BC49" s="1370"/>
      <c r="BD49" s="31"/>
      <c r="BE49" s="1465"/>
      <c r="BF49" s="1370"/>
      <c r="BG49" s="31"/>
      <c r="BH49" s="1465"/>
      <c r="BI49" s="1370"/>
      <c r="BJ49" s="31"/>
      <c r="BK49" s="1465"/>
      <c r="BL49" s="1370"/>
      <c r="BM49" s="31"/>
      <c r="BN49" s="1465"/>
      <c r="BO49" s="1370"/>
      <c r="BP49" s="31"/>
      <c r="BQ49" s="1465"/>
      <c r="BR49" s="1370"/>
      <c r="BS49" s="31"/>
      <c r="BT49" s="1465"/>
      <c r="BU49" s="1370"/>
      <c r="BV49" s="31"/>
      <c r="BW49" s="1465"/>
      <c r="BX49" s="1370"/>
      <c r="BY49" s="31"/>
      <c r="BZ49" s="1465"/>
      <c r="CA49" s="1370"/>
      <c r="CB49" s="31"/>
      <c r="CC49" s="1465"/>
      <c r="CD49" s="1370"/>
      <c r="CE49" s="31"/>
      <c r="CF49" s="1465"/>
      <c r="CG49" s="1370"/>
      <c r="CH49" s="31"/>
      <c r="CI49" s="1465"/>
      <c r="CJ49" s="1370"/>
      <c r="CK49" s="31"/>
      <c r="CL49" s="1273"/>
    </row>
    <row r="50" ht="18.75" customHeight="1">
      <c r="A50" s="1238"/>
      <c r="B50" s="1238"/>
      <c r="C50" s="1370"/>
      <c r="D50" s="1370"/>
      <c r="E50" s="1370"/>
      <c r="F50" s="1370"/>
      <c r="G50" s="1370"/>
      <c r="H50" s="1370"/>
      <c r="I50" s="1370"/>
      <c r="J50" s="1370"/>
      <c r="K50" s="1370"/>
      <c r="L50" s="1370"/>
      <c r="M50" s="1370"/>
      <c r="N50" s="31"/>
      <c r="O50" s="1465"/>
      <c r="P50" s="1370"/>
      <c r="Q50" s="31"/>
      <c r="R50" s="1465"/>
      <c r="S50" s="1370"/>
      <c r="T50" s="31"/>
      <c r="U50" s="1465"/>
      <c r="V50" s="1370"/>
      <c r="W50" s="31"/>
      <c r="X50" s="1465"/>
      <c r="Y50" s="1370"/>
      <c r="Z50" s="31"/>
      <c r="AA50" s="1465"/>
      <c r="AB50" s="1314"/>
      <c r="AC50" s="1315" t="s">
        <v>2335</v>
      </c>
      <c r="AD50" s="1465"/>
      <c r="AE50" s="1370"/>
      <c r="AF50" s="1371"/>
      <c r="AG50" s="1465"/>
      <c r="AH50" s="1370"/>
      <c r="AI50" s="31"/>
      <c r="AJ50" s="1465"/>
      <c r="AK50" s="1370"/>
      <c r="AL50" s="31"/>
      <c r="AM50" s="1465"/>
      <c r="AN50" s="1322"/>
      <c r="AO50" s="1323" t="s">
        <v>2336</v>
      </c>
      <c r="AP50" s="1465"/>
      <c r="AQ50" s="1324"/>
      <c r="AR50" s="1325" t="s">
        <v>2337</v>
      </c>
      <c r="AS50" s="1465"/>
      <c r="AT50" s="1326"/>
      <c r="AU50" s="1327" t="s">
        <v>2338</v>
      </c>
      <c r="AV50" s="1465"/>
      <c r="AW50" s="1370"/>
      <c r="AX50" s="31"/>
      <c r="AY50" s="1465"/>
      <c r="AZ50" s="1370"/>
      <c r="BA50" s="31"/>
      <c r="BB50" s="1465"/>
      <c r="BC50" s="1370"/>
      <c r="BD50" s="31"/>
      <c r="BE50" s="1465"/>
      <c r="BF50" s="1370"/>
      <c r="BG50" s="31"/>
      <c r="BH50" s="1465"/>
      <c r="BI50" s="1370"/>
      <c r="BJ50" s="31"/>
      <c r="BK50" s="1465"/>
      <c r="BL50" s="1370"/>
      <c r="BM50" s="31"/>
      <c r="BN50" s="1465"/>
      <c r="BO50" s="1370"/>
      <c r="BP50" s="31"/>
      <c r="BQ50" s="1465"/>
      <c r="BR50" s="1370"/>
      <c r="BS50" s="31"/>
      <c r="BT50" s="1465"/>
      <c r="BU50" s="1370"/>
      <c r="BV50" s="31"/>
      <c r="BW50" s="1465"/>
      <c r="BX50" s="1370"/>
      <c r="BY50" s="31"/>
      <c r="BZ50" s="1465"/>
      <c r="CA50" s="1370"/>
      <c r="CB50" s="31"/>
      <c r="CC50" s="1465"/>
      <c r="CD50" s="1370"/>
      <c r="CE50" s="31"/>
      <c r="CF50" s="1465"/>
      <c r="CG50" s="1370"/>
      <c r="CH50" s="31"/>
      <c r="CI50" s="1465"/>
      <c r="CJ50" s="1370"/>
      <c r="CK50" s="31"/>
      <c r="CL50" s="1273"/>
    </row>
    <row r="51" ht="18.75" customHeight="1">
      <c r="A51" s="1238"/>
      <c r="B51" s="1238"/>
      <c r="C51" s="1370"/>
      <c r="D51" s="1370"/>
      <c r="E51" s="1370"/>
      <c r="F51" s="1370"/>
      <c r="G51" s="1370"/>
      <c r="H51" s="1370"/>
      <c r="I51" s="1370"/>
      <c r="J51" s="1370"/>
      <c r="K51" s="1370"/>
      <c r="L51" s="1370"/>
      <c r="M51" s="1370"/>
      <c r="N51" s="31"/>
      <c r="O51" s="1465"/>
      <c r="P51" s="1370"/>
      <c r="Q51" s="31"/>
      <c r="R51" s="1465"/>
      <c r="S51" s="1370"/>
      <c r="T51" s="31"/>
      <c r="U51" s="1465"/>
      <c r="V51" s="1370"/>
      <c r="W51" s="31"/>
      <c r="X51" s="1465"/>
      <c r="Y51" s="1370"/>
      <c r="Z51" s="31"/>
      <c r="AA51" s="1465"/>
      <c r="AB51" s="1341"/>
      <c r="AC51" s="1286" t="s">
        <v>2339</v>
      </c>
      <c r="AD51" s="1465"/>
      <c r="AE51" s="1370"/>
      <c r="AF51" s="1371"/>
      <c r="AG51" s="1465"/>
      <c r="AH51" s="1370"/>
      <c r="AI51" s="31"/>
      <c r="AJ51" s="1465"/>
      <c r="AK51" s="1370"/>
      <c r="AL51" s="31"/>
      <c r="AM51" s="1465"/>
      <c r="AN51" s="1345"/>
      <c r="AO51" s="1294" t="s">
        <v>2340</v>
      </c>
      <c r="AP51" s="1465"/>
      <c r="AQ51" s="1346"/>
      <c r="AR51" s="1296" t="s">
        <v>2341</v>
      </c>
      <c r="AS51" s="1465"/>
      <c r="AT51" s="1347"/>
      <c r="AU51" s="1298" t="s">
        <v>2342</v>
      </c>
      <c r="AV51" s="1465"/>
      <c r="AW51" s="1370"/>
      <c r="AX51" s="31"/>
      <c r="AY51" s="1465"/>
      <c r="AZ51" s="1370"/>
      <c r="BA51" s="31"/>
      <c r="BB51" s="1465"/>
      <c r="BC51" s="1370"/>
      <c r="BD51" s="31"/>
      <c r="BE51" s="1465"/>
      <c r="BF51" s="1370"/>
      <c r="BG51" s="31"/>
      <c r="BH51" s="1465"/>
      <c r="BI51" s="1370"/>
      <c r="BJ51" s="31"/>
      <c r="BK51" s="1465"/>
      <c r="BL51" s="1370"/>
      <c r="BM51" s="31"/>
      <c r="BN51" s="1465"/>
      <c r="BO51" s="1370"/>
      <c r="BP51" s="31"/>
      <c r="BQ51" s="1465"/>
      <c r="BR51" s="1370"/>
      <c r="BS51" s="31"/>
      <c r="BT51" s="1465"/>
      <c r="BU51" s="1370"/>
      <c r="BV51" s="31"/>
      <c r="BW51" s="1465"/>
      <c r="BX51" s="1370"/>
      <c r="BY51" s="31"/>
      <c r="BZ51" s="1465"/>
      <c r="CA51" s="1370"/>
      <c r="CB51" s="31"/>
      <c r="CC51" s="1465"/>
      <c r="CD51" s="1370"/>
      <c r="CE51" s="31"/>
      <c r="CF51" s="1465"/>
      <c r="CG51" s="1370"/>
      <c r="CH51" s="31"/>
      <c r="CI51" s="1465"/>
      <c r="CJ51" s="1370"/>
      <c r="CK51" s="31"/>
      <c r="CL51" s="1273"/>
    </row>
    <row r="52" ht="18.75" customHeight="1">
      <c r="A52" s="1238"/>
      <c r="B52" s="1238"/>
      <c r="C52" s="1370"/>
      <c r="D52" s="1370"/>
      <c r="E52" s="1370"/>
      <c r="F52" s="1370"/>
      <c r="G52" s="1370"/>
      <c r="H52" s="1370"/>
      <c r="I52" s="1370"/>
      <c r="J52" s="1370"/>
      <c r="K52" s="1370"/>
      <c r="L52" s="1370"/>
      <c r="M52" s="1370"/>
      <c r="N52" s="31"/>
      <c r="O52" s="1465"/>
      <c r="P52" s="1370"/>
      <c r="Q52" s="31"/>
      <c r="R52" s="1465"/>
      <c r="S52" s="1370"/>
      <c r="T52" s="31"/>
      <c r="U52" s="1465"/>
      <c r="V52" s="1370"/>
      <c r="W52" s="31"/>
      <c r="X52" s="1465"/>
      <c r="Y52" s="1370"/>
      <c r="Z52" s="31"/>
      <c r="AA52" s="1465"/>
      <c r="AB52" s="1530"/>
      <c r="AC52" s="1315" t="s">
        <v>2343</v>
      </c>
      <c r="AD52" s="1465"/>
      <c r="AE52" s="1370"/>
      <c r="AF52" s="1371"/>
      <c r="AG52" s="1465"/>
      <c r="AH52" s="1370"/>
      <c r="AI52" s="31"/>
      <c r="AJ52" s="1465"/>
      <c r="AK52" s="1370"/>
      <c r="AL52" s="31"/>
      <c r="AM52" s="1465"/>
      <c r="AN52" s="1322"/>
      <c r="AO52" s="1323" t="s">
        <v>2344</v>
      </c>
      <c r="AP52" s="1465"/>
      <c r="AQ52" s="1324"/>
      <c r="AR52" s="1325" t="s">
        <v>2345</v>
      </c>
      <c r="AS52" s="1465"/>
      <c r="AT52" s="1326"/>
      <c r="AU52" s="1327" t="s">
        <v>2346</v>
      </c>
      <c r="AV52" s="1465"/>
      <c r="AW52" s="1370"/>
      <c r="AX52" s="31"/>
      <c r="AY52" s="1465"/>
      <c r="AZ52" s="1370"/>
      <c r="BA52" s="31"/>
      <c r="BB52" s="1465"/>
      <c r="BC52" s="1370"/>
      <c r="BD52" s="31"/>
      <c r="BE52" s="1465"/>
      <c r="BF52" s="1370"/>
      <c r="BG52" s="31"/>
      <c r="BH52" s="1465"/>
      <c r="BI52" s="1370"/>
      <c r="BJ52" s="31"/>
      <c r="BK52" s="1465"/>
      <c r="BL52" s="1370"/>
      <c r="BM52" s="31"/>
      <c r="BN52" s="1465"/>
      <c r="BO52" s="1370"/>
      <c r="BP52" s="31"/>
      <c r="BQ52" s="1465"/>
      <c r="BR52" s="1370"/>
      <c r="BS52" s="31"/>
      <c r="BT52" s="1465"/>
      <c r="BU52" s="1370"/>
      <c r="BV52" s="31"/>
      <c r="BW52" s="1465"/>
      <c r="BX52" s="1370"/>
      <c r="BY52" s="31"/>
      <c r="BZ52" s="1465"/>
      <c r="CA52" s="1370"/>
      <c r="CB52" s="31"/>
      <c r="CC52" s="1465"/>
      <c r="CD52" s="1370"/>
      <c r="CE52" s="31"/>
      <c r="CF52" s="1465"/>
      <c r="CG52" s="1370"/>
      <c r="CH52" s="31"/>
      <c r="CI52" s="1465"/>
      <c r="CJ52" s="1370"/>
      <c r="CK52" s="31"/>
      <c r="CL52" s="1273"/>
    </row>
    <row r="53" ht="18.75" customHeight="1">
      <c r="A53" s="1238"/>
      <c r="B53" s="1238"/>
      <c r="C53" s="1370"/>
      <c r="D53" s="1370"/>
      <c r="E53" s="1370"/>
      <c r="F53" s="1370"/>
      <c r="G53" s="1370"/>
      <c r="H53" s="1370"/>
      <c r="I53" s="1370"/>
      <c r="J53" s="1370"/>
      <c r="K53" s="1370"/>
      <c r="L53" s="1370"/>
      <c r="M53" s="1370"/>
      <c r="N53" s="31"/>
      <c r="O53" s="1465"/>
      <c r="P53" s="1370"/>
      <c r="Q53" s="31"/>
      <c r="R53" s="1465"/>
      <c r="S53" s="1370"/>
      <c r="T53" s="31"/>
      <c r="U53" s="1465"/>
      <c r="V53" s="1370"/>
      <c r="W53" s="31"/>
      <c r="X53" s="1465"/>
      <c r="Y53" s="1370"/>
      <c r="Z53" s="31"/>
      <c r="AA53" s="1465"/>
      <c r="AB53" s="1531"/>
      <c r="AC53" s="1286" t="s">
        <v>2347</v>
      </c>
      <c r="AD53" s="1465"/>
      <c r="AE53" s="1370"/>
      <c r="AF53" s="1371"/>
      <c r="AG53" s="1465"/>
      <c r="AH53" s="1370"/>
      <c r="AI53" s="31"/>
      <c r="AJ53" s="1465"/>
      <c r="AK53" s="1370"/>
      <c r="AL53" s="31"/>
      <c r="AM53" s="1465"/>
      <c r="AN53" s="1345"/>
      <c r="AO53" s="1294" t="s">
        <v>2348</v>
      </c>
      <c r="AP53" s="1465"/>
      <c r="AQ53" s="1346"/>
      <c r="AR53" s="1296" t="s">
        <v>2349</v>
      </c>
      <c r="AS53" s="1465"/>
      <c r="AT53" s="1347"/>
      <c r="AU53" s="1298" t="s">
        <v>2350</v>
      </c>
      <c r="AV53" s="1465"/>
      <c r="AW53" s="1370"/>
      <c r="AX53" s="31"/>
      <c r="AY53" s="1465"/>
      <c r="AZ53" s="1370"/>
      <c r="BA53" s="31"/>
      <c r="BB53" s="1465"/>
      <c r="BC53" s="1370"/>
      <c r="BD53" s="31"/>
      <c r="BE53" s="1465"/>
      <c r="BF53" s="1370"/>
      <c r="BG53" s="31"/>
      <c r="BH53" s="1465"/>
      <c r="BI53" s="1370"/>
      <c r="BJ53" s="31"/>
      <c r="BK53" s="1465"/>
      <c r="BL53" s="1370"/>
      <c r="BM53" s="31"/>
      <c r="BN53" s="1465"/>
      <c r="BO53" s="1370"/>
      <c r="BP53" s="31"/>
      <c r="BQ53" s="1465"/>
      <c r="BR53" s="1370"/>
      <c r="BS53" s="31"/>
      <c r="BT53" s="1465"/>
      <c r="BU53" s="1370"/>
      <c r="BV53" s="31"/>
      <c r="BW53" s="1465"/>
      <c r="BX53" s="1370"/>
      <c r="BY53" s="31"/>
      <c r="BZ53" s="1465"/>
      <c r="CA53" s="1370"/>
      <c r="CB53" s="31"/>
      <c r="CC53" s="1465"/>
      <c r="CD53" s="1370"/>
      <c r="CE53" s="31"/>
      <c r="CF53" s="1465"/>
      <c r="CG53" s="1370"/>
      <c r="CH53" s="31"/>
      <c r="CI53" s="1465"/>
      <c r="CJ53" s="1370"/>
      <c r="CK53" s="31"/>
      <c r="CL53" s="1273"/>
    </row>
    <row r="54" ht="18.75" customHeight="1">
      <c r="A54" s="1238"/>
      <c r="B54" s="1238"/>
      <c r="C54" s="1370"/>
      <c r="D54" s="1370"/>
      <c r="E54" s="1370"/>
      <c r="F54" s="1370"/>
      <c r="G54" s="1370"/>
      <c r="H54" s="1370"/>
      <c r="I54" s="1370"/>
      <c r="J54" s="1370"/>
      <c r="K54" s="1370"/>
      <c r="L54" s="1370"/>
      <c r="M54" s="1370"/>
      <c r="N54" s="31"/>
      <c r="O54" s="1465"/>
      <c r="P54" s="1370"/>
      <c r="Q54" s="31"/>
      <c r="R54" s="1465"/>
      <c r="S54" s="1370"/>
      <c r="T54" s="31"/>
      <c r="U54" s="1465"/>
      <c r="V54" s="1370"/>
      <c r="W54" s="31"/>
      <c r="X54" s="1465"/>
      <c r="Y54" s="1370"/>
      <c r="Z54" s="31"/>
      <c r="AA54" s="1465"/>
      <c r="AB54" s="1532"/>
      <c r="AC54" s="1533" t="s">
        <v>2351</v>
      </c>
      <c r="AD54" s="1465"/>
      <c r="AE54" s="1370"/>
      <c r="AF54" s="1371"/>
      <c r="AG54" s="1465"/>
      <c r="AH54" s="1370"/>
      <c r="AI54" s="31"/>
      <c r="AJ54" s="1465"/>
      <c r="AK54" s="1370"/>
      <c r="AL54" s="31"/>
      <c r="AM54" s="1465"/>
      <c r="AN54" s="1322"/>
      <c r="AO54" s="1323" t="s">
        <v>2352</v>
      </c>
      <c r="AP54" s="1465"/>
      <c r="AQ54" s="1324"/>
      <c r="AR54" s="1325" t="s">
        <v>2353</v>
      </c>
      <c r="AS54" s="1465"/>
      <c r="AT54" s="1326"/>
      <c r="AU54" s="1327" t="s">
        <v>2354</v>
      </c>
      <c r="AV54" s="1465"/>
      <c r="AW54" s="1370"/>
      <c r="AX54" s="31"/>
      <c r="AY54" s="1465"/>
      <c r="AZ54" s="1370"/>
      <c r="BA54" s="31"/>
      <c r="BB54" s="1465"/>
      <c r="BC54" s="1370"/>
      <c r="BD54" s="31"/>
      <c r="BE54" s="1465"/>
      <c r="BF54" s="1370"/>
      <c r="BG54" s="31"/>
      <c r="BH54" s="1465"/>
      <c r="BI54" s="1370"/>
      <c r="BJ54" s="31"/>
      <c r="BK54" s="1465"/>
      <c r="BL54" s="1370"/>
      <c r="BM54" s="31"/>
      <c r="BN54" s="1465"/>
      <c r="BO54" s="1370"/>
      <c r="BP54" s="31"/>
      <c r="BQ54" s="1465"/>
      <c r="BR54" s="1370"/>
      <c r="BS54" s="31"/>
      <c r="BT54" s="1465"/>
      <c r="BU54" s="1370"/>
      <c r="BV54" s="31"/>
      <c r="BW54" s="1465"/>
      <c r="BX54" s="1370"/>
      <c r="BY54" s="31"/>
      <c r="BZ54" s="1465"/>
      <c r="CA54" s="1370"/>
      <c r="CB54" s="31"/>
      <c r="CC54" s="1465"/>
      <c r="CD54" s="1370"/>
      <c r="CE54" s="31"/>
      <c r="CF54" s="1465"/>
      <c r="CG54" s="1370"/>
      <c r="CH54" s="31"/>
      <c r="CI54" s="1465"/>
      <c r="CJ54" s="1370"/>
      <c r="CK54" s="31"/>
      <c r="CL54" s="1273"/>
    </row>
    <row r="55" ht="18.75" customHeight="1">
      <c r="A55" s="1238"/>
      <c r="B55" s="1238"/>
      <c r="C55" s="1370"/>
      <c r="D55" s="1370"/>
      <c r="E55" s="1370"/>
      <c r="F55" s="1370"/>
      <c r="G55" s="1370"/>
      <c r="H55" s="1370"/>
      <c r="I55" s="1370"/>
      <c r="J55" s="1370"/>
      <c r="K55" s="1370"/>
      <c r="L55" s="1370"/>
      <c r="M55" s="1370"/>
      <c r="N55" s="31"/>
      <c r="O55" s="1465"/>
      <c r="P55" s="1370"/>
      <c r="Q55" s="31"/>
      <c r="R55" s="1465"/>
      <c r="S55" s="1370"/>
      <c r="T55" s="31"/>
      <c r="U55" s="1465"/>
      <c r="V55" s="1370"/>
      <c r="W55" s="31"/>
      <c r="X55" s="1465"/>
      <c r="Y55" s="1370"/>
      <c r="Z55" s="31"/>
      <c r="AA55" s="1465"/>
      <c r="AB55" s="1370"/>
      <c r="AC55" s="1371"/>
      <c r="AD55" s="1465"/>
      <c r="AE55" s="1370"/>
      <c r="AF55" s="1371"/>
      <c r="AG55" s="1465"/>
      <c r="AH55" s="1370"/>
      <c r="AI55" s="31"/>
      <c r="AJ55" s="1465"/>
      <c r="AK55" s="1370"/>
      <c r="AL55" s="31"/>
      <c r="AM55" s="1465"/>
      <c r="AN55" s="1345"/>
      <c r="AO55" s="1294" t="s">
        <v>2355</v>
      </c>
      <c r="AP55" s="1465"/>
      <c r="AQ55" s="1346"/>
      <c r="AR55" s="1296" t="s">
        <v>2356</v>
      </c>
      <c r="AS55" s="1465"/>
      <c r="AT55" s="1347"/>
      <c r="AU55" s="1298" t="s">
        <v>2357</v>
      </c>
      <c r="AV55" s="1465"/>
      <c r="AW55" s="1370"/>
      <c r="AX55" s="31"/>
      <c r="AY55" s="1465"/>
      <c r="AZ55" s="1370"/>
      <c r="BA55" s="31"/>
      <c r="BB55" s="1465"/>
      <c r="BC55" s="1370"/>
      <c r="BD55" s="31"/>
      <c r="BE55" s="1465"/>
      <c r="BF55" s="1370"/>
      <c r="BG55" s="31"/>
      <c r="BH55" s="1465"/>
      <c r="BI55" s="1370"/>
      <c r="BJ55" s="31"/>
      <c r="BK55" s="1465"/>
      <c r="BL55" s="1370"/>
      <c r="BM55" s="31"/>
      <c r="BN55" s="1465"/>
      <c r="BO55" s="1370"/>
      <c r="BP55" s="31"/>
      <c r="BQ55" s="1465"/>
      <c r="BR55" s="1370"/>
      <c r="BS55" s="31"/>
      <c r="BT55" s="1465"/>
      <c r="BU55" s="1370"/>
      <c r="BV55" s="31"/>
      <c r="BW55" s="1465"/>
      <c r="BX55" s="1370"/>
      <c r="BY55" s="31"/>
      <c r="BZ55" s="1465"/>
      <c r="CA55" s="1370"/>
      <c r="CB55" s="31"/>
      <c r="CC55" s="1465"/>
      <c r="CD55" s="1370"/>
      <c r="CE55" s="31"/>
      <c r="CF55" s="1465"/>
      <c r="CG55" s="1370"/>
      <c r="CH55" s="31"/>
      <c r="CI55" s="1465"/>
      <c r="CJ55" s="1370"/>
      <c r="CK55" s="31"/>
      <c r="CL55" s="1273"/>
    </row>
    <row r="56" ht="18.75" customHeight="1">
      <c r="A56" s="1238"/>
      <c r="B56" s="1238"/>
      <c r="C56" s="1370"/>
      <c r="D56" s="1370"/>
      <c r="E56" s="1370"/>
      <c r="F56" s="1370"/>
      <c r="G56" s="1370"/>
      <c r="H56" s="1370"/>
      <c r="I56" s="1370"/>
      <c r="J56" s="1370"/>
      <c r="K56" s="1370"/>
      <c r="L56" s="1370"/>
      <c r="M56" s="1370"/>
      <c r="N56" s="31"/>
      <c r="O56" s="1465"/>
      <c r="P56" s="1370"/>
      <c r="Q56" s="31"/>
      <c r="R56" s="1465"/>
      <c r="S56" s="1370"/>
      <c r="T56" s="31"/>
      <c r="U56" s="1465"/>
      <c r="V56" s="1370"/>
      <c r="W56" s="31"/>
      <c r="X56" s="1465"/>
      <c r="Y56" s="1370"/>
      <c r="Z56" s="31"/>
      <c r="AA56" s="1465"/>
      <c r="AB56" s="1370"/>
      <c r="AC56" s="1371"/>
      <c r="AD56" s="1465"/>
      <c r="AE56" s="1370"/>
      <c r="AF56" s="1371"/>
      <c r="AG56" s="1465"/>
      <c r="AH56" s="1370"/>
      <c r="AI56" s="31"/>
      <c r="AJ56" s="1465"/>
      <c r="AK56" s="1370"/>
      <c r="AL56" s="31"/>
      <c r="AM56" s="1465"/>
      <c r="AN56" s="1322"/>
      <c r="AO56" s="1323" t="s">
        <v>2358</v>
      </c>
      <c r="AP56" s="1465"/>
      <c r="AQ56" s="1324"/>
      <c r="AR56" s="1325" t="s">
        <v>2359</v>
      </c>
      <c r="AS56" s="1465"/>
      <c r="AT56" s="1326"/>
      <c r="AU56" s="1327" t="s">
        <v>2360</v>
      </c>
      <c r="AV56" s="1465"/>
      <c r="AW56" s="1370"/>
      <c r="AX56" s="31"/>
      <c r="AY56" s="1465"/>
      <c r="AZ56" s="1370"/>
      <c r="BA56" s="31"/>
      <c r="BB56" s="1465"/>
      <c r="BC56" s="1370"/>
      <c r="BD56" s="31"/>
      <c r="BE56" s="1465"/>
      <c r="BF56" s="1370"/>
      <c r="BG56" s="31"/>
      <c r="BH56" s="1465"/>
      <c r="BI56" s="1370"/>
      <c r="BJ56" s="31"/>
      <c r="BK56" s="1465"/>
      <c r="BL56" s="1370"/>
      <c r="BM56" s="31"/>
      <c r="BN56" s="1465"/>
      <c r="BO56" s="1370"/>
      <c r="BP56" s="31"/>
      <c r="BQ56" s="1465"/>
      <c r="BR56" s="1370"/>
      <c r="BS56" s="31"/>
      <c r="BT56" s="1465"/>
      <c r="BU56" s="1370"/>
      <c r="BV56" s="31"/>
      <c r="BW56" s="1465"/>
      <c r="BX56" s="1370"/>
      <c r="BY56" s="31"/>
      <c r="BZ56" s="1465"/>
      <c r="CA56" s="1370"/>
      <c r="CB56" s="31"/>
      <c r="CC56" s="1465"/>
      <c r="CD56" s="1370"/>
      <c r="CE56" s="31"/>
      <c r="CF56" s="1465"/>
      <c r="CG56" s="1370"/>
      <c r="CH56" s="31"/>
      <c r="CI56" s="1465"/>
      <c r="CJ56" s="1370"/>
      <c r="CK56" s="31"/>
      <c r="CL56" s="1273"/>
    </row>
    <row r="57" ht="18.75" customHeight="1">
      <c r="A57" s="1238"/>
      <c r="B57" s="1238"/>
      <c r="C57" s="1370"/>
      <c r="D57" s="1370"/>
      <c r="E57" s="1370"/>
      <c r="F57" s="1370"/>
      <c r="G57" s="1370"/>
      <c r="H57" s="1370"/>
      <c r="I57" s="1370"/>
      <c r="J57" s="1370"/>
      <c r="K57" s="1370"/>
      <c r="L57" s="1370"/>
      <c r="M57" s="1370"/>
      <c r="N57" s="31"/>
      <c r="O57" s="1465"/>
      <c r="P57" s="1370"/>
      <c r="Q57" s="31"/>
      <c r="R57" s="1465"/>
      <c r="S57" s="1370"/>
      <c r="T57" s="31"/>
      <c r="U57" s="1465"/>
      <c r="V57" s="1370"/>
      <c r="W57" s="31"/>
      <c r="X57" s="1465"/>
      <c r="Y57" s="1370"/>
      <c r="Z57" s="31"/>
      <c r="AA57" s="1465"/>
      <c r="AB57" s="1370"/>
      <c r="AC57" s="1371"/>
      <c r="AD57" s="1465"/>
      <c r="AE57" s="1370"/>
      <c r="AF57" s="1371"/>
      <c r="AG57" s="1465"/>
      <c r="AH57" s="1370"/>
      <c r="AI57" s="31"/>
      <c r="AJ57" s="1465"/>
      <c r="AK57" s="1370"/>
      <c r="AL57" s="31"/>
      <c r="AM57" s="1465"/>
      <c r="AN57" s="1345"/>
      <c r="AO57" s="1294" t="s">
        <v>2361</v>
      </c>
      <c r="AP57" s="1465"/>
      <c r="AQ57" s="1346"/>
      <c r="AR57" s="1296" t="s">
        <v>2362</v>
      </c>
      <c r="AS57" s="1465"/>
      <c r="AT57" s="1347"/>
      <c r="AU57" s="1298" t="s">
        <v>2363</v>
      </c>
      <c r="AV57" s="1465"/>
      <c r="AW57" s="1370"/>
      <c r="AX57" s="31"/>
      <c r="AY57" s="1465"/>
      <c r="AZ57" s="1370"/>
      <c r="BA57" s="31"/>
      <c r="BB57" s="1465"/>
      <c r="BC57" s="1370"/>
      <c r="BD57" s="31"/>
      <c r="BE57" s="1465"/>
      <c r="BF57" s="1370"/>
      <c r="BG57" s="31"/>
      <c r="BH57" s="1465"/>
      <c r="BI57" s="1370"/>
      <c r="BJ57" s="31"/>
      <c r="BK57" s="1465"/>
      <c r="BL57" s="1370"/>
      <c r="BM57" s="31"/>
      <c r="BN57" s="1465"/>
      <c r="BO57" s="1370"/>
      <c r="BP57" s="31"/>
      <c r="BQ57" s="1465"/>
      <c r="BR57" s="1370"/>
      <c r="BS57" s="31"/>
      <c r="BT57" s="1465"/>
      <c r="BU57" s="1370"/>
      <c r="BV57" s="31"/>
      <c r="BW57" s="1465"/>
      <c r="BX57" s="1370"/>
      <c r="BY57" s="31"/>
      <c r="BZ57" s="1465"/>
      <c r="CA57" s="1370"/>
      <c r="CB57" s="31"/>
      <c r="CC57" s="1465"/>
      <c r="CD57" s="1370"/>
      <c r="CE57" s="31"/>
      <c r="CF57" s="1465"/>
      <c r="CG57" s="1370"/>
      <c r="CH57" s="31"/>
      <c r="CI57" s="1465"/>
      <c r="CJ57" s="1370"/>
      <c r="CK57" s="31"/>
      <c r="CL57" s="1273"/>
    </row>
    <row r="58" ht="18.75" customHeight="1">
      <c r="A58" s="1238"/>
      <c r="B58" s="1238"/>
      <c r="C58" s="1370"/>
      <c r="D58" s="1370"/>
      <c r="E58" s="1370"/>
      <c r="F58" s="1370"/>
      <c r="G58" s="1370"/>
      <c r="H58" s="1370"/>
      <c r="I58" s="1370"/>
      <c r="J58" s="1370"/>
      <c r="K58" s="1370"/>
      <c r="L58" s="1370"/>
      <c r="M58" s="1370"/>
      <c r="N58" s="31"/>
      <c r="O58" s="1465"/>
      <c r="P58" s="1370"/>
      <c r="Q58" s="31"/>
      <c r="R58" s="1465"/>
      <c r="S58" s="1370"/>
      <c r="T58" s="31"/>
      <c r="U58" s="1465"/>
      <c r="V58" s="1370"/>
      <c r="W58" s="31"/>
      <c r="X58" s="1465"/>
      <c r="Y58" s="1370"/>
      <c r="Z58" s="31"/>
      <c r="AA58" s="1465"/>
      <c r="AB58" s="1370"/>
      <c r="AC58" s="1371"/>
      <c r="AD58" s="1465"/>
      <c r="AE58" s="1370"/>
      <c r="AF58" s="1371"/>
      <c r="AG58" s="1465"/>
      <c r="AH58" s="1370"/>
      <c r="AI58" s="31"/>
      <c r="AJ58" s="1465"/>
      <c r="AK58" s="1370"/>
      <c r="AL58" s="31"/>
      <c r="AM58" s="1465"/>
      <c r="AN58" s="1322"/>
      <c r="AO58" s="1323" t="s">
        <v>2118</v>
      </c>
      <c r="AP58" s="1465"/>
      <c r="AQ58" s="1324"/>
      <c r="AR58" s="1325" t="s">
        <v>2364</v>
      </c>
      <c r="AS58" s="1465"/>
      <c r="AT58" s="1326"/>
      <c r="AU58" s="1327" t="s">
        <v>2365</v>
      </c>
      <c r="AV58" s="1465"/>
      <c r="AW58" s="1370"/>
      <c r="AX58" s="31"/>
      <c r="AY58" s="1465"/>
      <c r="AZ58" s="1370"/>
      <c r="BA58" s="31"/>
      <c r="BB58" s="1465"/>
      <c r="BC58" s="1370"/>
      <c r="BD58" s="31"/>
      <c r="BE58" s="1465"/>
      <c r="BF58" s="1370"/>
      <c r="BG58" s="31"/>
      <c r="BH58" s="1465"/>
      <c r="BI58" s="1370"/>
      <c r="BJ58" s="31"/>
      <c r="BK58" s="1465"/>
      <c r="BL58" s="1370"/>
      <c r="BM58" s="31"/>
      <c r="BN58" s="1465"/>
      <c r="BO58" s="1370"/>
      <c r="BP58" s="31"/>
      <c r="BQ58" s="1465"/>
      <c r="BR58" s="1370"/>
      <c r="BS58" s="31"/>
      <c r="BT58" s="1465"/>
      <c r="BU58" s="1370"/>
      <c r="BV58" s="31"/>
      <c r="BW58" s="1465"/>
      <c r="BX58" s="1370"/>
      <c r="BY58" s="31"/>
      <c r="BZ58" s="1465"/>
      <c r="CA58" s="1370"/>
      <c r="CB58" s="31"/>
      <c r="CC58" s="1465"/>
      <c r="CD58" s="1370"/>
      <c r="CE58" s="31"/>
      <c r="CF58" s="1465"/>
      <c r="CG58" s="1370"/>
      <c r="CH58" s="31"/>
      <c r="CI58" s="1465"/>
      <c r="CJ58" s="1370"/>
      <c r="CK58" s="31"/>
      <c r="CL58" s="1273"/>
    </row>
    <row r="59" ht="18.75" customHeight="1">
      <c r="A59" s="1238"/>
      <c r="B59" s="1238"/>
      <c r="C59" s="1370"/>
      <c r="D59" s="1370"/>
      <c r="E59" s="1370"/>
      <c r="F59" s="1370"/>
      <c r="G59" s="1370"/>
      <c r="H59" s="1370"/>
      <c r="I59" s="1370"/>
      <c r="J59" s="1370"/>
      <c r="K59" s="1370"/>
      <c r="L59" s="1370"/>
      <c r="M59" s="1370"/>
      <c r="N59" s="31"/>
      <c r="O59" s="1465"/>
      <c r="P59" s="1370"/>
      <c r="Q59" s="31"/>
      <c r="R59" s="1465"/>
      <c r="S59" s="1370"/>
      <c r="T59" s="31"/>
      <c r="U59" s="1465"/>
      <c r="V59" s="1370"/>
      <c r="W59" s="31"/>
      <c r="X59" s="1465"/>
      <c r="Y59" s="1370"/>
      <c r="Z59" s="31"/>
      <c r="AA59" s="1465"/>
      <c r="AB59" s="1370"/>
      <c r="AC59" s="1371"/>
      <c r="AD59" s="1465"/>
      <c r="AE59" s="1370"/>
      <c r="AF59" s="1371"/>
      <c r="AG59" s="1465"/>
      <c r="AH59" s="1370"/>
      <c r="AI59" s="31"/>
      <c r="AJ59" s="1465"/>
      <c r="AK59" s="1370"/>
      <c r="AL59" s="31"/>
      <c r="AM59" s="1465"/>
      <c r="AN59" s="1345"/>
      <c r="AO59" s="1294" t="s">
        <v>2366</v>
      </c>
      <c r="AP59" s="1465"/>
      <c r="AQ59" s="1346"/>
      <c r="AR59" s="1296" t="s">
        <v>2367</v>
      </c>
      <c r="AS59" s="1465"/>
      <c r="AT59" s="1347"/>
      <c r="AU59" s="1298" t="s">
        <v>2368</v>
      </c>
      <c r="AV59" s="1465"/>
      <c r="AW59" s="1370"/>
      <c r="AX59" s="31"/>
      <c r="AY59" s="1465"/>
      <c r="AZ59" s="1370"/>
      <c r="BA59" s="31"/>
      <c r="BB59" s="1465"/>
      <c r="BC59" s="1370"/>
      <c r="BD59" s="31"/>
      <c r="BE59" s="1465"/>
      <c r="BF59" s="1370"/>
      <c r="BG59" s="31"/>
      <c r="BH59" s="1465"/>
      <c r="BI59" s="1370"/>
      <c r="BJ59" s="31"/>
      <c r="BK59" s="1465"/>
      <c r="BL59" s="1370"/>
      <c r="BM59" s="31"/>
      <c r="BN59" s="1465"/>
      <c r="BO59" s="1370"/>
      <c r="BP59" s="31"/>
      <c r="BQ59" s="1465"/>
      <c r="BR59" s="1370"/>
      <c r="BS59" s="31"/>
      <c r="BT59" s="1465"/>
      <c r="BU59" s="1370"/>
      <c r="BV59" s="31"/>
      <c r="BW59" s="1465"/>
      <c r="BX59" s="1370"/>
      <c r="BY59" s="31"/>
      <c r="BZ59" s="1465"/>
      <c r="CA59" s="1370"/>
      <c r="CB59" s="31"/>
      <c r="CC59" s="1465"/>
      <c r="CD59" s="1370"/>
      <c r="CE59" s="31"/>
      <c r="CF59" s="1465"/>
      <c r="CG59" s="1370"/>
      <c r="CH59" s="31"/>
      <c r="CI59" s="1465"/>
      <c r="CJ59" s="1370"/>
      <c r="CK59" s="31"/>
      <c r="CL59" s="1273"/>
    </row>
    <row r="60" ht="18.75" customHeight="1">
      <c r="A60" s="1238"/>
      <c r="B60" s="1238"/>
      <c r="C60" s="1370"/>
      <c r="D60" s="1370"/>
      <c r="E60" s="1370"/>
      <c r="F60" s="1370"/>
      <c r="G60" s="1370"/>
      <c r="H60" s="1370"/>
      <c r="I60" s="1370"/>
      <c r="J60" s="1370"/>
      <c r="K60" s="1370"/>
      <c r="L60" s="1370"/>
      <c r="M60" s="1370"/>
      <c r="N60" s="31"/>
      <c r="O60" s="1465"/>
      <c r="P60" s="1370"/>
      <c r="Q60" s="31"/>
      <c r="R60" s="1465"/>
      <c r="S60" s="1370"/>
      <c r="T60" s="31"/>
      <c r="U60" s="1465"/>
      <c r="V60" s="1370"/>
      <c r="W60" s="31"/>
      <c r="X60" s="1465"/>
      <c r="Y60" s="1370"/>
      <c r="Z60" s="31"/>
      <c r="AA60" s="1465"/>
      <c r="AB60" s="1370"/>
      <c r="AC60" s="1371"/>
      <c r="AD60" s="1465"/>
      <c r="AE60" s="1370"/>
      <c r="AF60" s="1371"/>
      <c r="AG60" s="1465"/>
      <c r="AH60" s="1370"/>
      <c r="AI60" s="31"/>
      <c r="AJ60" s="1465"/>
      <c r="AK60" s="1370"/>
      <c r="AL60" s="31"/>
      <c r="AM60" s="1465"/>
      <c r="AN60" s="1322"/>
      <c r="AO60" s="1323" t="s">
        <v>2369</v>
      </c>
      <c r="AP60" s="1465"/>
      <c r="AQ60" s="1324"/>
      <c r="AR60" s="1325" t="s">
        <v>2370</v>
      </c>
      <c r="AS60" s="1465"/>
      <c r="AT60" s="1326"/>
      <c r="AU60" s="1327" t="s">
        <v>2371</v>
      </c>
      <c r="AV60" s="1465"/>
      <c r="AW60" s="1370"/>
      <c r="AX60" s="31"/>
      <c r="AY60" s="1465"/>
      <c r="AZ60" s="1370"/>
      <c r="BA60" s="31"/>
      <c r="BB60" s="1465"/>
      <c r="BC60" s="1370"/>
      <c r="BD60" s="31"/>
      <c r="BE60" s="1465"/>
      <c r="BF60" s="1370"/>
      <c r="BG60" s="31"/>
      <c r="BH60" s="1465"/>
      <c r="BI60" s="1370"/>
      <c r="BJ60" s="31"/>
      <c r="BK60" s="1465"/>
      <c r="BL60" s="1370"/>
      <c r="BM60" s="31"/>
      <c r="BN60" s="1465"/>
      <c r="BO60" s="1370"/>
      <c r="BP60" s="31"/>
      <c r="BQ60" s="1465"/>
      <c r="BR60" s="1370"/>
      <c r="BS60" s="31"/>
      <c r="BT60" s="1465"/>
      <c r="BU60" s="1370"/>
      <c r="BV60" s="31"/>
      <c r="BW60" s="1465"/>
      <c r="BX60" s="1370"/>
      <c r="BY60" s="31"/>
      <c r="BZ60" s="1465"/>
      <c r="CA60" s="1370"/>
      <c r="CB60" s="31"/>
      <c r="CC60" s="1465"/>
      <c r="CD60" s="1370"/>
      <c r="CE60" s="31"/>
      <c r="CF60" s="1465"/>
      <c r="CG60" s="1370"/>
      <c r="CH60" s="31"/>
      <c r="CI60" s="1465"/>
      <c r="CJ60" s="1370"/>
      <c r="CK60" s="31"/>
      <c r="CL60" s="1273"/>
    </row>
    <row r="61" ht="18.75" customHeight="1">
      <c r="A61" s="1238"/>
      <c r="B61" s="1238"/>
      <c r="C61" s="1370"/>
      <c r="D61" s="1370"/>
      <c r="E61" s="1370"/>
      <c r="F61" s="1370"/>
      <c r="G61" s="1370"/>
      <c r="H61" s="1370"/>
      <c r="I61" s="1370"/>
      <c r="J61" s="1370"/>
      <c r="K61" s="1370"/>
      <c r="L61" s="1370"/>
      <c r="M61" s="1370"/>
      <c r="N61" s="31"/>
      <c r="O61" s="1465"/>
      <c r="P61" s="1370"/>
      <c r="Q61" s="31"/>
      <c r="R61" s="1465"/>
      <c r="S61" s="1370"/>
      <c r="T61" s="31"/>
      <c r="U61" s="1465"/>
      <c r="V61" s="1370"/>
      <c r="W61" s="31"/>
      <c r="X61" s="1465"/>
      <c r="Y61" s="1370"/>
      <c r="Z61" s="31"/>
      <c r="AA61" s="1465"/>
      <c r="AB61" s="1370"/>
      <c r="AC61" s="1371"/>
      <c r="AD61" s="1465"/>
      <c r="AE61" s="1370"/>
      <c r="AF61" s="1371"/>
      <c r="AG61" s="1465"/>
      <c r="AH61" s="1370"/>
      <c r="AI61" s="31"/>
      <c r="AJ61" s="1465"/>
      <c r="AK61" s="1370"/>
      <c r="AL61" s="31"/>
      <c r="AM61" s="1465"/>
      <c r="AN61" s="1345"/>
      <c r="AO61" s="1294" t="s">
        <v>2372</v>
      </c>
      <c r="AP61" s="1465"/>
      <c r="AQ61" s="1346"/>
      <c r="AR61" s="1296" t="s">
        <v>2373</v>
      </c>
      <c r="AS61" s="1465"/>
      <c r="AT61" s="1347"/>
      <c r="AU61" s="1298" t="s">
        <v>2374</v>
      </c>
      <c r="AV61" s="1465"/>
      <c r="AW61" s="1370"/>
      <c r="AX61" s="31"/>
      <c r="AY61" s="1465"/>
      <c r="AZ61" s="1370"/>
      <c r="BA61" s="31"/>
      <c r="BB61" s="1465"/>
      <c r="BC61" s="1370"/>
      <c r="BD61" s="31"/>
      <c r="BE61" s="1465"/>
      <c r="BF61" s="1370"/>
      <c r="BG61" s="31"/>
      <c r="BH61" s="1465"/>
      <c r="BI61" s="1370"/>
      <c r="BJ61" s="31"/>
      <c r="BK61" s="1465"/>
      <c r="BL61" s="1370"/>
      <c r="BM61" s="31"/>
      <c r="BN61" s="1465"/>
      <c r="BO61" s="1370"/>
      <c r="BP61" s="31"/>
      <c r="BQ61" s="1465"/>
      <c r="BR61" s="1370"/>
      <c r="BS61" s="31"/>
      <c r="BT61" s="1465"/>
      <c r="BU61" s="1370"/>
      <c r="BV61" s="31"/>
      <c r="BW61" s="1465"/>
      <c r="BX61" s="1370"/>
      <c r="BY61" s="31"/>
      <c r="BZ61" s="1465"/>
      <c r="CA61" s="1370"/>
      <c r="CB61" s="31"/>
      <c r="CC61" s="1465"/>
      <c r="CD61" s="1370"/>
      <c r="CE61" s="31"/>
      <c r="CF61" s="1465"/>
      <c r="CG61" s="1370"/>
      <c r="CH61" s="31"/>
      <c r="CI61" s="1465"/>
      <c r="CJ61" s="1370"/>
      <c r="CK61" s="31"/>
      <c r="CL61" s="1273"/>
    </row>
    <row r="62" ht="18.75" customHeight="1">
      <c r="A62" s="1238"/>
      <c r="B62" s="1238"/>
      <c r="C62" s="1370"/>
      <c r="D62" s="1370"/>
      <c r="E62" s="1370"/>
      <c r="F62" s="1370"/>
      <c r="G62" s="1370"/>
      <c r="H62" s="1370"/>
      <c r="I62" s="1370"/>
      <c r="J62" s="1370"/>
      <c r="K62" s="1370"/>
      <c r="L62" s="1370"/>
      <c r="M62" s="1370"/>
      <c r="N62" s="31"/>
      <c r="O62" s="1465"/>
      <c r="P62" s="1370"/>
      <c r="Q62" s="31"/>
      <c r="R62" s="1465"/>
      <c r="S62" s="1370"/>
      <c r="T62" s="31"/>
      <c r="U62" s="1465"/>
      <c r="V62" s="1370"/>
      <c r="W62" s="31"/>
      <c r="X62" s="1465"/>
      <c r="Y62" s="1370"/>
      <c r="Z62" s="31"/>
      <c r="AA62" s="1465"/>
      <c r="AB62" s="1370"/>
      <c r="AC62" s="1371"/>
      <c r="AD62" s="1465"/>
      <c r="AE62" s="1370"/>
      <c r="AF62" s="1371"/>
      <c r="AG62" s="1465"/>
      <c r="AH62" s="1370"/>
      <c r="AI62" s="31"/>
      <c r="AJ62" s="1465"/>
      <c r="AK62" s="1370"/>
      <c r="AL62" s="31"/>
      <c r="AM62" s="1465"/>
      <c r="AN62" s="1322"/>
      <c r="AO62" s="1323" t="s">
        <v>2375</v>
      </c>
      <c r="AP62" s="1465"/>
      <c r="AQ62" s="1324"/>
      <c r="AR62" s="1325" t="s">
        <v>2376</v>
      </c>
      <c r="AS62" s="1465"/>
      <c r="AT62" s="1326"/>
      <c r="AU62" s="1327" t="s">
        <v>2377</v>
      </c>
      <c r="AV62" s="1465"/>
      <c r="AW62" s="1370"/>
      <c r="AX62" s="31"/>
      <c r="AY62" s="1465"/>
      <c r="AZ62" s="1370"/>
      <c r="BA62" s="31"/>
      <c r="BB62" s="1465"/>
      <c r="BC62" s="1370"/>
      <c r="BD62" s="31"/>
      <c r="BE62" s="1465"/>
      <c r="BF62" s="1370"/>
      <c r="BG62" s="31"/>
      <c r="BH62" s="1465"/>
      <c r="BI62" s="1370"/>
      <c r="BJ62" s="31"/>
      <c r="BK62" s="1465"/>
      <c r="BL62" s="1370"/>
      <c r="BM62" s="31"/>
      <c r="BN62" s="1465"/>
      <c r="BO62" s="1370"/>
      <c r="BP62" s="31"/>
      <c r="BQ62" s="1465"/>
      <c r="BR62" s="1370"/>
      <c r="BS62" s="31"/>
      <c r="BT62" s="1465"/>
      <c r="BU62" s="1370"/>
      <c r="BV62" s="31"/>
      <c r="BW62" s="1465"/>
      <c r="BX62" s="1370"/>
      <c r="BY62" s="31"/>
      <c r="BZ62" s="1465"/>
      <c r="CA62" s="1370"/>
      <c r="CB62" s="31"/>
      <c r="CC62" s="1465"/>
      <c r="CD62" s="1370"/>
      <c r="CE62" s="31"/>
      <c r="CF62" s="1465"/>
      <c r="CG62" s="1370"/>
      <c r="CH62" s="31"/>
      <c r="CI62" s="1465"/>
      <c r="CJ62" s="1370"/>
      <c r="CK62" s="31"/>
      <c r="CL62" s="1273"/>
    </row>
    <row r="63" ht="18.75" customHeight="1">
      <c r="A63" s="1238"/>
      <c r="B63" s="1238"/>
      <c r="C63" s="1370"/>
      <c r="D63" s="1370"/>
      <c r="E63" s="1370"/>
      <c r="F63" s="1370"/>
      <c r="G63" s="1370"/>
      <c r="H63" s="1370"/>
      <c r="I63" s="1370"/>
      <c r="J63" s="1370"/>
      <c r="K63" s="1370"/>
      <c r="L63" s="1370"/>
      <c r="M63" s="1370"/>
      <c r="N63" s="31"/>
      <c r="O63" s="1465"/>
      <c r="P63" s="1370"/>
      <c r="Q63" s="31"/>
      <c r="R63" s="1465"/>
      <c r="S63" s="1370"/>
      <c r="T63" s="31"/>
      <c r="U63" s="1465"/>
      <c r="V63" s="1370"/>
      <c r="W63" s="31"/>
      <c r="X63" s="1465"/>
      <c r="Y63" s="1370"/>
      <c r="Z63" s="31"/>
      <c r="AA63" s="1465"/>
      <c r="AB63" s="1370"/>
      <c r="AC63" s="1371"/>
      <c r="AD63" s="1465"/>
      <c r="AE63" s="1370"/>
      <c r="AF63" s="1371"/>
      <c r="AG63" s="1465"/>
      <c r="AH63" s="1370"/>
      <c r="AI63" s="31"/>
      <c r="AJ63" s="1465"/>
      <c r="AK63" s="1370"/>
      <c r="AL63" s="31"/>
      <c r="AM63" s="1465"/>
      <c r="AN63" s="1345"/>
      <c r="AO63" s="1294" t="s">
        <v>2378</v>
      </c>
      <c r="AP63" s="1465"/>
      <c r="AQ63" s="1346"/>
      <c r="AR63" s="1296" t="s">
        <v>2379</v>
      </c>
      <c r="AS63" s="1465"/>
      <c r="AT63" s="1347"/>
      <c r="AU63" s="1298" t="s">
        <v>2380</v>
      </c>
      <c r="AV63" s="1465"/>
      <c r="AW63" s="1370"/>
      <c r="AX63" s="31"/>
      <c r="AY63" s="1465"/>
      <c r="AZ63" s="1370"/>
      <c r="BA63" s="31"/>
      <c r="BB63" s="1465"/>
      <c r="BC63" s="1370"/>
      <c r="BD63" s="31"/>
      <c r="BE63" s="1465"/>
      <c r="BF63" s="1370"/>
      <c r="BG63" s="31"/>
      <c r="BH63" s="1465"/>
      <c r="BI63" s="1370"/>
      <c r="BJ63" s="31"/>
      <c r="BK63" s="1465"/>
      <c r="BL63" s="1370"/>
      <c r="BM63" s="31"/>
      <c r="BN63" s="1465"/>
      <c r="BO63" s="1370"/>
      <c r="BP63" s="31"/>
      <c r="BQ63" s="1465"/>
      <c r="BR63" s="1370"/>
      <c r="BS63" s="31"/>
      <c r="BT63" s="1465"/>
      <c r="BU63" s="1370"/>
      <c r="BV63" s="31"/>
      <c r="BW63" s="1465"/>
      <c r="BX63" s="1370"/>
      <c r="BY63" s="31"/>
      <c r="BZ63" s="1465"/>
      <c r="CA63" s="1370"/>
      <c r="CB63" s="31"/>
      <c r="CC63" s="1465"/>
      <c r="CD63" s="1370"/>
      <c r="CE63" s="31"/>
      <c r="CF63" s="1465"/>
      <c r="CG63" s="1370"/>
      <c r="CH63" s="31"/>
      <c r="CI63" s="1465"/>
      <c r="CJ63" s="1370"/>
      <c r="CK63" s="31"/>
      <c r="CL63" s="1273"/>
    </row>
    <row r="64" ht="18.75" customHeight="1">
      <c r="A64" s="1238"/>
      <c r="B64" s="1238"/>
      <c r="C64" s="1370"/>
      <c r="D64" s="1370"/>
      <c r="E64" s="1370"/>
      <c r="F64" s="1370"/>
      <c r="G64" s="1370"/>
      <c r="H64" s="1370"/>
      <c r="I64" s="1370"/>
      <c r="J64" s="1370"/>
      <c r="K64" s="1370"/>
      <c r="L64" s="1370"/>
      <c r="M64" s="1370"/>
      <c r="N64" s="31"/>
      <c r="O64" s="1465"/>
      <c r="P64" s="1370"/>
      <c r="Q64" s="31"/>
      <c r="R64" s="1465"/>
      <c r="S64" s="1370"/>
      <c r="T64" s="31"/>
      <c r="U64" s="1465"/>
      <c r="V64" s="1370"/>
      <c r="W64" s="31"/>
      <c r="X64" s="1465"/>
      <c r="Y64" s="1370"/>
      <c r="Z64" s="31"/>
      <c r="AA64" s="1465"/>
      <c r="AB64" s="1370"/>
      <c r="AC64" s="1371"/>
      <c r="AD64" s="1465"/>
      <c r="AE64" s="1370"/>
      <c r="AF64" s="1371"/>
      <c r="AG64" s="1465"/>
      <c r="AH64" s="1370"/>
      <c r="AI64" s="31"/>
      <c r="AJ64" s="1465"/>
      <c r="AK64" s="1370"/>
      <c r="AL64" s="31"/>
      <c r="AM64" s="1465"/>
      <c r="AN64" s="1322"/>
      <c r="AO64" s="1323" t="s">
        <v>2381</v>
      </c>
      <c r="AP64" s="1465"/>
      <c r="AQ64" s="1324"/>
      <c r="AR64" s="1325" t="s">
        <v>2382</v>
      </c>
      <c r="AS64" s="1465"/>
      <c r="AT64" s="1326"/>
      <c r="AU64" s="1327" t="s">
        <v>2383</v>
      </c>
      <c r="AV64" s="1465"/>
      <c r="AW64" s="1370"/>
      <c r="AX64" s="31"/>
      <c r="AY64" s="1465"/>
      <c r="AZ64" s="1370"/>
      <c r="BA64" s="31"/>
      <c r="BB64" s="1465"/>
      <c r="BC64" s="1370"/>
      <c r="BD64" s="31"/>
      <c r="BE64" s="1465"/>
      <c r="BF64" s="1370"/>
      <c r="BG64" s="31"/>
      <c r="BH64" s="1465"/>
      <c r="BI64" s="1370"/>
      <c r="BJ64" s="31"/>
      <c r="BK64" s="1465"/>
      <c r="BL64" s="1370"/>
      <c r="BM64" s="31"/>
      <c r="BN64" s="1465"/>
      <c r="BO64" s="1370"/>
      <c r="BP64" s="31"/>
      <c r="BQ64" s="1465"/>
      <c r="BR64" s="1370"/>
      <c r="BS64" s="31"/>
      <c r="BT64" s="1465"/>
      <c r="BU64" s="1370"/>
      <c r="BV64" s="31"/>
      <c r="BW64" s="1465"/>
      <c r="BX64" s="1370"/>
      <c r="BY64" s="31"/>
      <c r="BZ64" s="1465"/>
      <c r="CA64" s="1370"/>
      <c r="CB64" s="31"/>
      <c r="CC64" s="1465"/>
      <c r="CD64" s="1370"/>
      <c r="CE64" s="31"/>
      <c r="CF64" s="1465"/>
      <c r="CG64" s="1370"/>
      <c r="CH64" s="31"/>
      <c r="CI64" s="1465"/>
      <c r="CJ64" s="1370"/>
      <c r="CK64" s="31"/>
      <c r="CL64" s="1273"/>
    </row>
    <row r="65" ht="18.75" customHeight="1">
      <c r="A65" s="1238"/>
      <c r="B65" s="1238"/>
      <c r="C65" s="1370"/>
      <c r="D65" s="1370"/>
      <c r="E65" s="1370"/>
      <c r="F65" s="1370"/>
      <c r="G65" s="1370"/>
      <c r="H65" s="1370"/>
      <c r="I65" s="1370"/>
      <c r="J65" s="1370"/>
      <c r="K65" s="1370"/>
      <c r="L65" s="1370"/>
      <c r="M65" s="1370"/>
      <c r="N65" s="31"/>
      <c r="O65" s="1465"/>
      <c r="P65" s="1370"/>
      <c r="Q65" s="31"/>
      <c r="R65" s="1465"/>
      <c r="S65" s="1370"/>
      <c r="T65" s="31"/>
      <c r="U65" s="1465"/>
      <c r="V65" s="1370"/>
      <c r="W65" s="31"/>
      <c r="X65" s="1465"/>
      <c r="Y65" s="1370"/>
      <c r="Z65" s="31"/>
      <c r="AA65" s="1465"/>
      <c r="AB65" s="1370"/>
      <c r="AC65" s="1371"/>
      <c r="AD65" s="1465"/>
      <c r="AE65" s="1370"/>
      <c r="AF65" s="1371"/>
      <c r="AG65" s="1465"/>
      <c r="AH65" s="1370"/>
      <c r="AI65" s="31"/>
      <c r="AJ65" s="1465"/>
      <c r="AK65" s="1370"/>
      <c r="AL65" s="31"/>
      <c r="AM65" s="1465"/>
      <c r="AN65" s="1345"/>
      <c r="AO65" s="1294" t="s">
        <v>2384</v>
      </c>
      <c r="AP65" s="1465"/>
      <c r="AQ65" s="1346"/>
      <c r="AR65" s="1296" t="s">
        <v>2385</v>
      </c>
      <c r="AS65" s="1465"/>
      <c r="AT65" s="1347"/>
      <c r="AU65" s="1298" t="s">
        <v>2386</v>
      </c>
      <c r="AV65" s="1465"/>
      <c r="AW65" s="1370"/>
      <c r="AX65" s="31"/>
      <c r="AY65" s="1465"/>
      <c r="AZ65" s="1370"/>
      <c r="BA65" s="31"/>
      <c r="BB65" s="1465"/>
      <c r="BC65" s="1370"/>
      <c r="BD65" s="31"/>
      <c r="BE65" s="1465"/>
      <c r="BF65" s="1370"/>
      <c r="BG65" s="31"/>
      <c r="BH65" s="1465"/>
      <c r="BI65" s="1370"/>
      <c r="BJ65" s="31"/>
      <c r="BK65" s="1465"/>
      <c r="BL65" s="1370"/>
      <c r="BM65" s="31"/>
      <c r="BN65" s="1465"/>
      <c r="BO65" s="1370"/>
      <c r="BP65" s="31"/>
      <c r="BQ65" s="1465"/>
      <c r="BR65" s="1370"/>
      <c r="BS65" s="31"/>
      <c r="BT65" s="1465"/>
      <c r="BU65" s="1370"/>
      <c r="BV65" s="31"/>
      <c r="BW65" s="1465"/>
      <c r="BX65" s="1370"/>
      <c r="BY65" s="31"/>
      <c r="BZ65" s="1465"/>
      <c r="CA65" s="1370"/>
      <c r="CB65" s="31"/>
      <c r="CC65" s="1465"/>
      <c r="CD65" s="1370"/>
      <c r="CE65" s="31"/>
      <c r="CF65" s="1465"/>
      <c r="CG65" s="1370"/>
      <c r="CH65" s="31"/>
      <c r="CI65" s="1465"/>
      <c r="CJ65" s="1370"/>
      <c r="CK65" s="31"/>
      <c r="CL65" s="1273"/>
    </row>
    <row r="66" ht="18.75" customHeight="1">
      <c r="A66" s="1238"/>
      <c r="B66" s="1238"/>
      <c r="C66" s="1370"/>
      <c r="D66" s="1370"/>
      <c r="E66" s="1370"/>
      <c r="F66" s="1370"/>
      <c r="G66" s="1370"/>
      <c r="H66" s="1370"/>
      <c r="I66" s="1370"/>
      <c r="J66" s="1370"/>
      <c r="K66" s="1370"/>
      <c r="L66" s="1370"/>
      <c r="M66" s="1370"/>
      <c r="N66" s="31"/>
      <c r="O66" s="1465"/>
      <c r="P66" s="1370"/>
      <c r="Q66" s="31"/>
      <c r="R66" s="1465"/>
      <c r="S66" s="1370"/>
      <c r="T66" s="31"/>
      <c r="U66" s="1465"/>
      <c r="V66" s="1370"/>
      <c r="W66" s="31"/>
      <c r="X66" s="1465"/>
      <c r="Y66" s="1370"/>
      <c r="Z66" s="31"/>
      <c r="AA66" s="1465"/>
      <c r="AB66" s="1370"/>
      <c r="AC66" s="1371"/>
      <c r="AD66" s="1465"/>
      <c r="AE66" s="1370"/>
      <c r="AF66" s="1371"/>
      <c r="AG66" s="1465"/>
      <c r="AH66" s="1370"/>
      <c r="AI66" s="31"/>
      <c r="AJ66" s="1465"/>
      <c r="AK66" s="1370"/>
      <c r="AL66" s="31"/>
      <c r="AM66" s="1465"/>
      <c r="AN66" s="1322"/>
      <c r="AO66" s="1323" t="s">
        <v>2387</v>
      </c>
      <c r="AP66" s="1465"/>
      <c r="AQ66" s="1324"/>
      <c r="AR66" s="1325" t="s">
        <v>2388</v>
      </c>
      <c r="AS66" s="1465"/>
      <c r="AT66" s="1326"/>
      <c r="AU66" s="1327" t="s">
        <v>2389</v>
      </c>
      <c r="AV66" s="1465"/>
      <c r="AW66" s="1370"/>
      <c r="AX66" s="31"/>
      <c r="AY66" s="1465"/>
      <c r="AZ66" s="1370"/>
      <c r="BA66" s="31"/>
      <c r="BB66" s="1465"/>
      <c r="BC66" s="1370"/>
      <c r="BD66" s="31"/>
      <c r="BE66" s="1465"/>
      <c r="BF66" s="1370"/>
      <c r="BG66" s="31"/>
      <c r="BH66" s="1465"/>
      <c r="BI66" s="1370"/>
      <c r="BJ66" s="31"/>
      <c r="BK66" s="1465"/>
      <c r="BL66" s="1370"/>
      <c r="BM66" s="31"/>
      <c r="BN66" s="1465"/>
      <c r="BO66" s="1370"/>
      <c r="BP66" s="31"/>
      <c r="BQ66" s="1465"/>
      <c r="BR66" s="1370"/>
      <c r="BS66" s="31"/>
      <c r="BT66" s="1465"/>
      <c r="BU66" s="1370"/>
      <c r="BV66" s="31"/>
      <c r="BW66" s="1465"/>
      <c r="BX66" s="1370"/>
      <c r="BY66" s="31"/>
      <c r="BZ66" s="1465"/>
      <c r="CA66" s="1370"/>
      <c r="CB66" s="31"/>
      <c r="CC66" s="1465"/>
      <c r="CD66" s="1370"/>
      <c r="CE66" s="31"/>
      <c r="CF66" s="1465"/>
      <c r="CG66" s="1370"/>
      <c r="CH66" s="31"/>
      <c r="CI66" s="1465"/>
      <c r="CJ66" s="1370"/>
      <c r="CK66" s="31"/>
      <c r="CL66" s="1273"/>
    </row>
    <row r="67" ht="18.75" customHeight="1">
      <c r="A67" s="1238"/>
      <c r="B67" s="1238"/>
      <c r="C67" s="1370"/>
      <c r="D67" s="1370"/>
      <c r="E67" s="1370"/>
      <c r="F67" s="1370"/>
      <c r="G67" s="1370"/>
      <c r="H67" s="1370"/>
      <c r="I67" s="1370"/>
      <c r="J67" s="1370"/>
      <c r="K67" s="1370"/>
      <c r="L67" s="1370"/>
      <c r="M67" s="1370"/>
      <c r="N67" s="31"/>
      <c r="O67" s="1465"/>
      <c r="P67" s="1370"/>
      <c r="Q67" s="31"/>
      <c r="R67" s="1465"/>
      <c r="S67" s="1370"/>
      <c r="T67" s="31"/>
      <c r="U67" s="1465"/>
      <c r="V67" s="1370"/>
      <c r="W67" s="31"/>
      <c r="X67" s="1465"/>
      <c r="Y67" s="1370"/>
      <c r="Z67" s="31"/>
      <c r="AA67" s="1465"/>
      <c r="AB67" s="1370"/>
      <c r="AC67" s="1371"/>
      <c r="AD67" s="1465"/>
      <c r="AE67" s="1370"/>
      <c r="AF67" s="1371"/>
      <c r="AG67" s="1465"/>
      <c r="AH67" s="1370"/>
      <c r="AI67" s="31"/>
      <c r="AJ67" s="1465"/>
      <c r="AK67" s="1370"/>
      <c r="AL67" s="31"/>
      <c r="AM67" s="1465"/>
      <c r="AN67" s="1345"/>
      <c r="AO67" s="1294" t="s">
        <v>2390</v>
      </c>
      <c r="AP67" s="1465"/>
      <c r="AQ67" s="1324"/>
      <c r="AR67" s="1325" t="s">
        <v>2391</v>
      </c>
      <c r="AS67" s="1465"/>
      <c r="AT67" s="1347"/>
      <c r="AU67" s="1298" t="s">
        <v>2392</v>
      </c>
      <c r="AV67" s="1465"/>
      <c r="AW67" s="1370"/>
      <c r="AX67" s="31"/>
      <c r="AY67" s="1465"/>
      <c r="AZ67" s="1370"/>
      <c r="BA67" s="31"/>
      <c r="BB67" s="1465"/>
      <c r="BC67" s="1370"/>
      <c r="BD67" s="31"/>
      <c r="BE67" s="1465"/>
      <c r="BF67" s="1370"/>
      <c r="BG67" s="31"/>
      <c r="BH67" s="1465"/>
      <c r="BI67" s="1370"/>
      <c r="BJ67" s="31"/>
      <c r="BK67" s="1465"/>
      <c r="BL67" s="1370"/>
      <c r="BM67" s="31"/>
      <c r="BN67" s="1465"/>
      <c r="BO67" s="1370"/>
      <c r="BP67" s="31"/>
      <c r="BQ67" s="1465"/>
      <c r="BR67" s="1370"/>
      <c r="BS67" s="31"/>
      <c r="BT67" s="1465"/>
      <c r="BU67" s="1370"/>
      <c r="BV67" s="31"/>
      <c r="BW67" s="1465"/>
      <c r="BX67" s="1370"/>
      <c r="BY67" s="31"/>
      <c r="BZ67" s="1465"/>
      <c r="CA67" s="1370"/>
      <c r="CB67" s="31"/>
      <c r="CC67" s="1465"/>
      <c r="CD67" s="1370"/>
      <c r="CE67" s="31"/>
      <c r="CF67" s="1465"/>
      <c r="CG67" s="1370"/>
      <c r="CH67" s="31"/>
      <c r="CI67" s="1465"/>
      <c r="CJ67" s="1370"/>
      <c r="CK67" s="31"/>
      <c r="CL67" s="1273"/>
    </row>
    <row r="68" ht="18.75" customHeight="1">
      <c r="A68" s="1238"/>
      <c r="B68" s="1238"/>
      <c r="C68" s="1370"/>
      <c r="D68" s="1370"/>
      <c r="E68" s="1370"/>
      <c r="F68" s="1370"/>
      <c r="G68" s="1370"/>
      <c r="H68" s="1370"/>
      <c r="I68" s="1370"/>
      <c r="J68" s="1370"/>
      <c r="K68" s="1370"/>
      <c r="L68" s="1370"/>
      <c r="M68" s="1370"/>
      <c r="N68" s="31"/>
      <c r="O68" s="1465"/>
      <c r="P68" s="1370"/>
      <c r="Q68" s="31"/>
      <c r="R68" s="1465"/>
      <c r="S68" s="1370"/>
      <c r="T68" s="31"/>
      <c r="U68" s="1465"/>
      <c r="V68" s="1370"/>
      <c r="W68" s="31"/>
      <c r="X68" s="1465"/>
      <c r="Y68" s="1370"/>
      <c r="Z68" s="31"/>
      <c r="AA68" s="1465"/>
      <c r="AB68" s="1370"/>
      <c r="AC68" s="1371"/>
      <c r="AD68" s="1465"/>
      <c r="AE68" s="1370"/>
      <c r="AF68" s="1371"/>
      <c r="AG68" s="1465"/>
      <c r="AH68" s="1370"/>
      <c r="AI68" s="31"/>
      <c r="AJ68" s="1465"/>
      <c r="AK68" s="1370"/>
      <c r="AL68" s="31"/>
      <c r="AM68" s="1465"/>
      <c r="AN68" s="1322"/>
      <c r="AO68" s="1323" t="s">
        <v>2393</v>
      </c>
      <c r="AP68" s="1465"/>
      <c r="AQ68" s="1346"/>
      <c r="AR68" s="1296" t="s">
        <v>2394</v>
      </c>
      <c r="AS68" s="1465"/>
      <c r="AT68" s="1326"/>
      <c r="AU68" s="1327" t="s">
        <v>2395</v>
      </c>
      <c r="AV68" s="1465"/>
      <c r="AW68" s="1370"/>
      <c r="AX68" s="31"/>
      <c r="AY68" s="1465"/>
      <c r="AZ68" s="1370"/>
      <c r="BA68" s="31"/>
      <c r="BB68" s="1465"/>
      <c r="BC68" s="1370"/>
      <c r="BD68" s="31"/>
      <c r="BE68" s="1465"/>
      <c r="BF68" s="1370"/>
      <c r="BG68" s="31"/>
      <c r="BH68" s="1465"/>
      <c r="BI68" s="1370"/>
      <c r="BJ68" s="31"/>
      <c r="BK68" s="1465"/>
      <c r="BL68" s="1370"/>
      <c r="BM68" s="31"/>
      <c r="BN68" s="1465"/>
      <c r="BO68" s="1370"/>
      <c r="BP68" s="31"/>
      <c r="BQ68" s="1465"/>
      <c r="BR68" s="1370"/>
      <c r="BS68" s="31"/>
      <c r="BT68" s="1465"/>
      <c r="BU68" s="1370"/>
      <c r="BV68" s="31"/>
      <c r="BW68" s="1465"/>
      <c r="BX68" s="1370"/>
      <c r="BY68" s="31"/>
      <c r="BZ68" s="1465"/>
      <c r="CA68" s="1370"/>
      <c r="CB68" s="31"/>
      <c r="CC68" s="1465"/>
      <c r="CD68" s="1370"/>
      <c r="CE68" s="31"/>
      <c r="CF68" s="1465"/>
      <c r="CG68" s="1370"/>
      <c r="CH68" s="31"/>
      <c r="CI68" s="1465"/>
      <c r="CJ68" s="1370"/>
      <c r="CK68" s="31"/>
      <c r="CL68" s="1273"/>
    </row>
    <row r="69" ht="18.75" customHeight="1">
      <c r="A69" s="1238"/>
      <c r="B69" s="1238"/>
      <c r="C69" s="1370"/>
      <c r="D69" s="1370"/>
      <c r="E69" s="1370"/>
      <c r="F69" s="1370"/>
      <c r="G69" s="1370"/>
      <c r="H69" s="1370"/>
      <c r="I69" s="1370"/>
      <c r="J69" s="1370"/>
      <c r="K69" s="1370"/>
      <c r="L69" s="1370"/>
      <c r="M69" s="1370"/>
      <c r="N69" s="31"/>
      <c r="O69" s="1465"/>
      <c r="P69" s="1370"/>
      <c r="Q69" s="31"/>
      <c r="R69" s="1465"/>
      <c r="S69" s="1370"/>
      <c r="T69" s="31"/>
      <c r="U69" s="1465"/>
      <c r="V69" s="1370"/>
      <c r="W69" s="31"/>
      <c r="X69" s="1465"/>
      <c r="Y69" s="1370"/>
      <c r="Z69" s="31"/>
      <c r="AA69" s="1465"/>
      <c r="AB69" s="1370"/>
      <c r="AC69" s="1371"/>
      <c r="AD69" s="1465"/>
      <c r="AE69" s="1370"/>
      <c r="AF69" s="1371"/>
      <c r="AG69" s="1465"/>
      <c r="AH69" s="1370"/>
      <c r="AI69" s="31"/>
      <c r="AJ69" s="1465"/>
      <c r="AK69" s="1370"/>
      <c r="AL69" s="31"/>
      <c r="AM69" s="1465"/>
      <c r="AN69" s="1345"/>
      <c r="AO69" s="1294" t="s">
        <v>2396</v>
      </c>
      <c r="AP69" s="1465"/>
      <c r="AQ69" s="1324"/>
      <c r="AR69" s="1325" t="s">
        <v>2397</v>
      </c>
      <c r="AS69" s="1465"/>
      <c r="AT69" s="1347"/>
      <c r="AU69" s="1298" t="s">
        <v>2398</v>
      </c>
      <c r="AV69" s="1465"/>
      <c r="AW69" s="1370"/>
      <c r="AX69" s="31"/>
      <c r="AY69" s="1465"/>
      <c r="AZ69" s="1370"/>
      <c r="BA69" s="31"/>
      <c r="BB69" s="1465"/>
      <c r="BC69" s="1370"/>
      <c r="BD69" s="31"/>
      <c r="BE69" s="1465"/>
      <c r="BF69" s="1370"/>
      <c r="BG69" s="31"/>
      <c r="BH69" s="1465"/>
      <c r="BI69" s="1370"/>
      <c r="BJ69" s="31"/>
      <c r="BK69" s="1465"/>
      <c r="BL69" s="1370"/>
      <c r="BM69" s="31"/>
      <c r="BN69" s="1465"/>
      <c r="BO69" s="1370"/>
      <c r="BP69" s="31"/>
      <c r="BQ69" s="1465"/>
      <c r="BR69" s="1370"/>
      <c r="BS69" s="31"/>
      <c r="BT69" s="1465"/>
      <c r="BU69" s="1370"/>
      <c r="BV69" s="31"/>
      <c r="BW69" s="1465"/>
      <c r="BX69" s="1370"/>
      <c r="BY69" s="31"/>
      <c r="BZ69" s="1465"/>
      <c r="CA69" s="1370"/>
      <c r="CB69" s="31"/>
      <c r="CC69" s="1465"/>
      <c r="CD69" s="1370"/>
      <c r="CE69" s="31"/>
      <c r="CF69" s="1465"/>
      <c r="CG69" s="1370"/>
      <c r="CH69" s="31"/>
      <c r="CI69" s="1465"/>
      <c r="CJ69" s="1370"/>
      <c r="CK69" s="31"/>
      <c r="CL69" s="1273"/>
    </row>
    <row r="70" ht="18.75" customHeight="1">
      <c r="A70" s="1238"/>
      <c r="B70" s="1238"/>
      <c r="C70" s="1370"/>
      <c r="D70" s="1370"/>
      <c r="E70" s="1370"/>
      <c r="F70" s="1370"/>
      <c r="G70" s="1370"/>
      <c r="H70" s="1370"/>
      <c r="I70" s="1370"/>
      <c r="J70" s="1370"/>
      <c r="K70" s="1370"/>
      <c r="L70" s="1370"/>
      <c r="M70" s="1370"/>
      <c r="N70" s="31"/>
      <c r="O70" s="1465"/>
      <c r="P70" s="1370"/>
      <c r="Q70" s="31"/>
      <c r="R70" s="1465"/>
      <c r="S70" s="1370"/>
      <c r="T70" s="31"/>
      <c r="U70" s="1465"/>
      <c r="V70" s="1370"/>
      <c r="W70" s="31"/>
      <c r="X70" s="1465"/>
      <c r="Y70" s="1370"/>
      <c r="Z70" s="31"/>
      <c r="AA70" s="1465"/>
      <c r="AB70" s="1370"/>
      <c r="AC70" s="1371"/>
      <c r="AD70" s="1465"/>
      <c r="AE70" s="1370"/>
      <c r="AF70" s="1371"/>
      <c r="AG70" s="1465"/>
      <c r="AH70" s="1370"/>
      <c r="AI70" s="31"/>
      <c r="AJ70" s="1465"/>
      <c r="AK70" s="1370"/>
      <c r="AL70" s="31"/>
      <c r="AM70" s="1465"/>
      <c r="AN70" s="1322"/>
      <c r="AO70" s="1323" t="s">
        <v>2399</v>
      </c>
      <c r="AP70" s="1465"/>
      <c r="AQ70" s="1346"/>
      <c r="AR70" s="1296" t="s">
        <v>2400</v>
      </c>
      <c r="AS70" s="1465"/>
      <c r="AT70" s="1326"/>
      <c r="AU70" s="1327" t="s">
        <v>2401</v>
      </c>
      <c r="AV70" s="1465"/>
      <c r="AW70" s="1370"/>
      <c r="AX70" s="31"/>
      <c r="AY70" s="1465"/>
      <c r="AZ70" s="1370"/>
      <c r="BA70" s="31"/>
      <c r="BB70" s="1465"/>
      <c r="BC70" s="1370"/>
      <c r="BD70" s="31"/>
      <c r="BE70" s="1465"/>
      <c r="BF70" s="1370"/>
      <c r="BG70" s="31"/>
      <c r="BH70" s="1465"/>
      <c r="BI70" s="1370"/>
      <c r="BJ70" s="31"/>
      <c r="BK70" s="1465"/>
      <c r="BL70" s="1370"/>
      <c r="BM70" s="31"/>
      <c r="BN70" s="1465"/>
      <c r="BO70" s="1370"/>
      <c r="BP70" s="31"/>
      <c r="BQ70" s="1465"/>
      <c r="BR70" s="1370"/>
      <c r="BS70" s="31"/>
      <c r="BT70" s="1465"/>
      <c r="BU70" s="1370"/>
      <c r="BV70" s="31"/>
      <c r="BW70" s="1465"/>
      <c r="BX70" s="1370"/>
      <c r="BY70" s="31"/>
      <c r="BZ70" s="1465"/>
      <c r="CA70" s="1370"/>
      <c r="CB70" s="31"/>
      <c r="CC70" s="1465"/>
      <c r="CD70" s="1370"/>
      <c r="CE70" s="31"/>
      <c r="CF70" s="1465"/>
      <c r="CG70" s="1370"/>
      <c r="CH70" s="31"/>
      <c r="CI70" s="1465"/>
      <c r="CJ70" s="1370"/>
      <c r="CK70" s="31"/>
      <c r="CL70" s="1273"/>
    </row>
    <row r="71" ht="18.75" customHeight="1">
      <c r="A71" s="1238"/>
      <c r="B71" s="1238"/>
      <c r="C71" s="1370"/>
      <c r="D71" s="1370"/>
      <c r="E71" s="1370"/>
      <c r="F71" s="1370"/>
      <c r="G71" s="1370"/>
      <c r="H71" s="1370"/>
      <c r="I71" s="1370"/>
      <c r="J71" s="1370"/>
      <c r="K71" s="1370"/>
      <c r="L71" s="1370"/>
      <c r="M71" s="1370"/>
      <c r="N71" s="31"/>
      <c r="O71" s="1465"/>
      <c r="P71" s="1370"/>
      <c r="Q71" s="31"/>
      <c r="R71" s="1465"/>
      <c r="S71" s="1370"/>
      <c r="T71" s="31"/>
      <c r="U71" s="1465"/>
      <c r="V71" s="1370"/>
      <c r="W71" s="31"/>
      <c r="X71" s="1465"/>
      <c r="Y71" s="1370"/>
      <c r="Z71" s="31"/>
      <c r="AA71" s="1465"/>
      <c r="AB71" s="1370"/>
      <c r="AC71" s="1371"/>
      <c r="AD71" s="1465"/>
      <c r="AE71" s="1370"/>
      <c r="AF71" s="1371"/>
      <c r="AG71" s="1465"/>
      <c r="AH71" s="1370"/>
      <c r="AI71" s="31"/>
      <c r="AJ71" s="1465"/>
      <c r="AK71" s="1370"/>
      <c r="AL71" s="31"/>
      <c r="AM71" s="1465"/>
      <c r="AN71" s="1345"/>
      <c r="AO71" s="1294" t="s">
        <v>2402</v>
      </c>
      <c r="AP71" s="1465"/>
      <c r="AQ71" s="1324"/>
      <c r="AR71" s="1325" t="s">
        <v>2403</v>
      </c>
      <c r="AS71" s="1465"/>
      <c r="AT71" s="1347"/>
      <c r="AU71" s="1298" t="s">
        <v>2404</v>
      </c>
      <c r="AV71" s="1465"/>
      <c r="AW71" s="1370"/>
      <c r="AX71" s="31"/>
      <c r="AY71" s="1465"/>
      <c r="AZ71" s="1370"/>
      <c r="BA71" s="31"/>
      <c r="BB71" s="1465"/>
      <c r="BC71" s="1370"/>
      <c r="BD71" s="31"/>
      <c r="BE71" s="1465"/>
      <c r="BF71" s="1370"/>
      <c r="BG71" s="31"/>
      <c r="BH71" s="1465"/>
      <c r="BI71" s="1370"/>
      <c r="BJ71" s="31"/>
      <c r="BK71" s="1465"/>
      <c r="BL71" s="1370"/>
      <c r="BM71" s="31"/>
      <c r="BN71" s="1465"/>
      <c r="BO71" s="1370"/>
      <c r="BP71" s="31"/>
      <c r="BQ71" s="1465"/>
      <c r="BR71" s="1370"/>
      <c r="BS71" s="31"/>
      <c r="BT71" s="1465"/>
      <c r="BU71" s="1370"/>
      <c r="BV71" s="31"/>
      <c r="BW71" s="1465"/>
      <c r="BX71" s="1370"/>
      <c r="BY71" s="31"/>
      <c r="BZ71" s="1465"/>
      <c r="CA71" s="1370"/>
      <c r="CB71" s="31"/>
      <c r="CC71" s="1465"/>
      <c r="CD71" s="1370"/>
      <c r="CE71" s="31"/>
      <c r="CF71" s="1465"/>
      <c r="CG71" s="1370"/>
      <c r="CH71" s="31"/>
      <c r="CI71" s="1465"/>
      <c r="CJ71" s="1370"/>
      <c r="CK71" s="31"/>
      <c r="CL71" s="1273"/>
    </row>
    <row r="72" ht="18.75" customHeight="1">
      <c r="A72" s="1238"/>
      <c r="B72" s="1238"/>
      <c r="C72" s="1370"/>
      <c r="D72" s="1370"/>
      <c r="E72" s="1370"/>
      <c r="F72" s="1370"/>
      <c r="G72" s="1370"/>
      <c r="H72" s="1370"/>
      <c r="I72" s="1370"/>
      <c r="J72" s="1370"/>
      <c r="K72" s="1370"/>
      <c r="L72" s="1370"/>
      <c r="M72" s="1370"/>
      <c r="N72" s="31"/>
      <c r="O72" s="1465"/>
      <c r="P72" s="1370"/>
      <c r="Q72" s="31"/>
      <c r="R72" s="1465"/>
      <c r="S72" s="1370"/>
      <c r="T72" s="31"/>
      <c r="U72" s="1465"/>
      <c r="V72" s="1370"/>
      <c r="W72" s="31"/>
      <c r="X72" s="1465"/>
      <c r="Y72" s="1370"/>
      <c r="Z72" s="31"/>
      <c r="AA72" s="1465"/>
      <c r="AB72" s="1370"/>
      <c r="AC72" s="1371"/>
      <c r="AD72" s="1465"/>
      <c r="AE72" s="1370"/>
      <c r="AF72" s="1371"/>
      <c r="AG72" s="1465"/>
      <c r="AH72" s="1370"/>
      <c r="AI72" s="31"/>
      <c r="AJ72" s="1465"/>
      <c r="AK72" s="1370"/>
      <c r="AL72" s="31"/>
      <c r="AM72" s="1465"/>
      <c r="AN72" s="1322"/>
      <c r="AO72" s="1323" t="s">
        <v>2405</v>
      </c>
      <c r="AP72" s="1465"/>
      <c r="AQ72" s="1346"/>
      <c r="AR72" s="1296" t="s">
        <v>2406</v>
      </c>
      <c r="AS72" s="1465"/>
      <c r="AT72" s="1326"/>
      <c r="AU72" s="1327" t="s">
        <v>2407</v>
      </c>
      <c r="AV72" s="1465"/>
      <c r="AW72" s="1370"/>
      <c r="AX72" s="31"/>
      <c r="AY72" s="1465"/>
      <c r="AZ72" s="1370"/>
      <c r="BA72" s="31"/>
      <c r="BB72" s="1465"/>
      <c r="BC72" s="1370"/>
      <c r="BD72" s="31"/>
      <c r="BE72" s="1465"/>
      <c r="BF72" s="1370"/>
      <c r="BG72" s="31"/>
      <c r="BH72" s="1465"/>
      <c r="BI72" s="1370"/>
      <c r="BJ72" s="31"/>
      <c r="BK72" s="1465"/>
      <c r="BL72" s="1370"/>
      <c r="BM72" s="31"/>
      <c r="BN72" s="1465"/>
      <c r="BO72" s="1370"/>
      <c r="BP72" s="31"/>
      <c r="BQ72" s="1465"/>
      <c r="BR72" s="1370"/>
      <c r="BS72" s="31"/>
      <c r="BT72" s="1465"/>
      <c r="BU72" s="1370"/>
      <c r="BV72" s="31"/>
      <c r="BW72" s="1465"/>
      <c r="BX72" s="1370"/>
      <c r="BY72" s="31"/>
      <c r="BZ72" s="1465"/>
      <c r="CA72" s="1370"/>
      <c r="CB72" s="31"/>
      <c r="CC72" s="1465"/>
      <c r="CD72" s="1370"/>
      <c r="CE72" s="31"/>
      <c r="CF72" s="1465"/>
      <c r="CG72" s="1370"/>
      <c r="CH72" s="31"/>
      <c r="CI72" s="1465"/>
      <c r="CJ72" s="1370"/>
      <c r="CK72" s="31"/>
      <c r="CL72" s="1273"/>
    </row>
    <row r="73" ht="18.75" customHeight="1">
      <c r="A73" s="1238"/>
      <c r="B73" s="1238"/>
      <c r="C73" s="1370"/>
      <c r="D73" s="1370"/>
      <c r="E73" s="1370"/>
      <c r="F73" s="1370"/>
      <c r="G73" s="1370"/>
      <c r="H73" s="1370"/>
      <c r="I73" s="1370"/>
      <c r="J73" s="1370"/>
      <c r="K73" s="1370"/>
      <c r="L73" s="1370"/>
      <c r="M73" s="1370"/>
      <c r="N73" s="31"/>
      <c r="O73" s="1465"/>
      <c r="P73" s="1370"/>
      <c r="Q73" s="31"/>
      <c r="R73" s="1465"/>
      <c r="S73" s="1370"/>
      <c r="T73" s="31"/>
      <c r="U73" s="1465"/>
      <c r="V73" s="1370"/>
      <c r="W73" s="31"/>
      <c r="X73" s="1465"/>
      <c r="Y73" s="1370"/>
      <c r="Z73" s="31"/>
      <c r="AA73" s="1465"/>
      <c r="AB73" s="1370"/>
      <c r="AC73" s="1371"/>
      <c r="AD73" s="1465"/>
      <c r="AE73" s="1370"/>
      <c r="AF73" s="1371"/>
      <c r="AG73" s="1465"/>
      <c r="AH73" s="1370"/>
      <c r="AI73" s="31"/>
      <c r="AJ73" s="1465"/>
      <c r="AK73" s="1370"/>
      <c r="AL73" s="31"/>
      <c r="AM73" s="1465"/>
      <c r="AN73" s="1345"/>
      <c r="AO73" s="1294" t="s">
        <v>2408</v>
      </c>
      <c r="AP73" s="1465"/>
      <c r="AQ73" s="1324"/>
      <c r="AR73" s="1325" t="s">
        <v>2409</v>
      </c>
      <c r="AS73" s="1465"/>
      <c r="AT73" s="1347"/>
      <c r="AU73" s="1298" t="s">
        <v>2410</v>
      </c>
      <c r="AV73" s="1465"/>
      <c r="AW73" s="1370"/>
      <c r="AX73" s="31"/>
      <c r="AY73" s="1465"/>
      <c r="AZ73" s="1370"/>
      <c r="BA73" s="31"/>
      <c r="BB73" s="1465"/>
      <c r="BC73" s="1370"/>
      <c r="BD73" s="31"/>
      <c r="BE73" s="1465"/>
      <c r="BF73" s="1370"/>
      <c r="BG73" s="31"/>
      <c r="BH73" s="1465"/>
      <c r="BI73" s="1370"/>
      <c r="BJ73" s="31"/>
      <c r="BK73" s="1465"/>
      <c r="BL73" s="1370"/>
      <c r="BM73" s="31"/>
      <c r="BN73" s="1465"/>
      <c r="BO73" s="1370"/>
      <c r="BP73" s="31"/>
      <c r="BQ73" s="1465"/>
      <c r="BR73" s="1370"/>
      <c r="BS73" s="31"/>
      <c r="BT73" s="1465"/>
      <c r="BU73" s="1370"/>
      <c r="BV73" s="31"/>
      <c r="BW73" s="1465"/>
      <c r="BX73" s="1370"/>
      <c r="BY73" s="31"/>
      <c r="BZ73" s="1465"/>
      <c r="CA73" s="1370"/>
      <c r="CB73" s="31"/>
      <c r="CC73" s="1465"/>
      <c r="CD73" s="1370"/>
      <c r="CE73" s="31"/>
      <c r="CF73" s="1465"/>
      <c r="CG73" s="1370"/>
      <c r="CH73" s="31"/>
      <c r="CI73" s="1465"/>
      <c r="CJ73" s="1370"/>
      <c r="CK73" s="31"/>
      <c r="CL73" s="1273"/>
    </row>
    <row r="74" ht="18.75" customHeight="1">
      <c r="A74" s="1238"/>
      <c r="B74" s="1238"/>
      <c r="C74" s="1370"/>
      <c r="D74" s="1370"/>
      <c r="E74" s="1370"/>
      <c r="F74" s="1370"/>
      <c r="G74" s="1370"/>
      <c r="H74" s="1370"/>
      <c r="I74" s="1370"/>
      <c r="J74" s="1370"/>
      <c r="K74" s="1370"/>
      <c r="L74" s="1370"/>
      <c r="M74" s="1370"/>
      <c r="N74" s="31"/>
      <c r="O74" s="1465"/>
      <c r="P74" s="1370"/>
      <c r="Q74" s="31"/>
      <c r="R74" s="1465"/>
      <c r="S74" s="1370"/>
      <c r="T74" s="31"/>
      <c r="U74" s="1465"/>
      <c r="V74" s="1370"/>
      <c r="W74" s="31"/>
      <c r="X74" s="1465"/>
      <c r="Y74" s="1370"/>
      <c r="Z74" s="31"/>
      <c r="AA74" s="1465"/>
      <c r="AB74" s="1370"/>
      <c r="AC74" s="1371"/>
      <c r="AD74" s="1465"/>
      <c r="AE74" s="1370"/>
      <c r="AF74" s="1371"/>
      <c r="AG74" s="1465"/>
      <c r="AH74" s="1370"/>
      <c r="AI74" s="31"/>
      <c r="AJ74" s="1465"/>
      <c r="AK74" s="1370"/>
      <c r="AL74" s="31"/>
      <c r="AM74" s="1465"/>
      <c r="AN74" s="1322"/>
      <c r="AO74" s="1323" t="s">
        <v>2411</v>
      </c>
      <c r="AP74" s="1465"/>
      <c r="AQ74" s="1346"/>
      <c r="AR74" s="1296" t="s">
        <v>2412</v>
      </c>
      <c r="AS74" s="1465"/>
      <c r="AT74" s="1387"/>
      <c r="AU74" s="1388" t="s">
        <v>2413</v>
      </c>
      <c r="AV74" s="1465"/>
      <c r="AW74" s="1370"/>
      <c r="AX74" s="31"/>
      <c r="AY74" s="1465"/>
      <c r="AZ74" s="1370"/>
      <c r="BA74" s="31"/>
      <c r="BB74" s="1465"/>
      <c r="BC74" s="1370"/>
      <c r="BD74" s="31"/>
      <c r="BE74" s="1465"/>
      <c r="BF74" s="1370"/>
      <c r="BG74" s="31"/>
      <c r="BH74" s="1465"/>
      <c r="BI74" s="1370"/>
      <c r="BJ74" s="31"/>
      <c r="BK74" s="1465"/>
      <c r="BL74" s="1370"/>
      <c r="BM74" s="31"/>
      <c r="BN74" s="1465"/>
      <c r="BO74" s="1370"/>
      <c r="BP74" s="31"/>
      <c r="BQ74" s="1465"/>
      <c r="BR74" s="1370"/>
      <c r="BS74" s="31"/>
      <c r="BT74" s="1465"/>
      <c r="BU74" s="1370"/>
      <c r="BV74" s="31"/>
      <c r="BW74" s="1465"/>
      <c r="BX74" s="1370"/>
      <c r="BY74" s="31"/>
      <c r="BZ74" s="1465"/>
      <c r="CA74" s="1370"/>
      <c r="CB74" s="31"/>
      <c r="CC74" s="1465"/>
      <c r="CD74" s="1370"/>
      <c r="CE74" s="31"/>
      <c r="CF74" s="1465"/>
      <c r="CG74" s="1370"/>
      <c r="CH74" s="31"/>
      <c r="CI74" s="1465"/>
      <c r="CJ74" s="1370"/>
      <c r="CK74" s="31"/>
      <c r="CL74" s="1273"/>
    </row>
    <row r="75" ht="18.75" customHeight="1">
      <c r="A75" s="1238"/>
      <c r="B75" s="1238"/>
      <c r="C75" s="1370"/>
      <c r="D75" s="1370"/>
      <c r="E75" s="1370"/>
      <c r="F75" s="1370"/>
      <c r="G75" s="1370"/>
      <c r="H75" s="1370"/>
      <c r="I75" s="1370"/>
      <c r="J75" s="1370"/>
      <c r="K75" s="1370"/>
      <c r="L75" s="1370"/>
      <c r="M75" s="1370"/>
      <c r="N75" s="31"/>
      <c r="O75" s="1465"/>
      <c r="P75" s="1370"/>
      <c r="Q75" s="31"/>
      <c r="R75" s="1465"/>
      <c r="S75" s="1370"/>
      <c r="T75" s="31"/>
      <c r="U75" s="1465"/>
      <c r="V75" s="1370"/>
      <c r="W75" s="31"/>
      <c r="X75" s="1465"/>
      <c r="Y75" s="1370"/>
      <c r="Z75" s="31"/>
      <c r="AA75" s="1465"/>
      <c r="AB75" s="1370"/>
      <c r="AC75" s="1371"/>
      <c r="AD75" s="1465"/>
      <c r="AE75" s="1370"/>
      <c r="AF75" s="1371"/>
      <c r="AG75" s="1465"/>
      <c r="AH75" s="1370"/>
      <c r="AI75" s="31"/>
      <c r="AJ75" s="1465"/>
      <c r="AK75" s="1370"/>
      <c r="AL75" s="31"/>
      <c r="AM75" s="1465"/>
      <c r="AN75" s="1345"/>
      <c r="AO75" s="1294" t="s">
        <v>2414</v>
      </c>
      <c r="AP75" s="1465"/>
      <c r="AQ75" s="1324"/>
      <c r="AR75" s="1325" t="s">
        <v>2415</v>
      </c>
      <c r="AS75" s="1465"/>
      <c r="AT75" s="1370"/>
      <c r="AU75" s="1371"/>
      <c r="AV75" s="1465"/>
      <c r="AW75" s="1370"/>
      <c r="AX75" s="31"/>
      <c r="AY75" s="1465"/>
      <c r="AZ75" s="1370"/>
      <c r="BA75" s="31"/>
      <c r="BB75" s="1465"/>
      <c r="BC75" s="1370"/>
      <c r="BD75" s="31"/>
      <c r="BE75" s="1465"/>
      <c r="BF75" s="1370"/>
      <c r="BG75" s="31"/>
      <c r="BH75" s="1465"/>
      <c r="BI75" s="1370"/>
      <c r="BJ75" s="31"/>
      <c r="BK75" s="1465"/>
      <c r="BL75" s="1370"/>
      <c r="BM75" s="31"/>
      <c r="BN75" s="1465"/>
      <c r="BO75" s="1370"/>
      <c r="BP75" s="31"/>
      <c r="BQ75" s="1465"/>
      <c r="BR75" s="1370"/>
      <c r="BS75" s="31"/>
      <c r="BT75" s="1465"/>
      <c r="BU75" s="1370"/>
      <c r="BV75" s="31"/>
      <c r="BW75" s="1465"/>
      <c r="BX75" s="1370"/>
      <c r="BY75" s="31"/>
      <c r="BZ75" s="1465"/>
      <c r="CA75" s="1370"/>
      <c r="CB75" s="31"/>
      <c r="CC75" s="1465"/>
      <c r="CD75" s="1370"/>
      <c r="CE75" s="31"/>
      <c r="CF75" s="1465"/>
      <c r="CG75" s="1370"/>
      <c r="CH75" s="31"/>
      <c r="CI75" s="1465"/>
      <c r="CJ75" s="1370"/>
      <c r="CK75" s="31"/>
      <c r="CL75" s="1273"/>
    </row>
    <row r="76" ht="18.75" customHeight="1">
      <c r="A76" s="1238"/>
      <c r="B76" s="1238"/>
      <c r="C76" s="1370"/>
      <c r="D76" s="1370"/>
      <c r="E76" s="1370"/>
      <c r="F76" s="1370"/>
      <c r="G76" s="1370"/>
      <c r="H76" s="1370"/>
      <c r="I76" s="1370"/>
      <c r="J76" s="1370"/>
      <c r="K76" s="1370"/>
      <c r="L76" s="1370"/>
      <c r="M76" s="1370"/>
      <c r="N76" s="31"/>
      <c r="O76" s="1465"/>
      <c r="P76" s="1370"/>
      <c r="Q76" s="31"/>
      <c r="R76" s="1465"/>
      <c r="S76" s="1370"/>
      <c r="T76" s="31"/>
      <c r="U76" s="1465"/>
      <c r="V76" s="1370"/>
      <c r="W76" s="31"/>
      <c r="X76" s="1465"/>
      <c r="Y76" s="1370"/>
      <c r="Z76" s="31"/>
      <c r="AA76" s="1465"/>
      <c r="AB76" s="1370"/>
      <c r="AC76" s="1371"/>
      <c r="AD76" s="1465"/>
      <c r="AE76" s="1370"/>
      <c r="AF76" s="1371"/>
      <c r="AG76" s="1465"/>
      <c r="AH76" s="1370"/>
      <c r="AI76" s="31"/>
      <c r="AJ76" s="1465"/>
      <c r="AK76" s="1370"/>
      <c r="AL76" s="31"/>
      <c r="AM76" s="1465"/>
      <c r="AN76" s="1322"/>
      <c r="AO76" s="1323" t="s">
        <v>2416</v>
      </c>
      <c r="AP76" s="1465"/>
      <c r="AQ76" s="1346"/>
      <c r="AR76" s="1296" t="s">
        <v>2417</v>
      </c>
      <c r="AS76" s="1465"/>
      <c r="AT76" s="1370"/>
      <c r="AU76" s="1371"/>
      <c r="AV76" s="1465"/>
      <c r="AW76" s="1370"/>
      <c r="AX76" s="31"/>
      <c r="AY76" s="1465"/>
      <c r="AZ76" s="1370"/>
      <c r="BA76" s="31"/>
      <c r="BB76" s="1465"/>
      <c r="BC76" s="1370"/>
      <c r="BD76" s="31"/>
      <c r="BE76" s="1465"/>
      <c r="BF76" s="1370"/>
      <c r="BG76" s="31"/>
      <c r="BH76" s="1465"/>
      <c r="BI76" s="1370"/>
      <c r="BJ76" s="31"/>
      <c r="BK76" s="1465"/>
      <c r="BL76" s="1370"/>
      <c r="BM76" s="31"/>
      <c r="BN76" s="1465"/>
      <c r="BO76" s="1370"/>
      <c r="BP76" s="31"/>
      <c r="BQ76" s="1465"/>
      <c r="BR76" s="1370"/>
      <c r="BS76" s="31"/>
      <c r="BT76" s="1465"/>
      <c r="BU76" s="1370"/>
      <c r="BV76" s="31"/>
      <c r="BW76" s="1465"/>
      <c r="BX76" s="1370"/>
      <c r="BY76" s="31"/>
      <c r="BZ76" s="1465"/>
      <c r="CA76" s="1370"/>
      <c r="CB76" s="31"/>
      <c r="CC76" s="1465"/>
      <c r="CD76" s="1370"/>
      <c r="CE76" s="31"/>
      <c r="CF76" s="1465"/>
      <c r="CG76" s="1370"/>
      <c r="CH76" s="31"/>
      <c r="CI76" s="1465"/>
      <c r="CJ76" s="1370"/>
      <c r="CK76" s="31"/>
      <c r="CL76" s="1273"/>
    </row>
    <row r="77" ht="18.75" customHeight="1">
      <c r="A77" s="1238"/>
      <c r="B77" s="1238"/>
      <c r="C77" s="1370"/>
      <c r="D77" s="1370"/>
      <c r="E77" s="1370"/>
      <c r="F77" s="1370"/>
      <c r="G77" s="1370"/>
      <c r="H77" s="1370"/>
      <c r="I77" s="1370"/>
      <c r="J77" s="1370"/>
      <c r="K77" s="1370"/>
      <c r="L77" s="1370"/>
      <c r="M77" s="1370"/>
      <c r="N77" s="31"/>
      <c r="O77" s="1465"/>
      <c r="P77" s="1370"/>
      <c r="Q77" s="31"/>
      <c r="R77" s="1465"/>
      <c r="S77" s="1370"/>
      <c r="T77" s="31"/>
      <c r="U77" s="1465"/>
      <c r="V77" s="1370"/>
      <c r="W77" s="31"/>
      <c r="X77" s="1465"/>
      <c r="Y77" s="1370"/>
      <c r="Z77" s="31"/>
      <c r="AA77" s="1465"/>
      <c r="AB77" s="1370"/>
      <c r="AC77" s="1371"/>
      <c r="AD77" s="1465"/>
      <c r="AE77" s="1370"/>
      <c r="AF77" s="1371"/>
      <c r="AG77" s="1465"/>
      <c r="AH77" s="1370"/>
      <c r="AI77" s="31"/>
      <c r="AJ77" s="1465"/>
      <c r="AK77" s="1370"/>
      <c r="AL77" s="31"/>
      <c r="AM77" s="1465"/>
      <c r="AN77" s="1345"/>
      <c r="AO77" s="1294" t="s">
        <v>2418</v>
      </c>
      <c r="AP77" s="1465"/>
      <c r="AQ77" s="1324"/>
      <c r="AR77" s="1325" t="s">
        <v>2419</v>
      </c>
      <c r="AS77" s="1465"/>
      <c r="AT77" s="1370"/>
      <c r="AU77" s="1371"/>
      <c r="AV77" s="1465"/>
      <c r="AW77" s="1370"/>
      <c r="AX77" s="31"/>
      <c r="AY77" s="1465"/>
      <c r="AZ77" s="1370"/>
      <c r="BA77" s="31"/>
      <c r="BB77" s="1465"/>
      <c r="BC77" s="1370"/>
      <c r="BD77" s="31"/>
      <c r="BE77" s="1465"/>
      <c r="BF77" s="1370"/>
      <c r="BG77" s="31"/>
      <c r="BH77" s="1465"/>
      <c r="BI77" s="1370"/>
      <c r="BJ77" s="31"/>
      <c r="BK77" s="1465"/>
      <c r="BL77" s="1370"/>
      <c r="BM77" s="31"/>
      <c r="BN77" s="1465"/>
      <c r="BO77" s="1370"/>
      <c r="BP77" s="31"/>
      <c r="BQ77" s="1465"/>
      <c r="BR77" s="1370"/>
      <c r="BS77" s="31"/>
      <c r="BT77" s="1465"/>
      <c r="BU77" s="1370"/>
      <c r="BV77" s="31"/>
      <c r="BW77" s="1465"/>
      <c r="BX77" s="1370"/>
      <c r="BY77" s="31"/>
      <c r="BZ77" s="1465"/>
      <c r="CA77" s="1370"/>
      <c r="CB77" s="31"/>
      <c r="CC77" s="1465"/>
      <c r="CD77" s="1370"/>
      <c r="CE77" s="31"/>
      <c r="CF77" s="1465"/>
      <c r="CG77" s="1370"/>
      <c r="CH77" s="31"/>
      <c r="CI77" s="1465"/>
      <c r="CJ77" s="1370"/>
      <c r="CK77" s="31"/>
      <c r="CL77" s="1273"/>
    </row>
    <row r="78" ht="18.75" customHeight="1">
      <c r="A78" s="1238"/>
      <c r="B78" s="1238"/>
      <c r="C78" s="1370"/>
      <c r="D78" s="1370"/>
      <c r="E78" s="1370"/>
      <c r="F78" s="1370"/>
      <c r="G78" s="1370"/>
      <c r="H78" s="1370"/>
      <c r="I78" s="1370"/>
      <c r="J78" s="1370"/>
      <c r="K78" s="1370"/>
      <c r="L78" s="1370"/>
      <c r="M78" s="1370"/>
      <c r="N78" s="31"/>
      <c r="O78" s="1465"/>
      <c r="P78" s="1370"/>
      <c r="Q78" s="31"/>
      <c r="R78" s="1465"/>
      <c r="S78" s="1370"/>
      <c r="T78" s="31"/>
      <c r="U78" s="1465"/>
      <c r="V78" s="1370"/>
      <c r="W78" s="31"/>
      <c r="X78" s="1465"/>
      <c r="Y78" s="1370"/>
      <c r="Z78" s="31"/>
      <c r="AA78" s="1465"/>
      <c r="AB78" s="1370"/>
      <c r="AC78" s="1371"/>
      <c r="AD78" s="1465"/>
      <c r="AE78" s="1370"/>
      <c r="AF78" s="1371"/>
      <c r="AG78" s="1465"/>
      <c r="AH78" s="1370"/>
      <c r="AI78" s="31"/>
      <c r="AJ78" s="1465"/>
      <c r="AK78" s="1370"/>
      <c r="AL78" s="31"/>
      <c r="AM78" s="1465"/>
      <c r="AN78" s="1322"/>
      <c r="AO78" s="1323" t="s">
        <v>2420</v>
      </c>
      <c r="AP78" s="1465"/>
      <c r="AQ78" s="1346"/>
      <c r="AR78" s="1296" t="s">
        <v>2421</v>
      </c>
      <c r="AS78" s="1465"/>
      <c r="AT78" s="1370"/>
      <c r="AU78" s="1371"/>
      <c r="AV78" s="1465"/>
      <c r="AW78" s="1370"/>
      <c r="AX78" s="31"/>
      <c r="AY78" s="1465"/>
      <c r="AZ78" s="1370"/>
      <c r="BA78" s="31"/>
      <c r="BB78" s="1465"/>
      <c r="BC78" s="1370"/>
      <c r="BD78" s="31"/>
      <c r="BE78" s="1465"/>
      <c r="BF78" s="1370"/>
      <c r="BG78" s="31"/>
      <c r="BH78" s="1465"/>
      <c r="BI78" s="1370"/>
      <c r="BJ78" s="31"/>
      <c r="BK78" s="1465"/>
      <c r="BL78" s="1370"/>
      <c r="BM78" s="31"/>
      <c r="BN78" s="1465"/>
      <c r="BO78" s="1370"/>
      <c r="BP78" s="31"/>
      <c r="BQ78" s="1465"/>
      <c r="BR78" s="1370"/>
      <c r="BS78" s="31"/>
      <c r="BT78" s="1465"/>
      <c r="BU78" s="1370"/>
      <c r="BV78" s="31"/>
      <c r="BW78" s="1465"/>
      <c r="BX78" s="1370"/>
      <c r="BY78" s="31"/>
      <c r="BZ78" s="1465"/>
      <c r="CA78" s="1370"/>
      <c r="CB78" s="31"/>
      <c r="CC78" s="1465"/>
      <c r="CD78" s="1370"/>
      <c r="CE78" s="31"/>
      <c r="CF78" s="1465"/>
      <c r="CG78" s="1370"/>
      <c r="CH78" s="31"/>
      <c r="CI78" s="1465"/>
      <c r="CJ78" s="1370"/>
      <c r="CK78" s="31"/>
      <c r="CL78" s="1273"/>
    </row>
    <row r="79" ht="18.75" customHeight="1">
      <c r="A79" s="1238"/>
      <c r="B79" s="1238"/>
      <c r="C79" s="1370"/>
      <c r="D79" s="1370"/>
      <c r="E79" s="1370"/>
      <c r="F79" s="1370"/>
      <c r="G79" s="1370"/>
      <c r="H79" s="1370"/>
      <c r="I79" s="1370"/>
      <c r="J79" s="1370"/>
      <c r="K79" s="1370"/>
      <c r="L79" s="1370"/>
      <c r="M79" s="1370"/>
      <c r="N79" s="31"/>
      <c r="O79" s="1465"/>
      <c r="P79" s="1370"/>
      <c r="Q79" s="31"/>
      <c r="R79" s="1465"/>
      <c r="S79" s="1370"/>
      <c r="T79" s="31"/>
      <c r="U79" s="1465"/>
      <c r="V79" s="1370"/>
      <c r="W79" s="31"/>
      <c r="X79" s="1465"/>
      <c r="Y79" s="1370"/>
      <c r="Z79" s="31"/>
      <c r="AA79" s="1465"/>
      <c r="AB79" s="1370"/>
      <c r="AC79" s="1371"/>
      <c r="AD79" s="1465"/>
      <c r="AE79" s="1370"/>
      <c r="AF79" s="1371"/>
      <c r="AG79" s="1465"/>
      <c r="AH79" s="1370"/>
      <c r="AI79" s="31"/>
      <c r="AJ79" s="1465"/>
      <c r="AK79" s="1370"/>
      <c r="AL79" s="31"/>
      <c r="AM79" s="1465"/>
      <c r="AN79" s="1345"/>
      <c r="AO79" s="1294" t="s">
        <v>2422</v>
      </c>
      <c r="AP79" s="1465"/>
      <c r="AQ79" s="1324"/>
      <c r="AR79" s="1325" t="s">
        <v>2423</v>
      </c>
      <c r="AS79" s="1465"/>
      <c r="AT79" s="1370"/>
      <c r="AU79" s="1371"/>
      <c r="AV79" s="1465"/>
      <c r="AW79" s="1370"/>
      <c r="AX79" s="31"/>
      <c r="AY79" s="1465"/>
      <c r="AZ79" s="1370"/>
      <c r="BA79" s="31"/>
      <c r="BB79" s="1465"/>
      <c r="BC79" s="1370"/>
      <c r="BD79" s="31"/>
      <c r="BE79" s="1465"/>
      <c r="BF79" s="1370"/>
      <c r="BG79" s="31"/>
      <c r="BH79" s="1465"/>
      <c r="BI79" s="1370"/>
      <c r="BJ79" s="31"/>
      <c r="BK79" s="1465"/>
      <c r="BL79" s="1370"/>
      <c r="BM79" s="31"/>
      <c r="BN79" s="1465"/>
      <c r="BO79" s="1370"/>
      <c r="BP79" s="31"/>
      <c r="BQ79" s="1465"/>
      <c r="BR79" s="1370"/>
      <c r="BS79" s="31"/>
      <c r="BT79" s="1465"/>
      <c r="BU79" s="1370"/>
      <c r="BV79" s="31"/>
      <c r="BW79" s="1465"/>
      <c r="BX79" s="1370"/>
      <c r="BY79" s="31"/>
      <c r="BZ79" s="1465"/>
      <c r="CA79" s="1370"/>
      <c r="CB79" s="31"/>
      <c r="CC79" s="1465"/>
      <c r="CD79" s="1370"/>
      <c r="CE79" s="31"/>
      <c r="CF79" s="1465"/>
      <c r="CG79" s="1370"/>
      <c r="CH79" s="31"/>
      <c r="CI79" s="1465"/>
      <c r="CJ79" s="1370"/>
      <c r="CK79" s="31"/>
      <c r="CL79" s="1273"/>
    </row>
    <row r="80" ht="18.75" customHeight="1">
      <c r="A80" s="1238"/>
      <c r="B80" s="1238"/>
      <c r="C80" s="1370"/>
      <c r="D80" s="1370"/>
      <c r="E80" s="1370"/>
      <c r="F80" s="1370"/>
      <c r="G80" s="1370"/>
      <c r="H80" s="1370"/>
      <c r="I80" s="1370"/>
      <c r="J80" s="1370"/>
      <c r="K80" s="1370"/>
      <c r="L80" s="1370"/>
      <c r="M80" s="1370"/>
      <c r="N80" s="31"/>
      <c r="O80" s="1465"/>
      <c r="P80" s="1370"/>
      <c r="Q80" s="31"/>
      <c r="R80" s="1465"/>
      <c r="S80" s="1370"/>
      <c r="T80" s="31"/>
      <c r="U80" s="1465"/>
      <c r="V80" s="1370"/>
      <c r="W80" s="31"/>
      <c r="X80" s="1465"/>
      <c r="Y80" s="1370"/>
      <c r="Z80" s="31"/>
      <c r="AA80" s="1465"/>
      <c r="AB80" s="1370"/>
      <c r="AC80" s="1371"/>
      <c r="AD80" s="1465"/>
      <c r="AE80" s="1370"/>
      <c r="AF80" s="1371"/>
      <c r="AG80" s="1465"/>
      <c r="AH80" s="1370"/>
      <c r="AI80" s="31"/>
      <c r="AJ80" s="1465"/>
      <c r="AK80" s="1370"/>
      <c r="AL80" s="31"/>
      <c r="AM80" s="1465"/>
      <c r="AN80" s="1322"/>
      <c r="AO80" s="1323" t="s">
        <v>2424</v>
      </c>
      <c r="AP80" s="1465"/>
      <c r="AQ80" s="1346"/>
      <c r="AR80" s="1296" t="s">
        <v>2425</v>
      </c>
      <c r="AS80" s="1465"/>
      <c r="AT80" s="1370"/>
      <c r="AU80" s="1371"/>
      <c r="AV80" s="1465"/>
      <c r="AW80" s="1370"/>
      <c r="AX80" s="31"/>
      <c r="AY80" s="1465"/>
      <c r="AZ80" s="1370"/>
      <c r="BA80" s="31"/>
      <c r="BB80" s="1465"/>
      <c r="BC80" s="1370"/>
      <c r="BD80" s="31"/>
      <c r="BE80" s="1465"/>
      <c r="BF80" s="1370"/>
      <c r="BG80" s="31"/>
      <c r="BH80" s="1465"/>
      <c r="BI80" s="1370"/>
      <c r="BJ80" s="31"/>
      <c r="BK80" s="1465"/>
      <c r="BL80" s="1370"/>
      <c r="BM80" s="31"/>
      <c r="BN80" s="1465"/>
      <c r="BO80" s="1370"/>
      <c r="BP80" s="31"/>
      <c r="BQ80" s="1465"/>
      <c r="BR80" s="1370"/>
      <c r="BS80" s="31"/>
      <c r="BT80" s="1465"/>
      <c r="BU80" s="1370"/>
      <c r="BV80" s="31"/>
      <c r="BW80" s="1465"/>
      <c r="BX80" s="1370"/>
      <c r="BY80" s="31"/>
      <c r="BZ80" s="1465"/>
      <c r="CA80" s="1370"/>
      <c r="CB80" s="31"/>
      <c r="CC80" s="1465"/>
      <c r="CD80" s="1370"/>
      <c r="CE80" s="31"/>
      <c r="CF80" s="1465"/>
      <c r="CG80" s="1370"/>
      <c r="CH80" s="31"/>
      <c r="CI80" s="1465"/>
      <c r="CJ80" s="1370"/>
      <c r="CK80" s="31"/>
      <c r="CL80" s="1273"/>
    </row>
    <row r="81" ht="18.75" customHeight="1">
      <c r="A81" s="1238"/>
      <c r="B81" s="1238"/>
      <c r="C81" s="1370"/>
      <c r="D81" s="1370"/>
      <c r="E81" s="1370"/>
      <c r="F81" s="1370"/>
      <c r="G81" s="1370"/>
      <c r="H81" s="1370"/>
      <c r="I81" s="1370"/>
      <c r="J81" s="1370"/>
      <c r="K81" s="1370"/>
      <c r="L81" s="1370"/>
      <c r="M81" s="1370"/>
      <c r="N81" s="31"/>
      <c r="O81" s="1465"/>
      <c r="P81" s="1370"/>
      <c r="Q81" s="31"/>
      <c r="R81" s="1465"/>
      <c r="S81" s="1370"/>
      <c r="T81" s="31"/>
      <c r="U81" s="1465"/>
      <c r="V81" s="1370"/>
      <c r="W81" s="31"/>
      <c r="X81" s="1465"/>
      <c r="Y81" s="1370"/>
      <c r="Z81" s="31"/>
      <c r="AA81" s="1465"/>
      <c r="AB81" s="1370"/>
      <c r="AC81" s="1371"/>
      <c r="AD81" s="1465"/>
      <c r="AE81" s="1370"/>
      <c r="AF81" s="1371"/>
      <c r="AG81" s="1465"/>
      <c r="AH81" s="1370"/>
      <c r="AI81" s="31"/>
      <c r="AJ81" s="1465"/>
      <c r="AK81" s="1370"/>
      <c r="AL81" s="31"/>
      <c r="AM81" s="1465"/>
      <c r="AN81" s="1345"/>
      <c r="AO81" s="1294" t="s">
        <v>2426</v>
      </c>
      <c r="AP81" s="1465"/>
      <c r="AQ81" s="1324"/>
      <c r="AR81" s="1325" t="s">
        <v>2427</v>
      </c>
      <c r="AS81" s="1465"/>
      <c r="AT81" s="1370"/>
      <c r="AU81" s="1371"/>
      <c r="AV81" s="1465"/>
      <c r="AW81" s="1370"/>
      <c r="AX81" s="31"/>
      <c r="AY81" s="1465"/>
      <c r="AZ81" s="1370"/>
      <c r="BA81" s="31"/>
      <c r="BB81" s="1465"/>
      <c r="BC81" s="1370"/>
      <c r="BD81" s="31"/>
      <c r="BE81" s="1465"/>
      <c r="BF81" s="1370"/>
      <c r="BG81" s="31"/>
      <c r="BH81" s="1465"/>
      <c r="BI81" s="1370"/>
      <c r="BJ81" s="31"/>
      <c r="BK81" s="1465"/>
      <c r="BL81" s="1370"/>
      <c r="BM81" s="31"/>
      <c r="BN81" s="1465"/>
      <c r="BO81" s="1370"/>
      <c r="BP81" s="31"/>
      <c r="BQ81" s="1465"/>
      <c r="BR81" s="1370"/>
      <c r="BS81" s="31"/>
      <c r="BT81" s="1465"/>
      <c r="BU81" s="1370"/>
      <c r="BV81" s="31"/>
      <c r="BW81" s="1465"/>
      <c r="BX81" s="1370"/>
      <c r="BY81" s="31"/>
      <c r="BZ81" s="1465"/>
      <c r="CA81" s="1370"/>
      <c r="CB81" s="31"/>
      <c r="CC81" s="1465"/>
      <c r="CD81" s="1370"/>
      <c r="CE81" s="31"/>
      <c r="CF81" s="1465"/>
      <c r="CG81" s="1370"/>
      <c r="CH81" s="31"/>
      <c r="CI81" s="1465"/>
      <c r="CJ81" s="1370"/>
      <c r="CK81" s="31"/>
      <c r="CL81" s="1273"/>
    </row>
    <row r="82" ht="18.75" customHeight="1">
      <c r="A82" s="1238"/>
      <c r="B82" s="1238"/>
      <c r="C82" s="1370"/>
      <c r="D82" s="1370"/>
      <c r="E82" s="1370"/>
      <c r="F82" s="1370"/>
      <c r="G82" s="1370"/>
      <c r="H82" s="1370"/>
      <c r="I82" s="1370"/>
      <c r="J82" s="1370"/>
      <c r="K82" s="1370"/>
      <c r="L82" s="1370"/>
      <c r="M82" s="1370"/>
      <c r="N82" s="31"/>
      <c r="O82" s="1465"/>
      <c r="P82" s="1370"/>
      <c r="Q82" s="31"/>
      <c r="R82" s="1465"/>
      <c r="S82" s="1370"/>
      <c r="T82" s="31"/>
      <c r="U82" s="1465"/>
      <c r="V82" s="1370"/>
      <c r="W82" s="31"/>
      <c r="X82" s="1465"/>
      <c r="Y82" s="1370"/>
      <c r="Z82" s="31"/>
      <c r="AA82" s="1465"/>
      <c r="AB82" s="1370"/>
      <c r="AC82" s="1371"/>
      <c r="AD82" s="1465"/>
      <c r="AE82" s="1370"/>
      <c r="AF82" s="1371"/>
      <c r="AG82" s="1465"/>
      <c r="AH82" s="1370"/>
      <c r="AI82" s="31"/>
      <c r="AJ82" s="1465"/>
      <c r="AK82" s="1370"/>
      <c r="AL82" s="31"/>
      <c r="AM82" s="1465"/>
      <c r="AN82" s="1322"/>
      <c r="AO82" s="1323" t="s">
        <v>2428</v>
      </c>
      <c r="AP82" s="1465"/>
      <c r="AQ82" s="1346"/>
      <c r="AR82" s="1296" t="s">
        <v>2429</v>
      </c>
      <c r="AS82" s="1465"/>
      <c r="AT82" s="1370"/>
      <c r="AU82" s="1371"/>
      <c r="AV82" s="1465"/>
      <c r="AW82" s="1370"/>
      <c r="AX82" s="31"/>
      <c r="AY82" s="1465"/>
      <c r="AZ82" s="1370"/>
      <c r="BA82" s="31"/>
      <c r="BB82" s="1465"/>
      <c r="BC82" s="1370"/>
      <c r="BD82" s="31"/>
      <c r="BE82" s="1465"/>
      <c r="BF82" s="1370"/>
      <c r="BG82" s="31"/>
      <c r="BH82" s="1465"/>
      <c r="BI82" s="1370"/>
      <c r="BJ82" s="31"/>
      <c r="BK82" s="1465"/>
      <c r="BL82" s="1370"/>
      <c r="BM82" s="31"/>
      <c r="BN82" s="1465"/>
      <c r="BO82" s="1370"/>
      <c r="BP82" s="31"/>
      <c r="BQ82" s="1465"/>
      <c r="BR82" s="1370"/>
      <c r="BS82" s="31"/>
      <c r="BT82" s="1465"/>
      <c r="BU82" s="1370"/>
      <c r="BV82" s="31"/>
      <c r="BW82" s="1465"/>
      <c r="BX82" s="1370"/>
      <c r="BY82" s="31"/>
      <c r="BZ82" s="1465"/>
      <c r="CA82" s="1370"/>
      <c r="CB82" s="31"/>
      <c r="CC82" s="1465"/>
      <c r="CD82" s="1370"/>
      <c r="CE82" s="31"/>
      <c r="CF82" s="1465"/>
      <c r="CG82" s="1370"/>
      <c r="CH82" s="31"/>
      <c r="CI82" s="1465"/>
      <c r="CJ82" s="1370"/>
      <c r="CK82" s="31"/>
      <c r="CL82" s="1273"/>
    </row>
    <row r="83" ht="18.75" customHeight="1">
      <c r="A83" s="1238"/>
      <c r="B83" s="1238"/>
      <c r="C83" s="1370"/>
      <c r="D83" s="1370"/>
      <c r="E83" s="1370"/>
      <c r="F83" s="1370"/>
      <c r="G83" s="1370"/>
      <c r="H83" s="1370"/>
      <c r="I83" s="1370"/>
      <c r="J83" s="1370"/>
      <c r="K83" s="1370"/>
      <c r="L83" s="1370"/>
      <c r="M83" s="1370"/>
      <c r="N83" s="31"/>
      <c r="O83" s="1465"/>
      <c r="P83" s="1370"/>
      <c r="Q83" s="31"/>
      <c r="R83" s="1465"/>
      <c r="S83" s="1370"/>
      <c r="T83" s="31"/>
      <c r="U83" s="1465"/>
      <c r="V83" s="1370"/>
      <c r="W83" s="31"/>
      <c r="X83" s="1465"/>
      <c r="Y83" s="1370"/>
      <c r="Z83" s="31"/>
      <c r="AA83" s="1465"/>
      <c r="AB83" s="1370"/>
      <c r="AC83" s="1371"/>
      <c r="AD83" s="1465"/>
      <c r="AE83" s="1370"/>
      <c r="AF83" s="1371"/>
      <c r="AG83" s="1465"/>
      <c r="AH83" s="1370"/>
      <c r="AI83" s="31"/>
      <c r="AJ83" s="1465"/>
      <c r="AK83" s="1370"/>
      <c r="AL83" s="31"/>
      <c r="AM83" s="1465"/>
      <c r="AN83" s="1345"/>
      <c r="AO83" s="1294" t="s">
        <v>2430</v>
      </c>
      <c r="AP83" s="1465"/>
      <c r="AQ83" s="1324"/>
      <c r="AR83" s="1325" t="s">
        <v>2431</v>
      </c>
      <c r="AS83" s="1465"/>
      <c r="AT83" s="1370"/>
      <c r="AU83" s="1371"/>
      <c r="AV83" s="1465"/>
      <c r="AW83" s="1370"/>
      <c r="AX83" s="31"/>
      <c r="AY83" s="1465"/>
      <c r="AZ83" s="1370"/>
      <c r="BA83" s="31"/>
      <c r="BB83" s="1465"/>
      <c r="BC83" s="1370"/>
      <c r="BD83" s="31"/>
      <c r="BE83" s="1465"/>
      <c r="BF83" s="1370"/>
      <c r="BG83" s="31"/>
      <c r="BH83" s="1465"/>
      <c r="BI83" s="1370"/>
      <c r="BJ83" s="31"/>
      <c r="BK83" s="1465"/>
      <c r="BL83" s="1370"/>
      <c r="BM83" s="31"/>
      <c r="BN83" s="1465"/>
      <c r="BO83" s="1370"/>
      <c r="BP83" s="31"/>
      <c r="BQ83" s="1465"/>
      <c r="BR83" s="1370"/>
      <c r="BS83" s="31"/>
      <c r="BT83" s="1465"/>
      <c r="BU83" s="1370"/>
      <c r="BV83" s="31"/>
      <c r="BW83" s="1465"/>
      <c r="BX83" s="1370"/>
      <c r="BY83" s="31"/>
      <c r="BZ83" s="1465"/>
      <c r="CA83" s="1370"/>
      <c r="CB83" s="31"/>
      <c r="CC83" s="1465"/>
      <c r="CD83" s="1370"/>
      <c r="CE83" s="31"/>
      <c r="CF83" s="1465"/>
      <c r="CG83" s="1370"/>
      <c r="CH83" s="31"/>
      <c r="CI83" s="1465"/>
      <c r="CJ83" s="1370"/>
      <c r="CK83" s="31"/>
      <c r="CL83" s="1273"/>
    </row>
    <row r="84" ht="18.75" customHeight="1">
      <c r="A84" s="1238"/>
      <c r="B84" s="1238"/>
      <c r="C84" s="1370"/>
      <c r="D84" s="1370"/>
      <c r="E84" s="1370"/>
      <c r="F84" s="1370"/>
      <c r="G84" s="1370"/>
      <c r="H84" s="1370"/>
      <c r="I84" s="1370"/>
      <c r="J84" s="1370"/>
      <c r="K84" s="1370"/>
      <c r="L84" s="1370"/>
      <c r="M84" s="1370"/>
      <c r="N84" s="31"/>
      <c r="O84" s="1465"/>
      <c r="P84" s="1370"/>
      <c r="Q84" s="31"/>
      <c r="R84" s="1465"/>
      <c r="S84" s="1370"/>
      <c r="T84" s="31"/>
      <c r="U84" s="1465"/>
      <c r="V84" s="1370"/>
      <c r="W84" s="31"/>
      <c r="X84" s="1465"/>
      <c r="Y84" s="1370"/>
      <c r="Z84" s="31"/>
      <c r="AA84" s="1465"/>
      <c r="AB84" s="1370"/>
      <c r="AC84" s="1371"/>
      <c r="AD84" s="1465"/>
      <c r="AE84" s="1370"/>
      <c r="AF84" s="1371"/>
      <c r="AG84" s="1465"/>
      <c r="AH84" s="1370"/>
      <c r="AI84" s="31"/>
      <c r="AJ84" s="1465"/>
      <c r="AK84" s="1370"/>
      <c r="AL84" s="31"/>
      <c r="AM84" s="1465"/>
      <c r="AN84" s="1322"/>
      <c r="AO84" s="1323" t="s">
        <v>2432</v>
      </c>
      <c r="AP84" s="1465"/>
      <c r="AQ84" s="1346"/>
      <c r="AR84" s="1296" t="s">
        <v>2433</v>
      </c>
      <c r="AS84" s="1465"/>
      <c r="AT84" s="1370"/>
      <c r="AU84" s="1371"/>
      <c r="AV84" s="1465"/>
      <c r="AW84" s="1370"/>
      <c r="AX84" s="31"/>
      <c r="AY84" s="1465"/>
      <c r="AZ84" s="1370"/>
      <c r="BA84" s="31"/>
      <c r="BB84" s="1465"/>
      <c r="BC84" s="1370"/>
      <c r="BD84" s="31"/>
      <c r="BE84" s="1465"/>
      <c r="BF84" s="1370"/>
      <c r="BG84" s="31"/>
      <c r="BH84" s="1465"/>
      <c r="BI84" s="1370"/>
      <c r="BJ84" s="31"/>
      <c r="BK84" s="1465"/>
      <c r="BL84" s="1370"/>
      <c r="BM84" s="31"/>
      <c r="BN84" s="1465"/>
      <c r="BO84" s="1370"/>
      <c r="BP84" s="31"/>
      <c r="BQ84" s="1465"/>
      <c r="BR84" s="1370"/>
      <c r="BS84" s="31"/>
      <c r="BT84" s="1465"/>
      <c r="BU84" s="1370"/>
      <c r="BV84" s="31"/>
      <c r="BW84" s="1465"/>
      <c r="BX84" s="1370"/>
      <c r="BY84" s="31"/>
      <c r="BZ84" s="1465"/>
      <c r="CA84" s="1370"/>
      <c r="CB84" s="31"/>
      <c r="CC84" s="1465"/>
      <c r="CD84" s="1370"/>
      <c r="CE84" s="31"/>
      <c r="CF84" s="1465"/>
      <c r="CG84" s="1370"/>
      <c r="CH84" s="31"/>
      <c r="CI84" s="1465"/>
      <c r="CJ84" s="1370"/>
      <c r="CK84" s="31"/>
      <c r="CL84" s="1273"/>
    </row>
    <row r="85" ht="18.75" customHeight="1">
      <c r="A85" s="1238"/>
      <c r="B85" s="1238"/>
      <c r="C85" s="1370"/>
      <c r="D85" s="1370"/>
      <c r="E85" s="1370"/>
      <c r="F85" s="1370"/>
      <c r="G85" s="1370"/>
      <c r="H85" s="1370"/>
      <c r="I85" s="1370"/>
      <c r="J85" s="1370"/>
      <c r="K85" s="1370"/>
      <c r="L85" s="1370"/>
      <c r="M85" s="1370"/>
      <c r="N85" s="31"/>
      <c r="O85" s="1465"/>
      <c r="P85" s="1370"/>
      <c r="Q85" s="31"/>
      <c r="R85" s="1465"/>
      <c r="S85" s="1370"/>
      <c r="T85" s="31"/>
      <c r="U85" s="1465"/>
      <c r="V85" s="1370"/>
      <c r="W85" s="31"/>
      <c r="X85" s="1465"/>
      <c r="Y85" s="1370"/>
      <c r="Z85" s="31"/>
      <c r="AA85" s="1465"/>
      <c r="AB85" s="1370"/>
      <c r="AC85" s="1371"/>
      <c r="AD85" s="1465"/>
      <c r="AE85" s="1370"/>
      <c r="AF85" s="1371"/>
      <c r="AG85" s="1465"/>
      <c r="AH85" s="1370"/>
      <c r="AI85" s="31"/>
      <c r="AJ85" s="1465"/>
      <c r="AK85" s="1370"/>
      <c r="AL85" s="31"/>
      <c r="AM85" s="1465"/>
      <c r="AN85" s="1345"/>
      <c r="AO85" s="1294" t="s">
        <v>2434</v>
      </c>
      <c r="AP85" s="1465"/>
      <c r="AQ85" s="1324"/>
      <c r="AR85" s="1325" t="s">
        <v>2435</v>
      </c>
      <c r="AS85" s="1465"/>
      <c r="AT85" s="1370"/>
      <c r="AU85" s="1371"/>
      <c r="AV85" s="1465"/>
      <c r="AW85" s="1370"/>
      <c r="AX85" s="31"/>
      <c r="AY85" s="1465"/>
      <c r="AZ85" s="1370"/>
      <c r="BA85" s="31"/>
      <c r="BB85" s="1465"/>
      <c r="BC85" s="1370"/>
      <c r="BD85" s="31"/>
      <c r="BE85" s="1465"/>
      <c r="BF85" s="1370"/>
      <c r="BG85" s="31"/>
      <c r="BH85" s="1465"/>
      <c r="BI85" s="1370"/>
      <c r="BJ85" s="31"/>
      <c r="BK85" s="1465"/>
      <c r="BL85" s="1370"/>
      <c r="BM85" s="31"/>
      <c r="BN85" s="1465"/>
      <c r="BO85" s="1370"/>
      <c r="BP85" s="31"/>
      <c r="BQ85" s="1465"/>
      <c r="BR85" s="1370"/>
      <c r="BS85" s="31"/>
      <c r="BT85" s="1465"/>
      <c r="BU85" s="1370"/>
      <c r="BV85" s="31"/>
      <c r="BW85" s="1465"/>
      <c r="BX85" s="1370"/>
      <c r="BY85" s="31"/>
      <c r="BZ85" s="1465"/>
      <c r="CA85" s="1370"/>
      <c r="CB85" s="31"/>
      <c r="CC85" s="1465"/>
      <c r="CD85" s="1370"/>
      <c r="CE85" s="31"/>
      <c r="CF85" s="1465"/>
      <c r="CG85" s="1370"/>
      <c r="CH85" s="31"/>
      <c r="CI85" s="1465"/>
      <c r="CJ85" s="1370"/>
      <c r="CK85" s="31"/>
      <c r="CL85" s="1273"/>
    </row>
    <row r="86" ht="18.75" customHeight="1">
      <c r="A86" s="1238"/>
      <c r="B86" s="1238"/>
      <c r="C86" s="1370"/>
      <c r="D86" s="1370"/>
      <c r="E86" s="1370"/>
      <c r="F86" s="1370"/>
      <c r="G86" s="1370"/>
      <c r="H86" s="1370"/>
      <c r="I86" s="1370"/>
      <c r="J86" s="1370"/>
      <c r="K86" s="1370"/>
      <c r="L86" s="1370"/>
      <c r="M86" s="1370"/>
      <c r="N86" s="31"/>
      <c r="O86" s="1465"/>
      <c r="P86" s="1370"/>
      <c r="Q86" s="31"/>
      <c r="R86" s="1465"/>
      <c r="S86" s="1370"/>
      <c r="T86" s="31"/>
      <c r="U86" s="1465"/>
      <c r="V86" s="1370"/>
      <c r="W86" s="31"/>
      <c r="X86" s="1465"/>
      <c r="Y86" s="1370"/>
      <c r="Z86" s="31"/>
      <c r="AA86" s="1465"/>
      <c r="AB86" s="1370"/>
      <c r="AC86" s="1371"/>
      <c r="AD86" s="1465"/>
      <c r="AE86" s="1370"/>
      <c r="AF86" s="1371"/>
      <c r="AG86" s="1465"/>
      <c r="AH86" s="1370"/>
      <c r="AI86" s="31"/>
      <c r="AJ86" s="1465"/>
      <c r="AK86" s="1370"/>
      <c r="AL86" s="31"/>
      <c r="AM86" s="1465"/>
      <c r="AN86" s="1322"/>
      <c r="AO86" s="1323" t="s">
        <v>2436</v>
      </c>
      <c r="AP86" s="1465"/>
      <c r="AQ86" s="1346"/>
      <c r="AR86" s="1296" t="s">
        <v>2437</v>
      </c>
      <c r="AS86" s="1465"/>
      <c r="AT86" s="1370"/>
      <c r="AU86" s="1371"/>
      <c r="AV86" s="1465"/>
      <c r="AW86" s="1370"/>
      <c r="AX86" s="31"/>
      <c r="AY86" s="1465"/>
      <c r="AZ86" s="1370"/>
      <c r="BA86" s="31"/>
      <c r="BB86" s="1465"/>
      <c r="BC86" s="1370"/>
      <c r="BD86" s="31"/>
      <c r="BE86" s="1465"/>
      <c r="BF86" s="1370"/>
      <c r="BG86" s="31"/>
      <c r="BH86" s="1465"/>
      <c r="BI86" s="1370"/>
      <c r="BJ86" s="31"/>
      <c r="BK86" s="1465"/>
      <c r="BL86" s="1370"/>
      <c r="BM86" s="31"/>
      <c r="BN86" s="1465"/>
      <c r="BO86" s="1370"/>
      <c r="BP86" s="31"/>
      <c r="BQ86" s="1465"/>
      <c r="BR86" s="1370"/>
      <c r="BS86" s="31"/>
      <c r="BT86" s="1465"/>
      <c r="BU86" s="1370"/>
      <c r="BV86" s="31"/>
      <c r="BW86" s="1465"/>
      <c r="BX86" s="1370"/>
      <c r="BY86" s="31"/>
      <c r="BZ86" s="1465"/>
      <c r="CA86" s="1370"/>
      <c r="CB86" s="31"/>
      <c r="CC86" s="1465"/>
      <c r="CD86" s="1370"/>
      <c r="CE86" s="31"/>
      <c r="CF86" s="1465"/>
      <c r="CG86" s="1370"/>
      <c r="CH86" s="31"/>
      <c r="CI86" s="1465"/>
      <c r="CJ86" s="1370"/>
      <c r="CK86" s="31"/>
      <c r="CL86" s="1273"/>
    </row>
    <row r="87" ht="18.75" customHeight="1">
      <c r="A87" s="1238"/>
      <c r="B87" s="1238"/>
      <c r="C87" s="1370"/>
      <c r="D87" s="1370"/>
      <c r="E87" s="1370"/>
      <c r="F87" s="1370"/>
      <c r="G87" s="1370"/>
      <c r="H87" s="1370"/>
      <c r="I87" s="1370"/>
      <c r="J87" s="1370"/>
      <c r="K87" s="1370"/>
      <c r="L87" s="1370"/>
      <c r="M87" s="1370"/>
      <c r="N87" s="31"/>
      <c r="O87" s="1465"/>
      <c r="P87" s="1370"/>
      <c r="Q87" s="31"/>
      <c r="R87" s="1465"/>
      <c r="S87" s="1370"/>
      <c r="T87" s="31"/>
      <c r="U87" s="1465"/>
      <c r="V87" s="1370"/>
      <c r="W87" s="31"/>
      <c r="X87" s="1465"/>
      <c r="Y87" s="1370"/>
      <c r="Z87" s="31"/>
      <c r="AA87" s="1465"/>
      <c r="AB87" s="1370"/>
      <c r="AC87" s="1371"/>
      <c r="AD87" s="1465"/>
      <c r="AE87" s="1370"/>
      <c r="AF87" s="1371"/>
      <c r="AG87" s="1465"/>
      <c r="AH87" s="1370"/>
      <c r="AI87" s="31"/>
      <c r="AJ87" s="1465"/>
      <c r="AK87" s="1370"/>
      <c r="AL87" s="31"/>
      <c r="AM87" s="1465"/>
      <c r="AN87" s="1345"/>
      <c r="AO87" s="1294" t="s">
        <v>2438</v>
      </c>
      <c r="AP87" s="1465"/>
      <c r="AQ87" s="1324"/>
      <c r="AR87" s="1325" t="s">
        <v>2439</v>
      </c>
      <c r="AS87" s="1465"/>
      <c r="AT87" s="1370"/>
      <c r="AU87" s="1371"/>
      <c r="AV87" s="1465"/>
      <c r="AW87" s="1370"/>
      <c r="AX87" s="31"/>
      <c r="AY87" s="1465"/>
      <c r="AZ87" s="1370"/>
      <c r="BA87" s="31"/>
      <c r="BB87" s="1465"/>
      <c r="BC87" s="1370"/>
      <c r="BD87" s="31"/>
      <c r="BE87" s="1465"/>
      <c r="BF87" s="1370"/>
      <c r="BG87" s="31"/>
      <c r="BH87" s="1465"/>
      <c r="BI87" s="1370"/>
      <c r="BJ87" s="31"/>
      <c r="BK87" s="1465"/>
      <c r="BL87" s="1370"/>
      <c r="BM87" s="31"/>
      <c r="BN87" s="1465"/>
      <c r="BO87" s="1370"/>
      <c r="BP87" s="31"/>
      <c r="BQ87" s="1465"/>
      <c r="BR87" s="1370"/>
      <c r="BS87" s="31"/>
      <c r="BT87" s="1465"/>
      <c r="BU87" s="1370"/>
      <c r="BV87" s="31"/>
      <c r="BW87" s="1465"/>
      <c r="BX87" s="1370"/>
      <c r="BY87" s="31"/>
      <c r="BZ87" s="1465"/>
      <c r="CA87" s="1370"/>
      <c r="CB87" s="31"/>
      <c r="CC87" s="1465"/>
      <c r="CD87" s="1370"/>
      <c r="CE87" s="31"/>
      <c r="CF87" s="1465"/>
      <c r="CG87" s="1370"/>
      <c r="CH87" s="31"/>
      <c r="CI87" s="1465"/>
      <c r="CJ87" s="1370"/>
      <c r="CK87" s="31"/>
      <c r="CL87" s="1273"/>
    </row>
    <row r="88" ht="18.75" customHeight="1">
      <c r="A88" s="1238"/>
      <c r="B88" s="1238"/>
      <c r="C88" s="1370"/>
      <c r="D88" s="1370"/>
      <c r="E88" s="1370"/>
      <c r="F88" s="1370"/>
      <c r="G88" s="1370"/>
      <c r="H88" s="1370"/>
      <c r="I88" s="1370"/>
      <c r="J88" s="1370"/>
      <c r="K88" s="1370"/>
      <c r="L88" s="1370"/>
      <c r="M88" s="1370"/>
      <c r="N88" s="31"/>
      <c r="O88" s="1465"/>
      <c r="P88" s="1370"/>
      <c r="Q88" s="31"/>
      <c r="R88" s="1465"/>
      <c r="S88" s="1370"/>
      <c r="T88" s="31"/>
      <c r="U88" s="1465"/>
      <c r="V88" s="1370"/>
      <c r="W88" s="31"/>
      <c r="X88" s="1465"/>
      <c r="Y88" s="1370"/>
      <c r="Z88" s="31"/>
      <c r="AA88" s="1465"/>
      <c r="AB88" s="1370"/>
      <c r="AC88" s="1371"/>
      <c r="AD88" s="1465"/>
      <c r="AE88" s="1370"/>
      <c r="AF88" s="1371"/>
      <c r="AG88" s="1465"/>
      <c r="AH88" s="1370"/>
      <c r="AI88" s="31"/>
      <c r="AJ88" s="1465"/>
      <c r="AK88" s="1370"/>
      <c r="AL88" s="31"/>
      <c r="AM88" s="1465"/>
      <c r="AN88" s="1322"/>
      <c r="AO88" s="1323" t="s">
        <v>2440</v>
      </c>
      <c r="AP88" s="1465"/>
      <c r="AQ88" s="1324"/>
      <c r="AR88" s="1325" t="s">
        <v>2441</v>
      </c>
      <c r="AS88" s="1465"/>
      <c r="AT88" s="1370"/>
      <c r="AU88" s="1371"/>
      <c r="AV88" s="1465"/>
      <c r="AW88" s="1370"/>
      <c r="AX88" s="31"/>
      <c r="AY88" s="1465"/>
      <c r="AZ88" s="1370"/>
      <c r="BA88" s="31"/>
      <c r="BB88" s="1465"/>
      <c r="BC88" s="1370"/>
      <c r="BD88" s="31"/>
      <c r="BE88" s="1465"/>
      <c r="BF88" s="1370"/>
      <c r="BG88" s="31"/>
      <c r="BH88" s="1465"/>
      <c r="BI88" s="1370"/>
      <c r="BJ88" s="31"/>
      <c r="BK88" s="1465"/>
      <c r="BL88" s="1370"/>
      <c r="BM88" s="31"/>
      <c r="BN88" s="1465"/>
      <c r="BO88" s="1370"/>
      <c r="BP88" s="31"/>
      <c r="BQ88" s="1465"/>
      <c r="BR88" s="1370"/>
      <c r="BS88" s="31"/>
      <c r="BT88" s="1465"/>
      <c r="BU88" s="1370"/>
      <c r="BV88" s="31"/>
      <c r="BW88" s="1465"/>
      <c r="BX88" s="1370"/>
      <c r="BY88" s="31"/>
      <c r="BZ88" s="1465"/>
      <c r="CA88" s="1370"/>
      <c r="CB88" s="31"/>
      <c r="CC88" s="1465"/>
      <c r="CD88" s="1370"/>
      <c r="CE88" s="31"/>
      <c r="CF88" s="1465"/>
      <c r="CG88" s="1370"/>
      <c r="CH88" s="31"/>
      <c r="CI88" s="1465"/>
      <c r="CJ88" s="1370"/>
      <c r="CK88" s="31"/>
      <c r="CL88" s="1273"/>
    </row>
    <row r="89" ht="18.75" customHeight="1">
      <c r="A89" s="1238"/>
      <c r="B89" s="1238"/>
      <c r="C89" s="1370"/>
      <c r="D89" s="1370"/>
      <c r="E89" s="1370"/>
      <c r="F89" s="1370"/>
      <c r="G89" s="1370"/>
      <c r="H89" s="1370"/>
      <c r="I89" s="1370"/>
      <c r="J89" s="1370"/>
      <c r="K89" s="1370"/>
      <c r="L89" s="1370"/>
      <c r="M89" s="1370"/>
      <c r="N89" s="31"/>
      <c r="O89" s="1465"/>
      <c r="P89" s="1370"/>
      <c r="Q89" s="31"/>
      <c r="R89" s="1465"/>
      <c r="S89" s="1370"/>
      <c r="T89" s="31"/>
      <c r="U89" s="1465"/>
      <c r="V89" s="1370"/>
      <c r="W89" s="31"/>
      <c r="X89" s="1465"/>
      <c r="Y89" s="1370"/>
      <c r="Z89" s="31"/>
      <c r="AA89" s="1465"/>
      <c r="AB89" s="1370"/>
      <c r="AC89" s="1371"/>
      <c r="AD89" s="1465"/>
      <c r="AE89" s="1370"/>
      <c r="AF89" s="1371"/>
      <c r="AG89" s="1465"/>
      <c r="AH89" s="1370"/>
      <c r="AI89" s="31"/>
      <c r="AJ89" s="1465"/>
      <c r="AK89" s="1370"/>
      <c r="AL89" s="31"/>
      <c r="AM89" s="1465"/>
      <c r="AN89" s="1345"/>
      <c r="AO89" s="1294" t="s">
        <v>2442</v>
      </c>
      <c r="AP89" s="1465"/>
      <c r="AQ89" s="1346"/>
      <c r="AR89" s="1296" t="s">
        <v>2443</v>
      </c>
      <c r="AS89" s="1465"/>
      <c r="AT89" s="1370"/>
      <c r="AU89" s="1371"/>
      <c r="AV89" s="1465"/>
      <c r="AW89" s="1370"/>
      <c r="AX89" s="31"/>
      <c r="AY89" s="1465"/>
      <c r="AZ89" s="1370"/>
      <c r="BA89" s="31"/>
      <c r="BB89" s="1465"/>
      <c r="BC89" s="1370"/>
      <c r="BD89" s="31"/>
      <c r="BE89" s="1465"/>
      <c r="BF89" s="1370"/>
      <c r="BG89" s="31"/>
      <c r="BH89" s="1465"/>
      <c r="BI89" s="1370"/>
      <c r="BJ89" s="31"/>
      <c r="BK89" s="1465"/>
      <c r="BL89" s="1370"/>
      <c r="BM89" s="31"/>
      <c r="BN89" s="1465"/>
      <c r="BO89" s="1370"/>
      <c r="BP89" s="31"/>
      <c r="BQ89" s="1465"/>
      <c r="BR89" s="1370"/>
      <c r="BS89" s="31"/>
      <c r="BT89" s="1465"/>
      <c r="BU89" s="1370"/>
      <c r="BV89" s="31"/>
      <c r="BW89" s="1465"/>
      <c r="BX89" s="1370"/>
      <c r="BY89" s="31"/>
      <c r="BZ89" s="1465"/>
      <c r="CA89" s="1370"/>
      <c r="CB89" s="31"/>
      <c r="CC89" s="1465"/>
      <c r="CD89" s="1370"/>
      <c r="CE89" s="31"/>
      <c r="CF89" s="1465"/>
      <c r="CG89" s="1370"/>
      <c r="CH89" s="31"/>
      <c r="CI89" s="1465"/>
      <c r="CJ89" s="1370"/>
      <c r="CK89" s="31"/>
      <c r="CL89" s="1273"/>
    </row>
    <row r="90" ht="18.75" customHeight="1">
      <c r="A90" s="1238"/>
      <c r="B90" s="1238"/>
      <c r="C90" s="1370"/>
      <c r="D90" s="1370"/>
      <c r="E90" s="1370"/>
      <c r="F90" s="1370"/>
      <c r="G90" s="1370"/>
      <c r="H90" s="1370"/>
      <c r="I90" s="1370"/>
      <c r="J90" s="1370"/>
      <c r="K90" s="1370"/>
      <c r="L90" s="1370"/>
      <c r="M90" s="1370"/>
      <c r="N90" s="31"/>
      <c r="O90" s="1465"/>
      <c r="P90" s="1370"/>
      <c r="Q90" s="31"/>
      <c r="R90" s="1465"/>
      <c r="S90" s="1370"/>
      <c r="T90" s="31"/>
      <c r="U90" s="1465"/>
      <c r="V90" s="1370"/>
      <c r="W90" s="31"/>
      <c r="X90" s="1465"/>
      <c r="Y90" s="1370"/>
      <c r="Z90" s="31"/>
      <c r="AA90" s="1465"/>
      <c r="AB90" s="1370"/>
      <c r="AC90" s="1371"/>
      <c r="AD90" s="1465"/>
      <c r="AE90" s="1370"/>
      <c r="AF90" s="1371"/>
      <c r="AG90" s="1465"/>
      <c r="AH90" s="1370"/>
      <c r="AI90" s="31"/>
      <c r="AJ90" s="1465"/>
      <c r="AK90" s="1370"/>
      <c r="AL90" s="31"/>
      <c r="AM90" s="1465"/>
      <c r="AN90" s="1322"/>
      <c r="AO90" s="1323" t="s">
        <v>2444</v>
      </c>
      <c r="AP90" s="1465"/>
      <c r="AQ90" s="1324"/>
      <c r="AR90" s="1325" t="s">
        <v>2445</v>
      </c>
      <c r="AS90" s="1465"/>
      <c r="AT90" s="1370"/>
      <c r="AU90" s="1371"/>
      <c r="AV90" s="1465"/>
      <c r="AW90" s="1370"/>
      <c r="AX90" s="31"/>
      <c r="AY90" s="1465"/>
      <c r="AZ90" s="1370"/>
      <c r="BA90" s="31"/>
      <c r="BB90" s="1465"/>
      <c r="BC90" s="1370"/>
      <c r="BD90" s="31"/>
      <c r="BE90" s="1465"/>
      <c r="BF90" s="1370"/>
      <c r="BG90" s="31"/>
      <c r="BH90" s="1465"/>
      <c r="BI90" s="1370"/>
      <c r="BJ90" s="31"/>
      <c r="BK90" s="1465"/>
      <c r="BL90" s="1370"/>
      <c r="BM90" s="31"/>
      <c r="BN90" s="1465"/>
      <c r="BO90" s="1370"/>
      <c r="BP90" s="31"/>
      <c r="BQ90" s="1465"/>
      <c r="BR90" s="1370"/>
      <c r="BS90" s="31"/>
      <c r="BT90" s="1465"/>
      <c r="BU90" s="1370"/>
      <c r="BV90" s="31"/>
      <c r="BW90" s="1465"/>
      <c r="BX90" s="1370"/>
      <c r="BY90" s="31"/>
      <c r="BZ90" s="1465"/>
      <c r="CA90" s="1370"/>
      <c r="CB90" s="31"/>
      <c r="CC90" s="1465"/>
      <c r="CD90" s="1370"/>
      <c r="CE90" s="31"/>
      <c r="CF90" s="1465"/>
      <c r="CG90" s="1370"/>
      <c r="CH90" s="31"/>
      <c r="CI90" s="1465"/>
      <c r="CJ90" s="1370"/>
      <c r="CK90" s="31"/>
      <c r="CL90" s="1273"/>
    </row>
    <row r="91" ht="18.75" customHeight="1">
      <c r="A91" s="1238"/>
      <c r="B91" s="1238"/>
      <c r="C91" s="1370"/>
      <c r="D91" s="1370"/>
      <c r="E91" s="1370"/>
      <c r="F91" s="1370"/>
      <c r="G91" s="1370"/>
      <c r="H91" s="1370"/>
      <c r="I91" s="1370"/>
      <c r="J91" s="1370"/>
      <c r="K91" s="1370"/>
      <c r="L91" s="1370"/>
      <c r="M91" s="1370"/>
      <c r="N91" s="31"/>
      <c r="O91" s="1465"/>
      <c r="P91" s="1370"/>
      <c r="Q91" s="31"/>
      <c r="R91" s="1465"/>
      <c r="S91" s="1370"/>
      <c r="T91" s="31"/>
      <c r="U91" s="1465"/>
      <c r="V91" s="1370"/>
      <c r="W91" s="31"/>
      <c r="X91" s="1465"/>
      <c r="Y91" s="1370"/>
      <c r="Z91" s="31"/>
      <c r="AA91" s="1465"/>
      <c r="AB91" s="1370"/>
      <c r="AC91" s="1371"/>
      <c r="AD91" s="1465"/>
      <c r="AE91" s="1370"/>
      <c r="AF91" s="1371"/>
      <c r="AG91" s="1465"/>
      <c r="AH91" s="1370"/>
      <c r="AI91" s="31"/>
      <c r="AJ91" s="1465"/>
      <c r="AK91" s="1370"/>
      <c r="AL91" s="31"/>
      <c r="AM91" s="1465"/>
      <c r="AN91" s="1345"/>
      <c r="AO91" s="1294" t="s">
        <v>2446</v>
      </c>
      <c r="AP91" s="1465"/>
      <c r="AQ91" s="1346"/>
      <c r="AR91" s="1296" t="s">
        <v>2447</v>
      </c>
      <c r="AS91" s="1465"/>
      <c r="AT91" s="1370"/>
      <c r="AU91" s="1371"/>
      <c r="AV91" s="1465"/>
      <c r="AW91" s="1370"/>
      <c r="AX91" s="31"/>
      <c r="AY91" s="1465"/>
      <c r="AZ91" s="1370"/>
      <c r="BA91" s="31"/>
      <c r="BB91" s="1465"/>
      <c r="BC91" s="1370"/>
      <c r="BD91" s="31"/>
      <c r="BE91" s="1465"/>
      <c r="BF91" s="1370"/>
      <c r="BG91" s="31"/>
      <c r="BH91" s="1465"/>
      <c r="BI91" s="1370"/>
      <c r="BJ91" s="31"/>
      <c r="BK91" s="1465"/>
      <c r="BL91" s="1370"/>
      <c r="BM91" s="31"/>
      <c r="BN91" s="1465"/>
      <c r="BO91" s="1370"/>
      <c r="BP91" s="31"/>
      <c r="BQ91" s="1465"/>
      <c r="BR91" s="1370"/>
      <c r="BS91" s="31"/>
      <c r="BT91" s="1465"/>
      <c r="BU91" s="1370"/>
      <c r="BV91" s="31"/>
      <c r="BW91" s="1465"/>
      <c r="BX91" s="1370"/>
      <c r="BY91" s="31"/>
      <c r="BZ91" s="1465"/>
      <c r="CA91" s="1370"/>
      <c r="CB91" s="31"/>
      <c r="CC91" s="1465"/>
      <c r="CD91" s="1370"/>
      <c r="CE91" s="31"/>
      <c r="CF91" s="1465"/>
      <c r="CG91" s="1370"/>
      <c r="CH91" s="31"/>
      <c r="CI91" s="1465"/>
      <c r="CJ91" s="1370"/>
      <c r="CK91" s="31"/>
      <c r="CL91" s="1273"/>
    </row>
    <row r="92" ht="18.75" customHeight="1">
      <c r="A92" s="1238"/>
      <c r="B92" s="1238"/>
      <c r="C92" s="1370"/>
      <c r="D92" s="1370"/>
      <c r="E92" s="1370"/>
      <c r="F92" s="1370"/>
      <c r="G92" s="1370"/>
      <c r="H92" s="1370"/>
      <c r="I92" s="1370"/>
      <c r="J92" s="1370"/>
      <c r="K92" s="1370"/>
      <c r="L92" s="1370"/>
      <c r="M92" s="1370"/>
      <c r="N92" s="31"/>
      <c r="O92" s="1465"/>
      <c r="P92" s="1370"/>
      <c r="Q92" s="31"/>
      <c r="R92" s="1465"/>
      <c r="S92" s="1370"/>
      <c r="T92" s="31"/>
      <c r="U92" s="1465"/>
      <c r="V92" s="1370"/>
      <c r="W92" s="31"/>
      <c r="X92" s="1465"/>
      <c r="Y92" s="1370"/>
      <c r="Z92" s="31"/>
      <c r="AA92" s="1465"/>
      <c r="AB92" s="1370"/>
      <c r="AC92" s="1371"/>
      <c r="AD92" s="1465"/>
      <c r="AE92" s="1370"/>
      <c r="AF92" s="1371"/>
      <c r="AG92" s="1465"/>
      <c r="AH92" s="1370"/>
      <c r="AI92" s="31"/>
      <c r="AJ92" s="1465"/>
      <c r="AK92" s="1370"/>
      <c r="AL92" s="31"/>
      <c r="AM92" s="1465"/>
      <c r="AN92" s="1322"/>
      <c r="AO92" s="1323" t="s">
        <v>2448</v>
      </c>
      <c r="AP92" s="1465"/>
      <c r="AQ92" s="1324"/>
      <c r="AR92" s="1325" t="s">
        <v>2449</v>
      </c>
      <c r="AS92" s="1465"/>
      <c r="AT92" s="1370"/>
      <c r="AU92" s="1371"/>
      <c r="AV92" s="1465"/>
      <c r="AW92" s="1370"/>
      <c r="AX92" s="31"/>
      <c r="AY92" s="1465"/>
      <c r="AZ92" s="1370"/>
      <c r="BA92" s="31"/>
      <c r="BB92" s="1465"/>
      <c r="BC92" s="1370"/>
      <c r="BD92" s="31"/>
      <c r="BE92" s="1465"/>
      <c r="BF92" s="1370"/>
      <c r="BG92" s="31"/>
      <c r="BH92" s="1465"/>
      <c r="BI92" s="1370"/>
      <c r="BJ92" s="31"/>
      <c r="BK92" s="1465"/>
      <c r="BL92" s="1370"/>
      <c r="BM92" s="31"/>
      <c r="BN92" s="1465"/>
      <c r="BO92" s="1370"/>
      <c r="BP92" s="31"/>
      <c r="BQ92" s="1465"/>
      <c r="BR92" s="1370"/>
      <c r="BS92" s="31"/>
      <c r="BT92" s="1465"/>
      <c r="BU92" s="1370"/>
      <c r="BV92" s="31"/>
      <c r="BW92" s="1465"/>
      <c r="BX92" s="1370"/>
      <c r="BY92" s="31"/>
      <c r="BZ92" s="1465"/>
      <c r="CA92" s="1370"/>
      <c r="CB92" s="31"/>
      <c r="CC92" s="1465"/>
      <c r="CD92" s="1370"/>
      <c r="CE92" s="31"/>
      <c r="CF92" s="1465"/>
      <c r="CG92" s="1370"/>
      <c r="CH92" s="31"/>
      <c r="CI92" s="1465"/>
      <c r="CJ92" s="1370"/>
      <c r="CK92" s="31"/>
      <c r="CL92" s="1273"/>
    </row>
    <row r="93" ht="18.75" customHeight="1">
      <c r="A93" s="1238"/>
      <c r="B93" s="1238"/>
      <c r="C93" s="1370"/>
      <c r="D93" s="1370"/>
      <c r="E93" s="1370"/>
      <c r="F93" s="1370"/>
      <c r="G93" s="1370"/>
      <c r="H93" s="1370"/>
      <c r="I93" s="1370"/>
      <c r="J93" s="1370"/>
      <c r="K93" s="1370"/>
      <c r="L93" s="1370"/>
      <c r="M93" s="1370"/>
      <c r="N93" s="31"/>
      <c r="O93" s="1465"/>
      <c r="P93" s="1370"/>
      <c r="Q93" s="31"/>
      <c r="R93" s="1465"/>
      <c r="S93" s="1370"/>
      <c r="T93" s="31"/>
      <c r="U93" s="1465"/>
      <c r="V93" s="1370"/>
      <c r="W93" s="31"/>
      <c r="X93" s="1465"/>
      <c r="Y93" s="1370"/>
      <c r="Z93" s="31"/>
      <c r="AA93" s="1465"/>
      <c r="AB93" s="1370"/>
      <c r="AC93" s="1371"/>
      <c r="AD93" s="1465"/>
      <c r="AE93" s="1370"/>
      <c r="AF93" s="1371"/>
      <c r="AG93" s="1465"/>
      <c r="AH93" s="1370"/>
      <c r="AI93" s="31"/>
      <c r="AJ93" s="1465"/>
      <c r="AK93" s="1370"/>
      <c r="AL93" s="31"/>
      <c r="AM93" s="1465"/>
      <c r="AN93" s="1345"/>
      <c r="AO93" s="1294" t="s">
        <v>2450</v>
      </c>
      <c r="AP93" s="1465"/>
      <c r="AQ93" s="1346"/>
      <c r="AR93" s="1296" t="s">
        <v>2451</v>
      </c>
      <c r="AS93" s="1465"/>
      <c r="AT93" s="1370"/>
      <c r="AU93" s="1371"/>
      <c r="AV93" s="1465"/>
      <c r="AW93" s="1370"/>
      <c r="AX93" s="31"/>
      <c r="AY93" s="1465"/>
      <c r="AZ93" s="1370"/>
      <c r="BA93" s="31"/>
      <c r="BB93" s="1465"/>
      <c r="BC93" s="1370"/>
      <c r="BD93" s="31"/>
      <c r="BE93" s="1465"/>
      <c r="BF93" s="1370"/>
      <c r="BG93" s="31"/>
      <c r="BH93" s="1465"/>
      <c r="BI93" s="1370"/>
      <c r="BJ93" s="31"/>
      <c r="BK93" s="1465"/>
      <c r="BL93" s="1370"/>
      <c r="BM93" s="31"/>
      <c r="BN93" s="1465"/>
      <c r="BO93" s="1370"/>
      <c r="BP93" s="31"/>
      <c r="BQ93" s="1465"/>
      <c r="BR93" s="1370"/>
      <c r="BS93" s="31"/>
      <c r="BT93" s="1465"/>
      <c r="BU93" s="1370"/>
      <c r="BV93" s="31"/>
      <c r="BW93" s="1465"/>
      <c r="BX93" s="1370"/>
      <c r="BY93" s="31"/>
      <c r="BZ93" s="1465"/>
      <c r="CA93" s="1370"/>
      <c r="CB93" s="31"/>
      <c r="CC93" s="1465"/>
      <c r="CD93" s="1370"/>
      <c r="CE93" s="31"/>
      <c r="CF93" s="1465"/>
      <c r="CG93" s="1370"/>
      <c r="CH93" s="31"/>
      <c r="CI93" s="1465"/>
      <c r="CJ93" s="1370"/>
      <c r="CK93" s="31"/>
      <c r="CL93" s="1273"/>
    </row>
    <row r="94" ht="18.75" customHeight="1">
      <c r="A94" s="1238"/>
      <c r="B94" s="1238"/>
      <c r="C94" s="1370"/>
      <c r="D94" s="1370"/>
      <c r="E94" s="1370"/>
      <c r="F94" s="1370"/>
      <c r="G94" s="1370"/>
      <c r="H94" s="1370"/>
      <c r="I94" s="1370"/>
      <c r="J94" s="1370"/>
      <c r="K94" s="1370"/>
      <c r="L94" s="1370"/>
      <c r="M94" s="1370"/>
      <c r="N94" s="31"/>
      <c r="O94" s="1465"/>
      <c r="P94" s="1370"/>
      <c r="Q94" s="31"/>
      <c r="R94" s="1465"/>
      <c r="S94" s="1370"/>
      <c r="T94" s="31"/>
      <c r="U94" s="1465"/>
      <c r="V94" s="1370"/>
      <c r="W94" s="31"/>
      <c r="X94" s="1465"/>
      <c r="Y94" s="1370"/>
      <c r="Z94" s="31"/>
      <c r="AA94" s="1465"/>
      <c r="AB94" s="1370"/>
      <c r="AC94" s="1371"/>
      <c r="AD94" s="1465"/>
      <c r="AE94" s="1370"/>
      <c r="AF94" s="1371"/>
      <c r="AG94" s="1465"/>
      <c r="AH94" s="1370"/>
      <c r="AI94" s="31"/>
      <c r="AJ94" s="1465"/>
      <c r="AK94" s="1370"/>
      <c r="AL94" s="31"/>
      <c r="AM94" s="1465"/>
      <c r="AN94" s="1322"/>
      <c r="AO94" s="1323" t="s">
        <v>2452</v>
      </c>
      <c r="AP94" s="1465"/>
      <c r="AQ94" s="1324"/>
      <c r="AR94" s="1325" t="s">
        <v>2453</v>
      </c>
      <c r="AS94" s="1465"/>
      <c r="AT94" s="1370"/>
      <c r="AU94" s="1371"/>
      <c r="AV94" s="1465"/>
      <c r="AW94" s="1370"/>
      <c r="AX94" s="31"/>
      <c r="AY94" s="1465"/>
      <c r="AZ94" s="1370"/>
      <c r="BA94" s="31"/>
      <c r="BB94" s="1465"/>
      <c r="BC94" s="1370"/>
      <c r="BD94" s="31"/>
      <c r="BE94" s="1465"/>
      <c r="BF94" s="1370"/>
      <c r="BG94" s="31"/>
      <c r="BH94" s="1465"/>
      <c r="BI94" s="1370"/>
      <c r="BJ94" s="31"/>
      <c r="BK94" s="1465"/>
      <c r="BL94" s="1370"/>
      <c r="BM94" s="31"/>
      <c r="BN94" s="1465"/>
      <c r="BO94" s="1370"/>
      <c r="BP94" s="31"/>
      <c r="BQ94" s="1465"/>
      <c r="BR94" s="1370"/>
      <c r="BS94" s="31"/>
      <c r="BT94" s="1465"/>
      <c r="BU94" s="1370"/>
      <c r="BV94" s="31"/>
      <c r="BW94" s="1465"/>
      <c r="BX94" s="1370"/>
      <c r="BY94" s="31"/>
      <c r="BZ94" s="1465"/>
      <c r="CA94" s="1370"/>
      <c r="CB94" s="31"/>
      <c r="CC94" s="1465"/>
      <c r="CD94" s="1370"/>
      <c r="CE94" s="31"/>
      <c r="CF94" s="1465"/>
      <c r="CG94" s="1370"/>
      <c r="CH94" s="31"/>
      <c r="CI94" s="1465"/>
      <c r="CJ94" s="1370"/>
      <c r="CK94" s="31"/>
      <c r="CL94" s="1273"/>
    </row>
    <row r="95" ht="18.75" customHeight="1">
      <c r="A95" s="1238"/>
      <c r="B95" s="1238"/>
      <c r="C95" s="1370"/>
      <c r="D95" s="1370"/>
      <c r="E95" s="1370"/>
      <c r="F95" s="1370"/>
      <c r="G95" s="1370"/>
      <c r="H95" s="1370"/>
      <c r="I95" s="1370"/>
      <c r="J95" s="1370"/>
      <c r="K95" s="1370"/>
      <c r="L95" s="1370"/>
      <c r="M95" s="1370"/>
      <c r="N95" s="31"/>
      <c r="O95" s="1465"/>
      <c r="P95" s="1370"/>
      <c r="Q95" s="31"/>
      <c r="R95" s="1465"/>
      <c r="S95" s="1370"/>
      <c r="T95" s="31"/>
      <c r="U95" s="1465"/>
      <c r="V95" s="1370"/>
      <c r="W95" s="31"/>
      <c r="X95" s="1465"/>
      <c r="Y95" s="1370"/>
      <c r="Z95" s="31"/>
      <c r="AA95" s="1465"/>
      <c r="AB95" s="1370"/>
      <c r="AC95" s="1371"/>
      <c r="AD95" s="1465"/>
      <c r="AE95" s="1370"/>
      <c r="AF95" s="1371"/>
      <c r="AG95" s="1465"/>
      <c r="AH95" s="1370"/>
      <c r="AI95" s="31"/>
      <c r="AJ95" s="1465"/>
      <c r="AK95" s="1370"/>
      <c r="AL95" s="31"/>
      <c r="AM95" s="1465"/>
      <c r="AN95" s="1345"/>
      <c r="AO95" s="1294" t="s">
        <v>2454</v>
      </c>
      <c r="AP95" s="1465"/>
      <c r="AQ95" s="1346"/>
      <c r="AR95" s="1296" t="s">
        <v>2455</v>
      </c>
      <c r="AS95" s="1465"/>
      <c r="AT95" s="1370"/>
      <c r="AU95" s="1371"/>
      <c r="AV95" s="1465"/>
      <c r="AW95" s="1370"/>
      <c r="AX95" s="31"/>
      <c r="AY95" s="1465"/>
      <c r="AZ95" s="1370"/>
      <c r="BA95" s="31"/>
      <c r="BB95" s="1465"/>
      <c r="BC95" s="1370"/>
      <c r="BD95" s="31"/>
      <c r="BE95" s="1465"/>
      <c r="BF95" s="1370"/>
      <c r="BG95" s="31"/>
      <c r="BH95" s="1465"/>
      <c r="BI95" s="1370"/>
      <c r="BJ95" s="31"/>
      <c r="BK95" s="1465"/>
      <c r="BL95" s="1370"/>
      <c r="BM95" s="31"/>
      <c r="BN95" s="1465"/>
      <c r="BO95" s="1370"/>
      <c r="BP95" s="31"/>
      <c r="BQ95" s="1465"/>
      <c r="BR95" s="1370"/>
      <c r="BS95" s="31"/>
      <c r="BT95" s="1465"/>
      <c r="BU95" s="1370"/>
      <c r="BV95" s="31"/>
      <c r="BW95" s="1465"/>
      <c r="BX95" s="1370"/>
      <c r="BY95" s="31"/>
      <c r="BZ95" s="1465"/>
      <c r="CA95" s="1370"/>
      <c r="CB95" s="31"/>
      <c r="CC95" s="1465"/>
      <c r="CD95" s="1370"/>
      <c r="CE95" s="31"/>
      <c r="CF95" s="1465"/>
      <c r="CG95" s="1370"/>
      <c r="CH95" s="31"/>
      <c r="CI95" s="1465"/>
      <c r="CJ95" s="1370"/>
      <c r="CK95" s="31"/>
      <c r="CL95" s="1273"/>
    </row>
    <row r="96" ht="18.75" customHeight="1">
      <c r="A96" s="1238"/>
      <c r="B96" s="1238"/>
      <c r="C96" s="1370"/>
      <c r="D96" s="1370"/>
      <c r="E96" s="1370"/>
      <c r="F96" s="1370"/>
      <c r="G96" s="1370"/>
      <c r="H96" s="1370"/>
      <c r="I96" s="1370"/>
      <c r="J96" s="1370"/>
      <c r="K96" s="1370"/>
      <c r="L96" s="1370"/>
      <c r="M96" s="1370"/>
      <c r="N96" s="31"/>
      <c r="O96" s="1465"/>
      <c r="P96" s="1370"/>
      <c r="Q96" s="31"/>
      <c r="R96" s="1465"/>
      <c r="S96" s="1370"/>
      <c r="T96" s="31"/>
      <c r="U96" s="1465"/>
      <c r="V96" s="1370"/>
      <c r="W96" s="31"/>
      <c r="X96" s="1465"/>
      <c r="Y96" s="1370"/>
      <c r="Z96" s="31"/>
      <c r="AA96" s="1465"/>
      <c r="AB96" s="1370"/>
      <c r="AC96" s="1371"/>
      <c r="AD96" s="1465"/>
      <c r="AE96" s="1370"/>
      <c r="AF96" s="1371"/>
      <c r="AG96" s="1465"/>
      <c r="AH96" s="1370"/>
      <c r="AI96" s="31"/>
      <c r="AJ96" s="1465"/>
      <c r="AK96" s="1370"/>
      <c r="AL96" s="31"/>
      <c r="AM96" s="1465"/>
      <c r="AN96" s="1322"/>
      <c r="AO96" s="1323" t="s">
        <v>2456</v>
      </c>
      <c r="AP96" s="1465"/>
      <c r="AQ96" s="1324"/>
      <c r="AR96" s="1325" t="s">
        <v>2457</v>
      </c>
      <c r="AS96" s="1465"/>
      <c r="AT96" s="1370"/>
      <c r="AU96" s="1371"/>
      <c r="AV96" s="1465"/>
      <c r="AW96" s="1370"/>
      <c r="AX96" s="31"/>
      <c r="AY96" s="1465"/>
      <c r="AZ96" s="1370"/>
      <c r="BA96" s="31"/>
      <c r="BB96" s="1465"/>
      <c r="BC96" s="1370"/>
      <c r="BD96" s="31"/>
      <c r="BE96" s="1465"/>
      <c r="BF96" s="1370"/>
      <c r="BG96" s="31"/>
      <c r="BH96" s="1465"/>
      <c r="BI96" s="1370"/>
      <c r="BJ96" s="31"/>
      <c r="BK96" s="1465"/>
      <c r="BL96" s="1370"/>
      <c r="BM96" s="31"/>
      <c r="BN96" s="1465"/>
      <c r="BO96" s="1370"/>
      <c r="BP96" s="31"/>
      <c r="BQ96" s="1465"/>
      <c r="BR96" s="1370"/>
      <c r="BS96" s="31"/>
      <c r="BT96" s="1465"/>
      <c r="BU96" s="1370"/>
      <c r="BV96" s="31"/>
      <c r="BW96" s="1465"/>
      <c r="BX96" s="1370"/>
      <c r="BY96" s="31"/>
      <c r="BZ96" s="1465"/>
      <c r="CA96" s="1370"/>
      <c r="CB96" s="31"/>
      <c r="CC96" s="1465"/>
      <c r="CD96" s="1370"/>
      <c r="CE96" s="31"/>
      <c r="CF96" s="1465"/>
      <c r="CG96" s="1370"/>
      <c r="CH96" s="31"/>
      <c r="CI96" s="1465"/>
      <c r="CJ96" s="1370"/>
      <c r="CK96" s="31"/>
      <c r="CL96" s="1273"/>
    </row>
    <row r="97" ht="18.75" customHeight="1">
      <c r="A97" s="1238"/>
      <c r="B97" s="1238"/>
      <c r="C97" s="1370"/>
      <c r="D97" s="1370"/>
      <c r="E97" s="1370"/>
      <c r="F97" s="1370"/>
      <c r="G97" s="1370"/>
      <c r="H97" s="1370"/>
      <c r="I97" s="1370"/>
      <c r="J97" s="1370"/>
      <c r="K97" s="1370"/>
      <c r="L97" s="1370"/>
      <c r="M97" s="1370"/>
      <c r="N97" s="31"/>
      <c r="O97" s="1465"/>
      <c r="P97" s="1370"/>
      <c r="Q97" s="31"/>
      <c r="R97" s="1465"/>
      <c r="S97" s="1370"/>
      <c r="T97" s="31"/>
      <c r="U97" s="1465"/>
      <c r="V97" s="1370"/>
      <c r="W97" s="31"/>
      <c r="X97" s="1465"/>
      <c r="Y97" s="1370"/>
      <c r="Z97" s="31"/>
      <c r="AA97" s="1465"/>
      <c r="AB97" s="1370"/>
      <c r="AC97" s="1371"/>
      <c r="AD97" s="1465"/>
      <c r="AE97" s="1370"/>
      <c r="AF97" s="1371"/>
      <c r="AG97" s="1465"/>
      <c r="AH97" s="1370"/>
      <c r="AI97" s="31"/>
      <c r="AJ97" s="1465"/>
      <c r="AK97" s="1370"/>
      <c r="AL97" s="31"/>
      <c r="AM97" s="1465"/>
      <c r="AN97" s="1345"/>
      <c r="AO97" s="1294" t="s">
        <v>2458</v>
      </c>
      <c r="AP97" s="1465"/>
      <c r="AQ97" s="1346"/>
      <c r="AR97" s="1296" t="s">
        <v>2459</v>
      </c>
      <c r="AS97" s="1465"/>
      <c r="AT97" s="1370"/>
      <c r="AU97" s="1371"/>
      <c r="AV97" s="1465"/>
      <c r="AW97" s="1370"/>
      <c r="AX97" s="31"/>
      <c r="AY97" s="1465"/>
      <c r="AZ97" s="1370"/>
      <c r="BA97" s="31"/>
      <c r="BB97" s="1465"/>
      <c r="BC97" s="1370"/>
      <c r="BD97" s="31"/>
      <c r="BE97" s="1465"/>
      <c r="BF97" s="1370"/>
      <c r="BG97" s="31"/>
      <c r="BH97" s="1465"/>
      <c r="BI97" s="1370"/>
      <c r="BJ97" s="31"/>
      <c r="BK97" s="1465"/>
      <c r="BL97" s="1370"/>
      <c r="BM97" s="31"/>
      <c r="BN97" s="1465"/>
      <c r="BO97" s="1370"/>
      <c r="BP97" s="31"/>
      <c r="BQ97" s="1465"/>
      <c r="BR97" s="1370"/>
      <c r="BS97" s="31"/>
      <c r="BT97" s="1465"/>
      <c r="BU97" s="1370"/>
      <c r="BV97" s="31"/>
      <c r="BW97" s="1465"/>
      <c r="BX97" s="1370"/>
      <c r="BY97" s="31"/>
      <c r="BZ97" s="1465"/>
      <c r="CA97" s="1370"/>
      <c r="CB97" s="31"/>
      <c r="CC97" s="1465"/>
      <c r="CD97" s="1370"/>
      <c r="CE97" s="31"/>
      <c r="CF97" s="1465"/>
      <c r="CG97" s="1370"/>
      <c r="CH97" s="31"/>
      <c r="CI97" s="1465"/>
      <c r="CJ97" s="1370"/>
      <c r="CK97" s="31"/>
      <c r="CL97" s="1273"/>
    </row>
    <row r="98" ht="18.75" customHeight="1">
      <c r="A98" s="1238"/>
      <c r="B98" s="1238"/>
      <c r="C98" s="1370"/>
      <c r="D98" s="1370"/>
      <c r="E98" s="1370"/>
      <c r="F98" s="1370"/>
      <c r="G98" s="1370"/>
      <c r="H98" s="1370"/>
      <c r="I98" s="1370"/>
      <c r="J98" s="1370"/>
      <c r="K98" s="1370"/>
      <c r="L98" s="1370"/>
      <c r="M98" s="1370"/>
      <c r="N98" s="31"/>
      <c r="O98" s="1465"/>
      <c r="P98" s="1370"/>
      <c r="Q98" s="31"/>
      <c r="R98" s="1465"/>
      <c r="S98" s="1370"/>
      <c r="T98" s="31"/>
      <c r="U98" s="1465"/>
      <c r="V98" s="1370"/>
      <c r="W98" s="31"/>
      <c r="X98" s="1465"/>
      <c r="Y98" s="1370"/>
      <c r="Z98" s="31"/>
      <c r="AA98" s="1465"/>
      <c r="AB98" s="1370"/>
      <c r="AC98" s="1371"/>
      <c r="AD98" s="1465"/>
      <c r="AE98" s="1370"/>
      <c r="AF98" s="1371"/>
      <c r="AG98" s="1465"/>
      <c r="AH98" s="1370"/>
      <c r="AI98" s="31"/>
      <c r="AJ98" s="1465"/>
      <c r="AK98" s="1370"/>
      <c r="AL98" s="31"/>
      <c r="AM98" s="1465"/>
      <c r="AN98" s="1322"/>
      <c r="AO98" s="1323" t="s">
        <v>2460</v>
      </c>
      <c r="AP98" s="1465"/>
      <c r="AQ98" s="1324"/>
      <c r="AR98" s="1325" t="s">
        <v>2461</v>
      </c>
      <c r="AS98" s="1465"/>
      <c r="AT98" s="1370"/>
      <c r="AU98" s="1371"/>
      <c r="AV98" s="1465"/>
      <c r="AW98" s="1370"/>
      <c r="AX98" s="31"/>
      <c r="AY98" s="1465"/>
      <c r="AZ98" s="1370"/>
      <c r="BA98" s="31"/>
      <c r="BB98" s="1465"/>
      <c r="BC98" s="1370"/>
      <c r="BD98" s="31"/>
      <c r="BE98" s="1465"/>
      <c r="BF98" s="1370"/>
      <c r="BG98" s="31"/>
      <c r="BH98" s="1465"/>
      <c r="BI98" s="1370"/>
      <c r="BJ98" s="31"/>
      <c r="BK98" s="1465"/>
      <c r="BL98" s="1370"/>
      <c r="BM98" s="31"/>
      <c r="BN98" s="1465"/>
      <c r="BO98" s="1370"/>
      <c r="BP98" s="31"/>
      <c r="BQ98" s="1465"/>
      <c r="BR98" s="1370"/>
      <c r="BS98" s="31"/>
      <c r="BT98" s="1465"/>
      <c r="BU98" s="1370"/>
      <c r="BV98" s="31"/>
      <c r="BW98" s="1465"/>
      <c r="BX98" s="1370"/>
      <c r="BY98" s="31"/>
      <c r="BZ98" s="1465"/>
      <c r="CA98" s="1370"/>
      <c r="CB98" s="31"/>
      <c r="CC98" s="1465"/>
      <c r="CD98" s="1370"/>
      <c r="CE98" s="31"/>
      <c r="CF98" s="1465"/>
      <c r="CG98" s="1370"/>
      <c r="CH98" s="31"/>
      <c r="CI98" s="1465"/>
      <c r="CJ98" s="1370"/>
      <c r="CK98" s="31"/>
      <c r="CL98" s="1273"/>
    </row>
    <row r="99" ht="18.75" customHeight="1">
      <c r="A99" s="1238"/>
      <c r="B99" s="1238"/>
      <c r="C99" s="1370"/>
      <c r="D99" s="1370"/>
      <c r="E99" s="1370"/>
      <c r="F99" s="1370"/>
      <c r="G99" s="1370"/>
      <c r="H99" s="1370"/>
      <c r="I99" s="1370"/>
      <c r="J99" s="1370"/>
      <c r="K99" s="1370"/>
      <c r="L99" s="1370"/>
      <c r="M99" s="1370"/>
      <c r="N99" s="31"/>
      <c r="O99" s="1465"/>
      <c r="P99" s="1370"/>
      <c r="Q99" s="31"/>
      <c r="R99" s="1465"/>
      <c r="S99" s="1370"/>
      <c r="T99" s="31"/>
      <c r="U99" s="1465"/>
      <c r="V99" s="1370"/>
      <c r="W99" s="31"/>
      <c r="X99" s="1465"/>
      <c r="Y99" s="1370"/>
      <c r="Z99" s="31"/>
      <c r="AA99" s="1465"/>
      <c r="AB99" s="1370"/>
      <c r="AC99" s="1371"/>
      <c r="AD99" s="1465"/>
      <c r="AE99" s="1370"/>
      <c r="AF99" s="1371"/>
      <c r="AG99" s="1465"/>
      <c r="AH99" s="1370"/>
      <c r="AI99" s="31"/>
      <c r="AJ99" s="1465"/>
      <c r="AK99" s="1370"/>
      <c r="AL99" s="31"/>
      <c r="AM99" s="1465"/>
      <c r="AN99" s="1345"/>
      <c r="AO99" s="1294" t="s">
        <v>2462</v>
      </c>
      <c r="AP99" s="1465"/>
      <c r="AQ99" s="1346"/>
      <c r="AR99" s="1296" t="s">
        <v>2463</v>
      </c>
      <c r="AS99" s="1465"/>
      <c r="AT99" s="1370"/>
      <c r="AU99" s="1371"/>
      <c r="AV99" s="1465"/>
      <c r="AW99" s="1370"/>
      <c r="AX99" s="31"/>
      <c r="AY99" s="1465"/>
      <c r="AZ99" s="1370"/>
      <c r="BA99" s="31"/>
      <c r="BB99" s="1465"/>
      <c r="BC99" s="1370"/>
      <c r="BD99" s="31"/>
      <c r="BE99" s="1465"/>
      <c r="BF99" s="1370"/>
      <c r="BG99" s="31"/>
      <c r="BH99" s="1465"/>
      <c r="BI99" s="1370"/>
      <c r="BJ99" s="31"/>
      <c r="BK99" s="1465"/>
      <c r="BL99" s="1370"/>
      <c r="BM99" s="31"/>
      <c r="BN99" s="1465"/>
      <c r="BO99" s="1370"/>
      <c r="BP99" s="31"/>
      <c r="BQ99" s="1465"/>
      <c r="BR99" s="1370"/>
      <c r="BS99" s="31"/>
      <c r="BT99" s="1465"/>
      <c r="BU99" s="1370"/>
      <c r="BV99" s="31"/>
      <c r="BW99" s="1465"/>
      <c r="BX99" s="1370"/>
      <c r="BY99" s="31"/>
      <c r="BZ99" s="1465"/>
      <c r="CA99" s="1370"/>
      <c r="CB99" s="31"/>
      <c r="CC99" s="1465"/>
      <c r="CD99" s="1370"/>
      <c r="CE99" s="31"/>
      <c r="CF99" s="1465"/>
      <c r="CG99" s="1370"/>
      <c r="CH99" s="31"/>
      <c r="CI99" s="1465"/>
      <c r="CJ99" s="1370"/>
      <c r="CK99" s="31"/>
      <c r="CL99" s="1273"/>
    </row>
    <row r="100" ht="18.75" customHeight="1">
      <c r="A100" s="1238"/>
      <c r="B100" s="1238"/>
      <c r="C100" s="1370"/>
      <c r="D100" s="1370"/>
      <c r="E100" s="1370"/>
      <c r="F100" s="1370"/>
      <c r="G100" s="1370"/>
      <c r="H100" s="1370"/>
      <c r="I100" s="1370"/>
      <c r="J100" s="1370"/>
      <c r="K100" s="1370"/>
      <c r="L100" s="1370"/>
      <c r="M100" s="1370"/>
      <c r="N100" s="31"/>
      <c r="O100" s="1465"/>
      <c r="P100" s="1370"/>
      <c r="Q100" s="31"/>
      <c r="R100" s="1465"/>
      <c r="S100" s="1370"/>
      <c r="T100" s="31"/>
      <c r="U100" s="1465"/>
      <c r="V100" s="1370"/>
      <c r="W100" s="31"/>
      <c r="X100" s="1465"/>
      <c r="Y100" s="1370"/>
      <c r="Z100" s="31"/>
      <c r="AA100" s="1465"/>
      <c r="AB100" s="1370"/>
      <c r="AC100" s="1371"/>
      <c r="AD100" s="1465"/>
      <c r="AE100" s="1370"/>
      <c r="AF100" s="1371"/>
      <c r="AG100" s="1465"/>
      <c r="AH100" s="1370"/>
      <c r="AI100" s="31"/>
      <c r="AJ100" s="1465"/>
      <c r="AK100" s="1370"/>
      <c r="AL100" s="31"/>
      <c r="AM100" s="1465"/>
      <c r="AN100" s="1322"/>
      <c r="AO100" s="1323" t="s">
        <v>2464</v>
      </c>
      <c r="AP100" s="1465"/>
      <c r="AQ100" s="1324"/>
      <c r="AR100" s="1325" t="s">
        <v>2465</v>
      </c>
      <c r="AS100" s="1465"/>
      <c r="AT100" s="1370"/>
      <c r="AU100" s="1371"/>
      <c r="AV100" s="1465"/>
      <c r="AW100" s="1370"/>
      <c r="AX100" s="31"/>
      <c r="AY100" s="1465"/>
      <c r="AZ100" s="1370"/>
      <c r="BA100" s="31"/>
      <c r="BB100" s="1465"/>
      <c r="BC100" s="1370"/>
      <c r="BD100" s="31"/>
      <c r="BE100" s="1465"/>
      <c r="BF100" s="1370"/>
      <c r="BG100" s="31"/>
      <c r="BH100" s="1465"/>
      <c r="BI100" s="1370"/>
      <c r="BJ100" s="31"/>
      <c r="BK100" s="1465"/>
      <c r="BL100" s="1370"/>
      <c r="BM100" s="31"/>
      <c r="BN100" s="1465"/>
      <c r="BO100" s="1370"/>
      <c r="BP100" s="31"/>
      <c r="BQ100" s="1465"/>
      <c r="BR100" s="1370"/>
      <c r="BS100" s="31"/>
      <c r="BT100" s="1465"/>
      <c r="BU100" s="1370"/>
      <c r="BV100" s="31"/>
      <c r="BW100" s="1465"/>
      <c r="BX100" s="1370"/>
      <c r="BY100" s="31"/>
      <c r="BZ100" s="1465"/>
      <c r="CA100" s="1370"/>
      <c r="CB100" s="31"/>
      <c r="CC100" s="1465"/>
      <c r="CD100" s="1370"/>
      <c r="CE100" s="31"/>
      <c r="CF100" s="1465"/>
      <c r="CG100" s="1370"/>
      <c r="CH100" s="31"/>
      <c r="CI100" s="1465"/>
      <c r="CJ100" s="1370"/>
      <c r="CK100" s="31"/>
      <c r="CL100" s="1273"/>
    </row>
    <row r="101" ht="18.75" customHeight="1">
      <c r="A101" s="1238"/>
      <c r="B101" s="1238"/>
      <c r="C101" s="1370"/>
      <c r="D101" s="1370"/>
      <c r="E101" s="1370"/>
      <c r="F101" s="1370"/>
      <c r="G101" s="1370"/>
      <c r="H101" s="1370"/>
      <c r="I101" s="1370"/>
      <c r="J101" s="1370"/>
      <c r="K101" s="1370"/>
      <c r="L101" s="1370"/>
      <c r="M101" s="1370"/>
      <c r="N101" s="31"/>
      <c r="O101" s="1465"/>
      <c r="P101" s="1370"/>
      <c r="Q101" s="31"/>
      <c r="R101" s="1465"/>
      <c r="S101" s="1370"/>
      <c r="T101" s="31"/>
      <c r="U101" s="1465"/>
      <c r="V101" s="1370"/>
      <c r="W101" s="31"/>
      <c r="X101" s="1465"/>
      <c r="Y101" s="1370"/>
      <c r="Z101" s="31"/>
      <c r="AA101" s="1465"/>
      <c r="AB101" s="1370"/>
      <c r="AC101" s="1371"/>
      <c r="AD101" s="1465"/>
      <c r="AE101" s="1370"/>
      <c r="AF101" s="1371"/>
      <c r="AG101" s="1465"/>
      <c r="AH101" s="1370"/>
      <c r="AI101" s="31"/>
      <c r="AJ101" s="1465"/>
      <c r="AK101" s="1370"/>
      <c r="AL101" s="31"/>
      <c r="AM101" s="1465"/>
      <c r="AN101" s="1345"/>
      <c r="AO101" s="1294" t="s">
        <v>2466</v>
      </c>
      <c r="AP101" s="1465"/>
      <c r="AQ101" s="1346"/>
      <c r="AR101" s="1296" t="s">
        <v>2467</v>
      </c>
      <c r="AS101" s="1465"/>
      <c r="AT101" s="1370"/>
      <c r="AU101" s="1371"/>
      <c r="AV101" s="1465"/>
      <c r="AW101" s="1370"/>
      <c r="AX101" s="31"/>
      <c r="AY101" s="1465"/>
      <c r="AZ101" s="1370"/>
      <c r="BA101" s="31"/>
      <c r="BB101" s="1465"/>
      <c r="BC101" s="1370"/>
      <c r="BD101" s="31"/>
      <c r="BE101" s="1465"/>
      <c r="BF101" s="1370"/>
      <c r="BG101" s="31"/>
      <c r="BH101" s="1465"/>
      <c r="BI101" s="1370"/>
      <c r="BJ101" s="31"/>
      <c r="BK101" s="1465"/>
      <c r="BL101" s="1370"/>
      <c r="BM101" s="31"/>
      <c r="BN101" s="1465"/>
      <c r="BO101" s="1370"/>
      <c r="BP101" s="31"/>
      <c r="BQ101" s="1465"/>
      <c r="BR101" s="1370"/>
      <c r="BS101" s="31"/>
      <c r="BT101" s="1465"/>
      <c r="BU101" s="1370"/>
      <c r="BV101" s="31"/>
      <c r="BW101" s="1465"/>
      <c r="BX101" s="1370"/>
      <c r="BY101" s="31"/>
      <c r="BZ101" s="1465"/>
      <c r="CA101" s="1370"/>
      <c r="CB101" s="31"/>
      <c r="CC101" s="1465"/>
      <c r="CD101" s="1370"/>
      <c r="CE101" s="31"/>
      <c r="CF101" s="1465"/>
      <c r="CG101" s="1370"/>
      <c r="CH101" s="31"/>
      <c r="CI101" s="1465"/>
      <c r="CJ101" s="1370"/>
      <c r="CK101" s="31"/>
      <c r="CL101" s="1273"/>
    </row>
    <row r="102" ht="18.75" customHeight="1">
      <c r="A102" s="1238"/>
      <c r="B102" s="1238"/>
      <c r="C102" s="1370"/>
      <c r="D102" s="1370"/>
      <c r="E102" s="1370"/>
      <c r="F102" s="1370"/>
      <c r="G102" s="1370"/>
      <c r="H102" s="1370"/>
      <c r="I102" s="1370"/>
      <c r="J102" s="1370"/>
      <c r="K102" s="1370"/>
      <c r="L102" s="1370"/>
      <c r="M102" s="1370"/>
      <c r="N102" s="31"/>
      <c r="O102" s="1465"/>
      <c r="P102" s="1370"/>
      <c r="Q102" s="31"/>
      <c r="R102" s="1465"/>
      <c r="S102" s="1370"/>
      <c r="T102" s="31"/>
      <c r="U102" s="1465"/>
      <c r="V102" s="1370"/>
      <c r="W102" s="31"/>
      <c r="X102" s="1465"/>
      <c r="Y102" s="1370"/>
      <c r="Z102" s="31"/>
      <c r="AA102" s="1465"/>
      <c r="AB102" s="1370"/>
      <c r="AC102" s="1371"/>
      <c r="AD102" s="1465"/>
      <c r="AE102" s="1370"/>
      <c r="AF102" s="1371"/>
      <c r="AG102" s="1465"/>
      <c r="AH102" s="1370"/>
      <c r="AI102" s="31"/>
      <c r="AJ102" s="1465"/>
      <c r="AK102" s="1370"/>
      <c r="AL102" s="31"/>
      <c r="AM102" s="1465"/>
      <c r="AN102" s="1322"/>
      <c r="AO102" s="1323" t="s">
        <v>2468</v>
      </c>
      <c r="AP102" s="1465"/>
      <c r="AQ102" s="1324"/>
      <c r="AR102" s="1325" t="s">
        <v>2469</v>
      </c>
      <c r="AS102" s="1465"/>
      <c r="AT102" s="1370"/>
      <c r="AU102" s="1371"/>
      <c r="AV102" s="1465"/>
      <c r="AW102" s="1370"/>
      <c r="AX102" s="31"/>
      <c r="AY102" s="1465"/>
      <c r="AZ102" s="1370"/>
      <c r="BA102" s="31"/>
      <c r="BB102" s="1465"/>
      <c r="BC102" s="1370"/>
      <c r="BD102" s="31"/>
      <c r="BE102" s="1465"/>
      <c r="BF102" s="1370"/>
      <c r="BG102" s="31"/>
      <c r="BH102" s="1465"/>
      <c r="BI102" s="1370"/>
      <c r="BJ102" s="31"/>
      <c r="BK102" s="1465"/>
      <c r="BL102" s="1370"/>
      <c r="BM102" s="31"/>
      <c r="BN102" s="1465"/>
      <c r="BO102" s="1370"/>
      <c r="BP102" s="31"/>
      <c r="BQ102" s="1465"/>
      <c r="BR102" s="1370"/>
      <c r="BS102" s="31"/>
      <c r="BT102" s="1465"/>
      <c r="BU102" s="1370"/>
      <c r="BV102" s="31"/>
      <c r="BW102" s="1465"/>
      <c r="BX102" s="1370"/>
      <c r="BY102" s="31"/>
      <c r="BZ102" s="1465"/>
      <c r="CA102" s="1370"/>
      <c r="CB102" s="31"/>
      <c r="CC102" s="1465"/>
      <c r="CD102" s="1370"/>
      <c r="CE102" s="31"/>
      <c r="CF102" s="1465"/>
      <c r="CG102" s="1370"/>
      <c r="CH102" s="31"/>
      <c r="CI102" s="1465"/>
      <c r="CJ102" s="1370"/>
      <c r="CK102" s="31"/>
      <c r="CL102" s="1273"/>
    </row>
    <row r="103" ht="18.75" customHeight="1">
      <c r="A103" s="1238"/>
      <c r="B103" s="1238"/>
      <c r="C103" s="1370"/>
      <c r="D103" s="1370"/>
      <c r="E103" s="1370"/>
      <c r="F103" s="1370"/>
      <c r="G103" s="1370"/>
      <c r="H103" s="1370"/>
      <c r="I103" s="1370"/>
      <c r="J103" s="1370"/>
      <c r="K103" s="1370"/>
      <c r="L103" s="1370"/>
      <c r="M103" s="1370"/>
      <c r="N103" s="31"/>
      <c r="O103" s="1465"/>
      <c r="P103" s="1370"/>
      <c r="Q103" s="31"/>
      <c r="R103" s="1465"/>
      <c r="S103" s="1370"/>
      <c r="T103" s="31"/>
      <c r="U103" s="1465"/>
      <c r="V103" s="1370"/>
      <c r="W103" s="31"/>
      <c r="X103" s="1465"/>
      <c r="Y103" s="1370"/>
      <c r="Z103" s="31"/>
      <c r="AA103" s="1465"/>
      <c r="AB103" s="1370"/>
      <c r="AC103" s="1371"/>
      <c r="AD103" s="1465"/>
      <c r="AE103" s="1370"/>
      <c r="AF103" s="1371"/>
      <c r="AG103" s="1465"/>
      <c r="AH103" s="1370"/>
      <c r="AI103" s="31"/>
      <c r="AJ103" s="1465"/>
      <c r="AK103" s="1370"/>
      <c r="AL103" s="31"/>
      <c r="AM103" s="1465"/>
      <c r="AN103" s="1345"/>
      <c r="AO103" s="1294" t="s">
        <v>2470</v>
      </c>
      <c r="AP103" s="1465"/>
      <c r="AQ103" s="1346"/>
      <c r="AR103" s="1296" t="s">
        <v>2471</v>
      </c>
      <c r="AS103" s="1465"/>
      <c r="AT103" s="1370"/>
      <c r="AU103" s="1371"/>
      <c r="AV103" s="1465"/>
      <c r="AW103" s="1370"/>
      <c r="AX103" s="31"/>
      <c r="AY103" s="1465"/>
      <c r="AZ103" s="1370"/>
      <c r="BA103" s="31"/>
      <c r="BB103" s="1465"/>
      <c r="BC103" s="1370"/>
      <c r="BD103" s="31"/>
      <c r="BE103" s="1465"/>
      <c r="BF103" s="1370"/>
      <c r="BG103" s="31"/>
      <c r="BH103" s="1465"/>
      <c r="BI103" s="1370"/>
      <c r="BJ103" s="31"/>
      <c r="BK103" s="1465"/>
      <c r="BL103" s="1370"/>
      <c r="BM103" s="31"/>
      <c r="BN103" s="1465"/>
      <c r="BO103" s="1370"/>
      <c r="BP103" s="31"/>
      <c r="BQ103" s="1465"/>
      <c r="BR103" s="1370"/>
      <c r="BS103" s="31"/>
      <c r="BT103" s="1465"/>
      <c r="BU103" s="1370"/>
      <c r="BV103" s="31"/>
      <c r="BW103" s="1465"/>
      <c r="BX103" s="1370"/>
      <c r="BY103" s="31"/>
      <c r="BZ103" s="1465"/>
      <c r="CA103" s="1370"/>
      <c r="CB103" s="31"/>
      <c r="CC103" s="1465"/>
      <c r="CD103" s="1370"/>
      <c r="CE103" s="31"/>
      <c r="CF103" s="1465"/>
      <c r="CG103" s="1370"/>
      <c r="CH103" s="31"/>
      <c r="CI103" s="1465"/>
      <c r="CJ103" s="1370"/>
      <c r="CK103" s="31"/>
      <c r="CL103" s="1273"/>
    </row>
    <row r="104" ht="18.75" customHeight="1">
      <c r="A104" s="1238"/>
      <c r="B104" s="1238"/>
      <c r="C104" s="1370"/>
      <c r="D104" s="1370"/>
      <c r="E104" s="1370"/>
      <c r="F104" s="1370"/>
      <c r="G104" s="1370"/>
      <c r="H104" s="1370"/>
      <c r="I104" s="1370"/>
      <c r="J104" s="1370"/>
      <c r="K104" s="1370"/>
      <c r="L104" s="1370"/>
      <c r="M104" s="1370"/>
      <c r="N104" s="31"/>
      <c r="O104" s="1465"/>
      <c r="P104" s="1370"/>
      <c r="Q104" s="31"/>
      <c r="R104" s="1465"/>
      <c r="S104" s="1370"/>
      <c r="T104" s="31"/>
      <c r="U104" s="1465"/>
      <c r="V104" s="1370"/>
      <c r="W104" s="31"/>
      <c r="X104" s="1465"/>
      <c r="Y104" s="1370"/>
      <c r="Z104" s="31"/>
      <c r="AA104" s="1465"/>
      <c r="AB104" s="1370"/>
      <c r="AC104" s="1371"/>
      <c r="AD104" s="1465"/>
      <c r="AE104" s="1370"/>
      <c r="AF104" s="1371"/>
      <c r="AG104" s="1465"/>
      <c r="AH104" s="1370"/>
      <c r="AI104" s="31"/>
      <c r="AJ104" s="1465"/>
      <c r="AK104" s="1370"/>
      <c r="AL104" s="31"/>
      <c r="AM104" s="1465"/>
      <c r="AN104" s="1322"/>
      <c r="AO104" s="1323" t="s">
        <v>2472</v>
      </c>
      <c r="AP104" s="1465"/>
      <c r="AQ104" s="1324"/>
      <c r="AR104" s="1325" t="s">
        <v>2473</v>
      </c>
      <c r="AS104" s="1465"/>
      <c r="AT104" s="1370"/>
      <c r="AU104" s="1371"/>
      <c r="AV104" s="1465"/>
      <c r="AW104" s="1370"/>
      <c r="AX104" s="31"/>
      <c r="AY104" s="1465"/>
      <c r="AZ104" s="1370"/>
      <c r="BA104" s="31"/>
      <c r="BB104" s="1465"/>
      <c r="BC104" s="1370"/>
      <c r="BD104" s="31"/>
      <c r="BE104" s="1465"/>
      <c r="BF104" s="1370"/>
      <c r="BG104" s="31"/>
      <c r="BH104" s="1465"/>
      <c r="BI104" s="1370"/>
      <c r="BJ104" s="31"/>
      <c r="BK104" s="1465"/>
      <c r="BL104" s="1370"/>
      <c r="BM104" s="31"/>
      <c r="BN104" s="1465"/>
      <c r="BO104" s="1370"/>
      <c r="BP104" s="31"/>
      <c r="BQ104" s="1465"/>
      <c r="BR104" s="1370"/>
      <c r="BS104" s="31"/>
      <c r="BT104" s="1465"/>
      <c r="BU104" s="1370"/>
      <c r="BV104" s="31"/>
      <c r="BW104" s="1465"/>
      <c r="BX104" s="1370"/>
      <c r="BY104" s="31"/>
      <c r="BZ104" s="1465"/>
      <c r="CA104" s="1370"/>
      <c r="CB104" s="31"/>
      <c r="CC104" s="1465"/>
      <c r="CD104" s="1370"/>
      <c r="CE104" s="31"/>
      <c r="CF104" s="1465"/>
      <c r="CG104" s="1370"/>
      <c r="CH104" s="31"/>
      <c r="CI104" s="1465"/>
      <c r="CJ104" s="1370"/>
      <c r="CK104" s="31"/>
      <c r="CL104" s="1273"/>
    </row>
    <row r="105" ht="18.75" customHeight="1">
      <c r="A105" s="1238"/>
      <c r="B105" s="1238"/>
      <c r="C105" s="1370"/>
      <c r="D105" s="1370"/>
      <c r="E105" s="1370"/>
      <c r="F105" s="1370"/>
      <c r="G105" s="1370"/>
      <c r="H105" s="1370"/>
      <c r="I105" s="1370"/>
      <c r="J105" s="1370"/>
      <c r="K105" s="1370"/>
      <c r="L105" s="1370"/>
      <c r="M105" s="1370"/>
      <c r="N105" s="31"/>
      <c r="O105" s="1465"/>
      <c r="P105" s="1370"/>
      <c r="Q105" s="31"/>
      <c r="R105" s="1465"/>
      <c r="S105" s="1370"/>
      <c r="T105" s="31"/>
      <c r="U105" s="1465"/>
      <c r="V105" s="1370"/>
      <c r="W105" s="31"/>
      <c r="X105" s="1465"/>
      <c r="Y105" s="1370"/>
      <c r="Z105" s="31"/>
      <c r="AA105" s="1465"/>
      <c r="AB105" s="1370"/>
      <c r="AC105" s="1371"/>
      <c r="AD105" s="1465"/>
      <c r="AE105" s="1370"/>
      <c r="AF105" s="1371"/>
      <c r="AG105" s="1465"/>
      <c r="AH105" s="1370"/>
      <c r="AI105" s="31"/>
      <c r="AJ105" s="1465"/>
      <c r="AK105" s="1370"/>
      <c r="AL105" s="31"/>
      <c r="AM105" s="1465"/>
      <c r="AN105" s="1534"/>
      <c r="AO105" s="1535" t="s">
        <v>2474</v>
      </c>
      <c r="AP105" s="1465"/>
      <c r="AQ105" s="1346"/>
      <c r="AR105" s="1296" t="s">
        <v>2475</v>
      </c>
      <c r="AS105" s="1465"/>
      <c r="AT105" s="1370"/>
      <c r="AU105" s="1371"/>
      <c r="AV105" s="1465"/>
      <c r="AW105" s="1370"/>
      <c r="AX105" s="31"/>
      <c r="AY105" s="1465"/>
      <c r="AZ105" s="1370"/>
      <c r="BA105" s="31"/>
      <c r="BB105" s="1465"/>
      <c r="BC105" s="1370"/>
      <c r="BD105" s="31"/>
      <c r="BE105" s="1465"/>
      <c r="BF105" s="1370"/>
      <c r="BG105" s="31"/>
      <c r="BH105" s="1465"/>
      <c r="BI105" s="1370"/>
      <c r="BJ105" s="31"/>
      <c r="BK105" s="1465"/>
      <c r="BL105" s="1370"/>
      <c r="BM105" s="31"/>
      <c r="BN105" s="1465"/>
      <c r="BO105" s="1370"/>
      <c r="BP105" s="31"/>
      <c r="BQ105" s="1465"/>
      <c r="BR105" s="1370"/>
      <c r="BS105" s="31"/>
      <c r="BT105" s="1465"/>
      <c r="BU105" s="1370"/>
      <c r="BV105" s="31"/>
      <c r="BW105" s="1465"/>
      <c r="BX105" s="1370"/>
      <c r="BY105" s="31"/>
      <c r="BZ105" s="1465"/>
      <c r="CA105" s="1370"/>
      <c r="CB105" s="31"/>
      <c r="CC105" s="1465"/>
      <c r="CD105" s="1370"/>
      <c r="CE105" s="31"/>
      <c r="CF105" s="1465"/>
      <c r="CG105" s="1370"/>
      <c r="CH105" s="31"/>
      <c r="CI105" s="1465"/>
      <c r="CJ105" s="1370"/>
      <c r="CK105" s="31"/>
      <c r="CL105" s="1273"/>
    </row>
    <row r="106" ht="18.75" customHeight="1">
      <c r="A106" s="1238"/>
      <c r="B106" s="1238"/>
      <c r="C106" s="1370"/>
      <c r="D106" s="1370"/>
      <c r="E106" s="1370"/>
      <c r="F106" s="1370"/>
      <c r="G106" s="1370"/>
      <c r="H106" s="1370"/>
      <c r="I106" s="1370"/>
      <c r="J106" s="1370"/>
      <c r="K106" s="1370"/>
      <c r="L106" s="1370"/>
      <c r="M106" s="1370"/>
      <c r="N106" s="31"/>
      <c r="O106" s="1465"/>
      <c r="P106" s="1370"/>
      <c r="Q106" s="31"/>
      <c r="R106" s="1465"/>
      <c r="S106" s="1370"/>
      <c r="T106" s="31"/>
      <c r="U106" s="1465"/>
      <c r="V106" s="1370"/>
      <c r="W106" s="31"/>
      <c r="X106" s="1465"/>
      <c r="Y106" s="1370"/>
      <c r="Z106" s="31"/>
      <c r="AA106" s="1465"/>
      <c r="AB106" s="1370"/>
      <c r="AC106" s="1371"/>
      <c r="AD106" s="1465"/>
      <c r="AE106" s="1370"/>
      <c r="AF106" s="1371"/>
      <c r="AG106" s="1465"/>
      <c r="AH106" s="1370"/>
      <c r="AI106" s="31"/>
      <c r="AJ106" s="1465"/>
      <c r="AK106" s="1370"/>
      <c r="AL106" s="31"/>
      <c r="AM106" s="1465"/>
      <c r="AN106" s="1370"/>
      <c r="AO106" s="1371"/>
      <c r="AP106" s="1465"/>
      <c r="AQ106" s="1324"/>
      <c r="AR106" s="1325" t="s">
        <v>2476</v>
      </c>
      <c r="AS106" s="1465"/>
      <c r="AT106" s="1370"/>
      <c r="AU106" s="1371"/>
      <c r="AV106" s="1465"/>
      <c r="AW106" s="1370"/>
      <c r="AX106" s="31"/>
      <c r="AY106" s="1465"/>
      <c r="AZ106" s="1370"/>
      <c r="BA106" s="31"/>
      <c r="BB106" s="1465"/>
      <c r="BC106" s="1370"/>
      <c r="BD106" s="31"/>
      <c r="BE106" s="1465"/>
      <c r="BF106" s="1370"/>
      <c r="BG106" s="31"/>
      <c r="BH106" s="1465"/>
      <c r="BI106" s="1370"/>
      <c r="BJ106" s="31"/>
      <c r="BK106" s="1465"/>
      <c r="BL106" s="1370"/>
      <c r="BM106" s="31"/>
      <c r="BN106" s="1465"/>
      <c r="BO106" s="1370"/>
      <c r="BP106" s="31"/>
      <c r="BQ106" s="1465"/>
      <c r="BR106" s="1370"/>
      <c r="BS106" s="31"/>
      <c r="BT106" s="1465"/>
      <c r="BU106" s="1370"/>
      <c r="BV106" s="31"/>
      <c r="BW106" s="1465"/>
      <c r="BX106" s="1370"/>
      <c r="BY106" s="31"/>
      <c r="BZ106" s="1465"/>
      <c r="CA106" s="1370"/>
      <c r="CB106" s="31"/>
      <c r="CC106" s="1465"/>
      <c r="CD106" s="1370"/>
      <c r="CE106" s="31"/>
      <c r="CF106" s="1465"/>
      <c r="CG106" s="1370"/>
      <c r="CH106" s="31"/>
      <c r="CI106" s="1465"/>
      <c r="CJ106" s="1370"/>
      <c r="CK106" s="31"/>
      <c r="CL106" s="1273"/>
    </row>
    <row r="107" ht="18.75" customHeight="1">
      <c r="A107" s="1238"/>
      <c r="B107" s="1238"/>
      <c r="C107" s="1370"/>
      <c r="D107" s="1370"/>
      <c r="E107" s="1370"/>
      <c r="F107" s="1370"/>
      <c r="G107" s="1370"/>
      <c r="H107" s="1370"/>
      <c r="I107" s="1370"/>
      <c r="J107" s="1370"/>
      <c r="K107" s="1370"/>
      <c r="L107" s="1370"/>
      <c r="M107" s="1370"/>
      <c r="N107" s="31"/>
      <c r="O107" s="1465"/>
      <c r="P107" s="1370"/>
      <c r="Q107" s="31"/>
      <c r="R107" s="1465"/>
      <c r="S107" s="1370"/>
      <c r="T107" s="31"/>
      <c r="U107" s="1465"/>
      <c r="V107" s="1370"/>
      <c r="W107" s="31"/>
      <c r="X107" s="1465"/>
      <c r="Y107" s="1370"/>
      <c r="Z107" s="31"/>
      <c r="AA107" s="1465"/>
      <c r="AB107" s="1370"/>
      <c r="AC107" s="1371"/>
      <c r="AD107" s="1465"/>
      <c r="AE107" s="1370"/>
      <c r="AF107" s="1371"/>
      <c r="AG107" s="1465"/>
      <c r="AH107" s="1370"/>
      <c r="AI107" s="31"/>
      <c r="AJ107" s="1465"/>
      <c r="AK107" s="1370"/>
      <c r="AL107" s="31"/>
      <c r="AM107" s="1465"/>
      <c r="AN107" s="1370"/>
      <c r="AO107" s="31"/>
      <c r="AP107" s="1465"/>
      <c r="AQ107" s="1346"/>
      <c r="AR107" s="1296" t="s">
        <v>2477</v>
      </c>
      <c r="AS107" s="1465"/>
      <c r="AT107" s="1370"/>
      <c r="AU107" s="1371"/>
      <c r="AV107" s="1465"/>
      <c r="AW107" s="1370"/>
      <c r="AX107" s="31"/>
      <c r="AY107" s="1465"/>
      <c r="AZ107" s="1370"/>
      <c r="BA107" s="31"/>
      <c r="BB107" s="1465"/>
      <c r="BC107" s="1370"/>
      <c r="BD107" s="31"/>
      <c r="BE107" s="1465"/>
      <c r="BF107" s="1370"/>
      <c r="BG107" s="31"/>
      <c r="BH107" s="1465"/>
      <c r="BI107" s="1370"/>
      <c r="BJ107" s="31"/>
      <c r="BK107" s="1465"/>
      <c r="BL107" s="1370"/>
      <c r="BM107" s="31"/>
      <c r="BN107" s="1465"/>
      <c r="BO107" s="1370"/>
      <c r="BP107" s="31"/>
      <c r="BQ107" s="1465"/>
      <c r="BR107" s="1370"/>
      <c r="BS107" s="31"/>
      <c r="BT107" s="1465"/>
      <c r="BU107" s="1370"/>
      <c r="BV107" s="31"/>
      <c r="BW107" s="1465"/>
      <c r="BX107" s="1370"/>
      <c r="BY107" s="31"/>
      <c r="BZ107" s="1465"/>
      <c r="CA107" s="1370"/>
      <c r="CB107" s="31"/>
      <c r="CC107" s="1465"/>
      <c r="CD107" s="1370"/>
      <c r="CE107" s="31"/>
      <c r="CF107" s="1465"/>
      <c r="CG107" s="1370"/>
      <c r="CH107" s="31"/>
      <c r="CI107" s="1465"/>
      <c r="CJ107" s="1370"/>
      <c r="CK107" s="31"/>
      <c r="CL107" s="1273"/>
    </row>
    <row r="108" ht="18.75" customHeight="1">
      <c r="A108" s="1238"/>
      <c r="B108" s="1238"/>
      <c r="C108" s="1370"/>
      <c r="D108" s="1370"/>
      <c r="E108" s="1370"/>
      <c r="F108" s="1370"/>
      <c r="G108" s="1370"/>
      <c r="H108" s="1370"/>
      <c r="I108" s="1370"/>
      <c r="J108" s="1370"/>
      <c r="K108" s="1370"/>
      <c r="L108" s="1370"/>
      <c r="M108" s="1370"/>
      <c r="N108" s="31"/>
      <c r="O108" s="1465"/>
      <c r="P108" s="1370"/>
      <c r="Q108" s="31"/>
      <c r="R108" s="1465"/>
      <c r="S108" s="1370"/>
      <c r="T108" s="31"/>
      <c r="U108" s="1465"/>
      <c r="V108" s="1370"/>
      <c r="W108" s="31"/>
      <c r="X108" s="1465"/>
      <c r="Y108" s="1370"/>
      <c r="Z108" s="31"/>
      <c r="AA108" s="1465"/>
      <c r="AB108" s="1370"/>
      <c r="AC108" s="1371"/>
      <c r="AD108" s="1465"/>
      <c r="AE108" s="1370"/>
      <c r="AF108" s="1371"/>
      <c r="AG108" s="1465"/>
      <c r="AH108" s="1370"/>
      <c r="AI108" s="31"/>
      <c r="AJ108" s="1465"/>
      <c r="AK108" s="1370"/>
      <c r="AL108" s="31"/>
      <c r="AM108" s="1465"/>
      <c r="AN108" s="1370"/>
      <c r="AO108" s="31"/>
      <c r="AP108" s="1465"/>
      <c r="AQ108" s="1324"/>
      <c r="AR108" s="1325" t="s">
        <v>2478</v>
      </c>
      <c r="AS108" s="1465"/>
      <c r="AT108" s="1370"/>
      <c r="AU108" s="1371"/>
      <c r="AV108" s="1465"/>
      <c r="AW108" s="1370"/>
      <c r="AX108" s="31"/>
      <c r="AY108" s="1465"/>
      <c r="AZ108" s="1370"/>
      <c r="BA108" s="31"/>
      <c r="BB108" s="1465"/>
      <c r="BC108" s="1370"/>
      <c r="BD108" s="31"/>
      <c r="BE108" s="1465"/>
      <c r="BF108" s="1370"/>
      <c r="BG108" s="31"/>
      <c r="BH108" s="1465"/>
      <c r="BI108" s="1370"/>
      <c r="BJ108" s="31"/>
      <c r="BK108" s="1465"/>
      <c r="BL108" s="1370"/>
      <c r="BM108" s="31"/>
      <c r="BN108" s="1465"/>
      <c r="BO108" s="1370"/>
      <c r="BP108" s="31"/>
      <c r="BQ108" s="1465"/>
      <c r="BR108" s="1370"/>
      <c r="BS108" s="31"/>
      <c r="BT108" s="1465"/>
      <c r="BU108" s="1370"/>
      <c r="BV108" s="31"/>
      <c r="BW108" s="1465"/>
      <c r="BX108" s="1370"/>
      <c r="BY108" s="31"/>
      <c r="BZ108" s="1465"/>
      <c r="CA108" s="1370"/>
      <c r="CB108" s="31"/>
      <c r="CC108" s="1465"/>
      <c r="CD108" s="1370"/>
      <c r="CE108" s="31"/>
      <c r="CF108" s="1465"/>
      <c r="CG108" s="1370"/>
      <c r="CH108" s="31"/>
      <c r="CI108" s="1465"/>
      <c r="CJ108" s="1370"/>
      <c r="CK108" s="31"/>
      <c r="CL108" s="1273"/>
    </row>
    <row r="109" ht="18.75" customHeight="1">
      <c r="A109" s="1238"/>
      <c r="B109" s="1238"/>
      <c r="C109" s="1370"/>
      <c r="D109" s="1370"/>
      <c r="E109" s="1370"/>
      <c r="F109" s="1370"/>
      <c r="G109" s="1370"/>
      <c r="H109" s="1370"/>
      <c r="I109" s="1370"/>
      <c r="J109" s="1370"/>
      <c r="K109" s="1370"/>
      <c r="L109" s="1370"/>
      <c r="M109" s="1370"/>
      <c r="N109" s="31"/>
      <c r="O109" s="1465"/>
      <c r="P109" s="1370"/>
      <c r="Q109" s="31"/>
      <c r="R109" s="1465"/>
      <c r="S109" s="1370"/>
      <c r="T109" s="31"/>
      <c r="U109" s="1465"/>
      <c r="V109" s="1370"/>
      <c r="W109" s="31"/>
      <c r="X109" s="1465"/>
      <c r="Y109" s="1370"/>
      <c r="Z109" s="31"/>
      <c r="AA109" s="1465"/>
      <c r="AB109" s="1370"/>
      <c r="AC109" s="1371"/>
      <c r="AD109" s="1465"/>
      <c r="AE109" s="1370"/>
      <c r="AF109" s="1371"/>
      <c r="AG109" s="1465"/>
      <c r="AH109" s="1370"/>
      <c r="AI109" s="31"/>
      <c r="AJ109" s="1465"/>
      <c r="AK109" s="1370"/>
      <c r="AL109" s="31"/>
      <c r="AM109" s="1465"/>
      <c r="AN109" s="1370"/>
      <c r="AO109" s="31"/>
      <c r="AP109" s="1465"/>
      <c r="AQ109" s="1324"/>
      <c r="AR109" s="1325" t="s">
        <v>2479</v>
      </c>
      <c r="AS109" s="1465"/>
      <c r="AT109" s="1370"/>
      <c r="AU109" s="1371"/>
      <c r="AV109" s="1465"/>
      <c r="AW109" s="1370"/>
      <c r="AX109" s="31"/>
      <c r="AY109" s="1465"/>
      <c r="AZ109" s="1370"/>
      <c r="BA109" s="31"/>
      <c r="BB109" s="1465"/>
      <c r="BC109" s="1370"/>
      <c r="BD109" s="31"/>
      <c r="BE109" s="1465"/>
      <c r="BF109" s="1370"/>
      <c r="BG109" s="31"/>
      <c r="BH109" s="1465"/>
      <c r="BI109" s="1370"/>
      <c r="BJ109" s="31"/>
      <c r="BK109" s="1465"/>
      <c r="BL109" s="1370"/>
      <c r="BM109" s="31"/>
      <c r="BN109" s="1465"/>
      <c r="BO109" s="1370"/>
      <c r="BP109" s="31"/>
      <c r="BQ109" s="1465"/>
      <c r="BR109" s="1370"/>
      <c r="BS109" s="31"/>
      <c r="BT109" s="1465"/>
      <c r="BU109" s="1370"/>
      <c r="BV109" s="31"/>
      <c r="BW109" s="1465"/>
      <c r="BX109" s="1370"/>
      <c r="BY109" s="31"/>
      <c r="BZ109" s="1465"/>
      <c r="CA109" s="1370"/>
      <c r="CB109" s="31"/>
      <c r="CC109" s="1465"/>
      <c r="CD109" s="1370"/>
      <c r="CE109" s="31"/>
      <c r="CF109" s="1465"/>
      <c r="CG109" s="1370"/>
      <c r="CH109" s="31"/>
      <c r="CI109" s="1465"/>
      <c r="CJ109" s="1370"/>
      <c r="CK109" s="31"/>
      <c r="CL109" s="1273"/>
    </row>
    <row r="110" ht="18.75" customHeight="1">
      <c r="A110" s="1238"/>
      <c r="B110" s="1238"/>
      <c r="C110" s="1370"/>
      <c r="D110" s="1370"/>
      <c r="E110" s="1370"/>
      <c r="F110" s="1370"/>
      <c r="G110" s="1370"/>
      <c r="H110" s="1370"/>
      <c r="I110" s="1370"/>
      <c r="J110" s="1370"/>
      <c r="K110" s="1370"/>
      <c r="L110" s="1370"/>
      <c r="M110" s="1370"/>
      <c r="N110" s="31"/>
      <c r="O110" s="1465"/>
      <c r="P110" s="1370"/>
      <c r="Q110" s="31"/>
      <c r="R110" s="1465"/>
      <c r="S110" s="1370"/>
      <c r="T110" s="31"/>
      <c r="U110" s="1465"/>
      <c r="V110" s="1370"/>
      <c r="W110" s="31"/>
      <c r="X110" s="1465"/>
      <c r="Y110" s="1370"/>
      <c r="Z110" s="31"/>
      <c r="AA110" s="1465"/>
      <c r="AB110" s="1370"/>
      <c r="AC110" s="1371"/>
      <c r="AD110" s="1465"/>
      <c r="AE110" s="1370"/>
      <c r="AF110" s="1371"/>
      <c r="AG110" s="1465"/>
      <c r="AH110" s="1370"/>
      <c r="AI110" s="31"/>
      <c r="AJ110" s="1465"/>
      <c r="AK110" s="1370"/>
      <c r="AL110" s="31"/>
      <c r="AM110" s="1465"/>
      <c r="AN110" s="1370"/>
      <c r="AO110" s="31"/>
      <c r="AP110" s="1465"/>
      <c r="AQ110" s="1346"/>
      <c r="AR110" s="1296" t="s">
        <v>2480</v>
      </c>
      <c r="AS110" s="1465"/>
      <c r="AT110" s="1370"/>
      <c r="AU110" s="1371"/>
      <c r="AV110" s="1465"/>
      <c r="AW110" s="1370"/>
      <c r="AX110" s="31"/>
      <c r="AY110" s="1465"/>
      <c r="AZ110" s="1370"/>
      <c r="BA110" s="31"/>
      <c r="BB110" s="1465"/>
      <c r="BC110" s="1370"/>
      <c r="BD110" s="31"/>
      <c r="BE110" s="1465"/>
      <c r="BF110" s="1370"/>
      <c r="BG110" s="31"/>
      <c r="BH110" s="1465"/>
      <c r="BI110" s="1370"/>
      <c r="BJ110" s="31"/>
      <c r="BK110" s="1465"/>
      <c r="BL110" s="1370"/>
      <c r="BM110" s="31"/>
      <c r="BN110" s="1465"/>
      <c r="BO110" s="1370"/>
      <c r="BP110" s="31"/>
      <c r="BQ110" s="1465"/>
      <c r="BR110" s="1370"/>
      <c r="BS110" s="31"/>
      <c r="BT110" s="1465"/>
      <c r="BU110" s="1370"/>
      <c r="BV110" s="31"/>
      <c r="BW110" s="1465"/>
      <c r="BX110" s="1370"/>
      <c r="BY110" s="31"/>
      <c r="BZ110" s="1465"/>
      <c r="CA110" s="1370"/>
      <c r="CB110" s="31"/>
      <c r="CC110" s="1465"/>
      <c r="CD110" s="1370"/>
      <c r="CE110" s="31"/>
      <c r="CF110" s="1465"/>
      <c r="CG110" s="1370"/>
      <c r="CH110" s="31"/>
      <c r="CI110" s="1465"/>
      <c r="CJ110" s="1370"/>
      <c r="CK110" s="31"/>
      <c r="CL110" s="1273"/>
    </row>
    <row r="111" ht="18.75" customHeight="1">
      <c r="A111" s="1238"/>
      <c r="B111" s="1238"/>
      <c r="C111" s="1370"/>
      <c r="D111" s="1370"/>
      <c r="E111" s="1370"/>
      <c r="F111" s="1370"/>
      <c r="G111" s="1370"/>
      <c r="H111" s="1370"/>
      <c r="I111" s="1370"/>
      <c r="J111" s="1370"/>
      <c r="K111" s="1370"/>
      <c r="L111" s="1370"/>
      <c r="M111" s="1370"/>
      <c r="N111" s="31"/>
      <c r="O111" s="1465"/>
      <c r="P111" s="1370"/>
      <c r="Q111" s="31"/>
      <c r="R111" s="1465"/>
      <c r="S111" s="1370"/>
      <c r="T111" s="31"/>
      <c r="U111" s="1465"/>
      <c r="V111" s="1370"/>
      <c r="W111" s="31"/>
      <c r="X111" s="1465"/>
      <c r="Y111" s="1370"/>
      <c r="Z111" s="31"/>
      <c r="AA111" s="1465"/>
      <c r="AB111" s="1370"/>
      <c r="AC111" s="1371"/>
      <c r="AD111" s="1465"/>
      <c r="AE111" s="1370"/>
      <c r="AF111" s="1371"/>
      <c r="AG111" s="1465"/>
      <c r="AH111" s="1370"/>
      <c r="AI111" s="31"/>
      <c r="AJ111" s="1465"/>
      <c r="AK111" s="1370"/>
      <c r="AL111" s="31"/>
      <c r="AM111" s="1465"/>
      <c r="AN111" s="1370"/>
      <c r="AO111" s="31"/>
      <c r="AP111" s="1465"/>
      <c r="AQ111" s="1324"/>
      <c r="AR111" s="1325" t="s">
        <v>2481</v>
      </c>
      <c r="AS111" s="1465"/>
      <c r="AT111" s="1370"/>
      <c r="AU111" s="1371"/>
      <c r="AV111" s="1465"/>
      <c r="AW111" s="1370"/>
      <c r="AX111" s="31"/>
      <c r="AY111" s="1465"/>
      <c r="AZ111" s="1370"/>
      <c r="BA111" s="31"/>
      <c r="BB111" s="1465"/>
      <c r="BC111" s="1370"/>
      <c r="BD111" s="31"/>
      <c r="BE111" s="1465"/>
      <c r="BF111" s="1370"/>
      <c r="BG111" s="31"/>
      <c r="BH111" s="1465"/>
      <c r="BI111" s="1370"/>
      <c r="BJ111" s="31"/>
      <c r="BK111" s="1465"/>
      <c r="BL111" s="1370"/>
      <c r="BM111" s="31"/>
      <c r="BN111" s="1465"/>
      <c r="BO111" s="1370"/>
      <c r="BP111" s="31"/>
      <c r="BQ111" s="1465"/>
      <c r="BR111" s="1370"/>
      <c r="BS111" s="31"/>
      <c r="BT111" s="1465"/>
      <c r="BU111" s="1370"/>
      <c r="BV111" s="31"/>
      <c r="BW111" s="1465"/>
      <c r="BX111" s="1370"/>
      <c r="BY111" s="31"/>
      <c r="BZ111" s="1465"/>
      <c r="CA111" s="1370"/>
      <c r="CB111" s="31"/>
      <c r="CC111" s="1465"/>
      <c r="CD111" s="1370"/>
      <c r="CE111" s="31"/>
      <c r="CF111" s="1465"/>
      <c r="CG111" s="1370"/>
      <c r="CH111" s="31"/>
      <c r="CI111" s="1465"/>
      <c r="CJ111" s="1370"/>
      <c r="CK111" s="31"/>
      <c r="CL111" s="1273"/>
    </row>
    <row r="112" ht="18.75" customHeight="1">
      <c r="A112" s="1238"/>
      <c r="B112" s="1238"/>
      <c r="C112" s="1370"/>
      <c r="D112" s="1370"/>
      <c r="E112" s="1370"/>
      <c r="F112" s="1370"/>
      <c r="G112" s="1370"/>
      <c r="H112" s="1370"/>
      <c r="I112" s="1370"/>
      <c r="J112" s="1370"/>
      <c r="K112" s="1370"/>
      <c r="L112" s="1370"/>
      <c r="M112" s="1370"/>
      <c r="N112" s="31"/>
      <c r="O112" s="1465"/>
      <c r="P112" s="1370"/>
      <c r="Q112" s="31"/>
      <c r="R112" s="1465"/>
      <c r="S112" s="1370"/>
      <c r="T112" s="31"/>
      <c r="U112" s="1465"/>
      <c r="V112" s="1370"/>
      <c r="W112" s="31"/>
      <c r="X112" s="1465"/>
      <c r="Y112" s="1370"/>
      <c r="Z112" s="31"/>
      <c r="AA112" s="1465"/>
      <c r="AB112" s="1370"/>
      <c r="AC112" s="1371"/>
      <c r="AD112" s="1465"/>
      <c r="AE112" s="1370"/>
      <c r="AF112" s="1371"/>
      <c r="AG112" s="1465"/>
      <c r="AH112" s="1370"/>
      <c r="AI112" s="31"/>
      <c r="AJ112" s="1465"/>
      <c r="AK112" s="1370"/>
      <c r="AL112" s="31"/>
      <c r="AM112" s="1465"/>
      <c r="AN112" s="1370"/>
      <c r="AO112" s="31"/>
      <c r="AP112" s="1465"/>
      <c r="AQ112" s="1346"/>
      <c r="AR112" s="1296" t="s">
        <v>2482</v>
      </c>
      <c r="AS112" s="1465"/>
      <c r="AT112" s="1370"/>
      <c r="AU112" s="1371"/>
      <c r="AV112" s="1465"/>
      <c r="AW112" s="1370"/>
      <c r="AX112" s="31"/>
      <c r="AY112" s="1465"/>
      <c r="AZ112" s="1370"/>
      <c r="BA112" s="31"/>
      <c r="BB112" s="1465"/>
      <c r="BC112" s="1370"/>
      <c r="BD112" s="31"/>
      <c r="BE112" s="1465"/>
      <c r="BF112" s="1370"/>
      <c r="BG112" s="31"/>
      <c r="BH112" s="1465"/>
      <c r="BI112" s="1370"/>
      <c r="BJ112" s="31"/>
      <c r="BK112" s="1465"/>
      <c r="BL112" s="1370"/>
      <c r="BM112" s="31"/>
      <c r="BN112" s="1465"/>
      <c r="BO112" s="1370"/>
      <c r="BP112" s="31"/>
      <c r="BQ112" s="1465"/>
      <c r="BR112" s="1370"/>
      <c r="BS112" s="31"/>
      <c r="BT112" s="1465"/>
      <c r="BU112" s="1370"/>
      <c r="BV112" s="31"/>
      <c r="BW112" s="1465"/>
      <c r="BX112" s="1370"/>
      <c r="BY112" s="31"/>
      <c r="BZ112" s="1465"/>
      <c r="CA112" s="1370"/>
      <c r="CB112" s="31"/>
      <c r="CC112" s="1465"/>
      <c r="CD112" s="1370"/>
      <c r="CE112" s="31"/>
      <c r="CF112" s="1465"/>
      <c r="CG112" s="1370"/>
      <c r="CH112" s="31"/>
      <c r="CI112" s="1465"/>
      <c r="CJ112" s="1370"/>
      <c r="CK112" s="31"/>
      <c r="CL112" s="1273"/>
    </row>
    <row r="113" ht="18.75" customHeight="1">
      <c r="A113" s="1238"/>
      <c r="B113" s="1238"/>
      <c r="C113" s="1370"/>
      <c r="D113" s="1370"/>
      <c r="E113" s="1370"/>
      <c r="F113" s="1370"/>
      <c r="G113" s="1370"/>
      <c r="H113" s="1370"/>
      <c r="I113" s="1370"/>
      <c r="J113" s="1370"/>
      <c r="K113" s="1370"/>
      <c r="L113" s="1370"/>
      <c r="M113" s="1370"/>
      <c r="N113" s="31"/>
      <c r="O113" s="1465"/>
      <c r="P113" s="1370"/>
      <c r="Q113" s="31"/>
      <c r="R113" s="1465"/>
      <c r="S113" s="1370"/>
      <c r="T113" s="31"/>
      <c r="U113" s="1465"/>
      <c r="V113" s="1370"/>
      <c r="W113" s="31"/>
      <c r="X113" s="1465"/>
      <c r="Y113" s="1370"/>
      <c r="Z113" s="31"/>
      <c r="AA113" s="1465"/>
      <c r="AB113" s="1370"/>
      <c r="AC113" s="1371"/>
      <c r="AD113" s="1465"/>
      <c r="AE113" s="1370"/>
      <c r="AF113" s="1371"/>
      <c r="AG113" s="1465"/>
      <c r="AH113" s="1370"/>
      <c r="AI113" s="31"/>
      <c r="AJ113" s="1465"/>
      <c r="AK113" s="1370"/>
      <c r="AL113" s="31"/>
      <c r="AM113" s="1465"/>
      <c r="AN113" s="1370"/>
      <c r="AO113" s="31"/>
      <c r="AP113" s="1465"/>
      <c r="AQ113" s="1324"/>
      <c r="AR113" s="1325" t="s">
        <v>2483</v>
      </c>
      <c r="AS113" s="1465"/>
      <c r="AT113" s="1370"/>
      <c r="AU113" s="1371"/>
      <c r="AV113" s="1465"/>
      <c r="AW113" s="1370"/>
      <c r="AX113" s="31"/>
      <c r="AY113" s="1465"/>
      <c r="AZ113" s="1370"/>
      <c r="BA113" s="31"/>
      <c r="BB113" s="1465"/>
      <c r="BC113" s="1370"/>
      <c r="BD113" s="31"/>
      <c r="BE113" s="1465"/>
      <c r="BF113" s="1370"/>
      <c r="BG113" s="31"/>
      <c r="BH113" s="1465"/>
      <c r="BI113" s="1370"/>
      <c r="BJ113" s="31"/>
      <c r="BK113" s="1465"/>
      <c r="BL113" s="1370"/>
      <c r="BM113" s="31"/>
      <c r="BN113" s="1465"/>
      <c r="BO113" s="1370"/>
      <c r="BP113" s="31"/>
      <c r="BQ113" s="1465"/>
      <c r="BR113" s="1370"/>
      <c r="BS113" s="31"/>
      <c r="BT113" s="1465"/>
      <c r="BU113" s="1370"/>
      <c r="BV113" s="31"/>
      <c r="BW113" s="1465"/>
      <c r="BX113" s="1370"/>
      <c r="BY113" s="31"/>
      <c r="BZ113" s="1465"/>
      <c r="CA113" s="1370"/>
      <c r="CB113" s="31"/>
      <c r="CC113" s="1465"/>
      <c r="CD113" s="1370"/>
      <c r="CE113" s="31"/>
      <c r="CF113" s="1465"/>
      <c r="CG113" s="1370"/>
      <c r="CH113" s="31"/>
      <c r="CI113" s="1465"/>
      <c r="CJ113" s="1370"/>
      <c r="CK113" s="31"/>
      <c r="CL113" s="1273"/>
    </row>
    <row r="114" ht="18.75" customHeight="1">
      <c r="A114" s="1238"/>
      <c r="B114" s="1238"/>
      <c r="C114" s="1370"/>
      <c r="D114" s="1370"/>
      <c r="E114" s="1370"/>
      <c r="F114" s="1370"/>
      <c r="G114" s="1370"/>
      <c r="H114" s="1370"/>
      <c r="I114" s="1370"/>
      <c r="J114" s="1370"/>
      <c r="K114" s="1370"/>
      <c r="L114" s="1370"/>
      <c r="M114" s="1370"/>
      <c r="N114" s="31"/>
      <c r="O114" s="1465"/>
      <c r="P114" s="1370"/>
      <c r="Q114" s="31"/>
      <c r="R114" s="1465"/>
      <c r="S114" s="1370"/>
      <c r="T114" s="31"/>
      <c r="U114" s="1465"/>
      <c r="V114" s="1370"/>
      <c r="W114" s="31"/>
      <c r="X114" s="1465"/>
      <c r="Y114" s="1370"/>
      <c r="Z114" s="31"/>
      <c r="AA114" s="1465"/>
      <c r="AB114" s="1370"/>
      <c r="AC114" s="1371"/>
      <c r="AD114" s="1465"/>
      <c r="AE114" s="1370"/>
      <c r="AF114" s="1371"/>
      <c r="AG114" s="1465"/>
      <c r="AH114" s="1370"/>
      <c r="AI114" s="31"/>
      <c r="AJ114" s="1465"/>
      <c r="AK114" s="1370"/>
      <c r="AL114" s="31"/>
      <c r="AM114" s="1465"/>
      <c r="AN114" s="1370"/>
      <c r="AO114" s="31"/>
      <c r="AP114" s="1465"/>
      <c r="AQ114" s="1346"/>
      <c r="AR114" s="1296" t="s">
        <v>2484</v>
      </c>
      <c r="AS114" s="1465"/>
      <c r="AT114" s="1370"/>
      <c r="AU114" s="1371"/>
      <c r="AV114" s="1465"/>
      <c r="AW114" s="1370"/>
      <c r="AX114" s="31"/>
      <c r="AY114" s="1465"/>
      <c r="AZ114" s="1370"/>
      <c r="BA114" s="31"/>
      <c r="BB114" s="1465"/>
      <c r="BC114" s="1370"/>
      <c r="BD114" s="31"/>
      <c r="BE114" s="1465"/>
      <c r="BF114" s="1370"/>
      <c r="BG114" s="31"/>
      <c r="BH114" s="1465"/>
      <c r="BI114" s="1370"/>
      <c r="BJ114" s="31"/>
      <c r="BK114" s="1465"/>
      <c r="BL114" s="1370"/>
      <c r="BM114" s="31"/>
      <c r="BN114" s="1465"/>
      <c r="BO114" s="1370"/>
      <c r="BP114" s="31"/>
      <c r="BQ114" s="1465"/>
      <c r="BR114" s="1370"/>
      <c r="BS114" s="31"/>
      <c r="BT114" s="1465"/>
      <c r="BU114" s="1370"/>
      <c r="BV114" s="31"/>
      <c r="BW114" s="1465"/>
      <c r="BX114" s="1370"/>
      <c r="BY114" s="31"/>
      <c r="BZ114" s="1465"/>
      <c r="CA114" s="1370"/>
      <c r="CB114" s="31"/>
      <c r="CC114" s="1465"/>
      <c r="CD114" s="1370"/>
      <c r="CE114" s="31"/>
      <c r="CF114" s="1465"/>
      <c r="CG114" s="1370"/>
      <c r="CH114" s="31"/>
      <c r="CI114" s="1465"/>
      <c r="CJ114" s="1370"/>
      <c r="CK114" s="31"/>
      <c r="CL114" s="1273"/>
    </row>
    <row r="115" ht="18.75" customHeight="1">
      <c r="A115" s="1238"/>
      <c r="B115" s="1238"/>
      <c r="C115" s="1370"/>
      <c r="D115" s="1370"/>
      <c r="E115" s="1370"/>
      <c r="F115" s="1370"/>
      <c r="G115" s="1370"/>
      <c r="H115" s="1370"/>
      <c r="I115" s="1370"/>
      <c r="J115" s="1370"/>
      <c r="K115" s="1370"/>
      <c r="L115" s="1370"/>
      <c r="M115" s="1370"/>
      <c r="N115" s="31"/>
      <c r="O115" s="1465"/>
      <c r="P115" s="1370"/>
      <c r="Q115" s="31"/>
      <c r="R115" s="1465"/>
      <c r="S115" s="1370"/>
      <c r="T115" s="31"/>
      <c r="U115" s="1465"/>
      <c r="V115" s="1370"/>
      <c r="W115" s="31"/>
      <c r="X115" s="1465"/>
      <c r="Y115" s="1370"/>
      <c r="Z115" s="31"/>
      <c r="AA115" s="1465"/>
      <c r="AB115" s="1370"/>
      <c r="AC115" s="1371"/>
      <c r="AD115" s="1465"/>
      <c r="AE115" s="1370"/>
      <c r="AF115" s="1371"/>
      <c r="AG115" s="1465"/>
      <c r="AH115" s="1370"/>
      <c r="AI115" s="31"/>
      <c r="AJ115" s="1465"/>
      <c r="AK115" s="1370"/>
      <c r="AL115" s="31"/>
      <c r="AM115" s="1465"/>
      <c r="AN115" s="1370"/>
      <c r="AO115" s="31"/>
      <c r="AP115" s="1465"/>
      <c r="AQ115" s="1324"/>
      <c r="AR115" s="1325" t="s">
        <v>2485</v>
      </c>
      <c r="AS115" s="1465"/>
      <c r="AT115" s="1370"/>
      <c r="AU115" s="1371"/>
      <c r="AV115" s="1465"/>
      <c r="AW115" s="1370"/>
      <c r="AX115" s="31"/>
      <c r="AY115" s="1465"/>
      <c r="AZ115" s="1370"/>
      <c r="BA115" s="31"/>
      <c r="BB115" s="1465"/>
      <c r="BC115" s="1370"/>
      <c r="BD115" s="31"/>
      <c r="BE115" s="1465"/>
      <c r="BF115" s="1370"/>
      <c r="BG115" s="31"/>
      <c r="BH115" s="1465"/>
      <c r="BI115" s="1370"/>
      <c r="BJ115" s="31"/>
      <c r="BK115" s="1465"/>
      <c r="BL115" s="1370"/>
      <c r="BM115" s="31"/>
      <c r="BN115" s="1465"/>
      <c r="BO115" s="1370"/>
      <c r="BP115" s="31"/>
      <c r="BQ115" s="1465"/>
      <c r="BR115" s="1370"/>
      <c r="BS115" s="31"/>
      <c r="BT115" s="1465"/>
      <c r="BU115" s="1370"/>
      <c r="BV115" s="31"/>
      <c r="BW115" s="1465"/>
      <c r="BX115" s="1370"/>
      <c r="BY115" s="31"/>
      <c r="BZ115" s="1465"/>
      <c r="CA115" s="1370"/>
      <c r="CB115" s="31"/>
      <c r="CC115" s="1465"/>
      <c r="CD115" s="1370"/>
      <c r="CE115" s="31"/>
      <c r="CF115" s="1465"/>
      <c r="CG115" s="1370"/>
      <c r="CH115" s="31"/>
      <c r="CI115" s="1465"/>
      <c r="CJ115" s="1370"/>
      <c r="CK115" s="31"/>
      <c r="CL115" s="1273"/>
    </row>
    <row r="116" ht="18.75" customHeight="1">
      <c r="A116" s="1238"/>
      <c r="B116" s="1238"/>
      <c r="C116" s="1370"/>
      <c r="D116" s="1370"/>
      <c r="E116" s="1370"/>
      <c r="F116" s="1370"/>
      <c r="G116" s="1370"/>
      <c r="H116" s="1370"/>
      <c r="I116" s="1370"/>
      <c r="J116" s="1370"/>
      <c r="K116" s="1370"/>
      <c r="L116" s="1370"/>
      <c r="M116" s="1370"/>
      <c r="N116" s="31"/>
      <c r="O116" s="1465"/>
      <c r="P116" s="1370"/>
      <c r="Q116" s="31"/>
      <c r="R116" s="1465"/>
      <c r="S116" s="1370"/>
      <c r="T116" s="31"/>
      <c r="U116" s="1465"/>
      <c r="V116" s="1370"/>
      <c r="W116" s="31"/>
      <c r="X116" s="1465"/>
      <c r="Y116" s="1370"/>
      <c r="Z116" s="31"/>
      <c r="AA116" s="1465"/>
      <c r="AB116" s="1370"/>
      <c r="AC116" s="1371"/>
      <c r="AD116" s="1465"/>
      <c r="AE116" s="1370"/>
      <c r="AF116" s="1371"/>
      <c r="AG116" s="1465"/>
      <c r="AH116" s="1370"/>
      <c r="AI116" s="31"/>
      <c r="AJ116" s="1465"/>
      <c r="AK116" s="1370"/>
      <c r="AL116" s="31"/>
      <c r="AM116" s="1465"/>
      <c r="AN116" s="1370"/>
      <c r="AO116" s="31"/>
      <c r="AP116" s="1465"/>
      <c r="AQ116" s="1346"/>
      <c r="AR116" s="1296" t="s">
        <v>2486</v>
      </c>
      <c r="AS116" s="1465"/>
      <c r="AT116" s="1370"/>
      <c r="AU116" s="1371"/>
      <c r="AV116" s="1465"/>
      <c r="AW116" s="1370"/>
      <c r="AX116" s="31"/>
      <c r="AY116" s="1465"/>
      <c r="AZ116" s="1370"/>
      <c r="BA116" s="31"/>
      <c r="BB116" s="1465"/>
      <c r="BC116" s="1370"/>
      <c r="BD116" s="31"/>
      <c r="BE116" s="1465"/>
      <c r="BF116" s="1370"/>
      <c r="BG116" s="31"/>
      <c r="BH116" s="1465"/>
      <c r="BI116" s="1370"/>
      <c r="BJ116" s="31"/>
      <c r="BK116" s="1465"/>
      <c r="BL116" s="1370"/>
      <c r="BM116" s="31"/>
      <c r="BN116" s="1465"/>
      <c r="BO116" s="1370"/>
      <c r="BP116" s="31"/>
      <c r="BQ116" s="1465"/>
      <c r="BR116" s="1370"/>
      <c r="BS116" s="31"/>
      <c r="BT116" s="1465"/>
      <c r="BU116" s="1370"/>
      <c r="BV116" s="31"/>
      <c r="BW116" s="1465"/>
      <c r="BX116" s="1370"/>
      <c r="BY116" s="31"/>
      <c r="BZ116" s="1465"/>
      <c r="CA116" s="1370"/>
      <c r="CB116" s="31"/>
      <c r="CC116" s="1465"/>
      <c r="CD116" s="1370"/>
      <c r="CE116" s="31"/>
      <c r="CF116" s="1465"/>
      <c r="CG116" s="1370"/>
      <c r="CH116" s="31"/>
      <c r="CI116" s="1465"/>
      <c r="CJ116" s="1370"/>
      <c r="CK116" s="31"/>
      <c r="CL116" s="1273"/>
    </row>
    <row r="117" ht="18.75" customHeight="1">
      <c r="A117" s="1238"/>
      <c r="B117" s="1238"/>
      <c r="C117" s="1370"/>
      <c r="D117" s="1370"/>
      <c r="E117" s="1370"/>
      <c r="F117" s="1370"/>
      <c r="G117" s="1370"/>
      <c r="H117" s="1370"/>
      <c r="I117" s="1370"/>
      <c r="J117" s="1370"/>
      <c r="K117" s="1370"/>
      <c r="L117" s="1370"/>
      <c r="M117" s="1370"/>
      <c r="N117" s="31"/>
      <c r="O117" s="1465"/>
      <c r="P117" s="1370"/>
      <c r="Q117" s="31"/>
      <c r="R117" s="1465"/>
      <c r="S117" s="1370"/>
      <c r="T117" s="31"/>
      <c r="U117" s="1465"/>
      <c r="V117" s="1370"/>
      <c r="W117" s="31"/>
      <c r="X117" s="1465"/>
      <c r="Y117" s="1370"/>
      <c r="Z117" s="31"/>
      <c r="AA117" s="1465"/>
      <c r="AB117" s="1370"/>
      <c r="AC117" s="1371"/>
      <c r="AD117" s="1465"/>
      <c r="AE117" s="1370"/>
      <c r="AF117" s="1371"/>
      <c r="AG117" s="1465"/>
      <c r="AH117" s="1370"/>
      <c r="AI117" s="31"/>
      <c r="AJ117" s="1465"/>
      <c r="AK117" s="1370"/>
      <c r="AL117" s="31"/>
      <c r="AM117" s="1465"/>
      <c r="AN117" s="1370"/>
      <c r="AO117" s="31"/>
      <c r="AP117" s="1465"/>
      <c r="AQ117" s="1324"/>
      <c r="AR117" s="1325" t="s">
        <v>2487</v>
      </c>
      <c r="AS117" s="1465"/>
      <c r="AT117" s="1370"/>
      <c r="AU117" s="1371"/>
      <c r="AV117" s="1465"/>
      <c r="AW117" s="1370"/>
      <c r="AX117" s="31"/>
      <c r="AY117" s="1465"/>
      <c r="AZ117" s="1370"/>
      <c r="BA117" s="31"/>
      <c r="BB117" s="1465"/>
      <c r="BC117" s="1370"/>
      <c r="BD117" s="31"/>
      <c r="BE117" s="1465"/>
      <c r="BF117" s="1370"/>
      <c r="BG117" s="31"/>
      <c r="BH117" s="1465"/>
      <c r="BI117" s="1370"/>
      <c r="BJ117" s="31"/>
      <c r="BK117" s="1465"/>
      <c r="BL117" s="1370"/>
      <c r="BM117" s="31"/>
      <c r="BN117" s="1465"/>
      <c r="BO117" s="1370"/>
      <c r="BP117" s="31"/>
      <c r="BQ117" s="1465"/>
      <c r="BR117" s="1370"/>
      <c r="BS117" s="31"/>
      <c r="BT117" s="1465"/>
      <c r="BU117" s="1370"/>
      <c r="BV117" s="31"/>
      <c r="BW117" s="1465"/>
      <c r="BX117" s="1370"/>
      <c r="BY117" s="31"/>
      <c r="BZ117" s="1465"/>
      <c r="CA117" s="1370"/>
      <c r="CB117" s="31"/>
      <c r="CC117" s="1465"/>
      <c r="CD117" s="1370"/>
      <c r="CE117" s="31"/>
      <c r="CF117" s="1465"/>
      <c r="CG117" s="1370"/>
      <c r="CH117" s="31"/>
      <c r="CI117" s="1465"/>
      <c r="CJ117" s="1370"/>
      <c r="CK117" s="31"/>
      <c r="CL117" s="1273"/>
    </row>
    <row r="118" ht="18.75" customHeight="1">
      <c r="A118" s="1238"/>
      <c r="B118" s="1238"/>
      <c r="C118" s="1370"/>
      <c r="D118" s="1370"/>
      <c r="E118" s="1370"/>
      <c r="F118" s="1370"/>
      <c r="G118" s="1370"/>
      <c r="H118" s="1370"/>
      <c r="I118" s="1370"/>
      <c r="J118" s="1370"/>
      <c r="K118" s="1370"/>
      <c r="L118" s="1370"/>
      <c r="M118" s="1370"/>
      <c r="N118" s="31"/>
      <c r="O118" s="1465"/>
      <c r="P118" s="1370"/>
      <c r="Q118" s="31"/>
      <c r="R118" s="1465"/>
      <c r="S118" s="1370"/>
      <c r="T118" s="31"/>
      <c r="U118" s="1465"/>
      <c r="V118" s="1370"/>
      <c r="W118" s="31"/>
      <c r="X118" s="1465"/>
      <c r="Y118" s="1370"/>
      <c r="Z118" s="31"/>
      <c r="AA118" s="1465"/>
      <c r="AB118" s="1370"/>
      <c r="AC118" s="1371"/>
      <c r="AD118" s="1465"/>
      <c r="AE118" s="1370"/>
      <c r="AF118" s="1371"/>
      <c r="AG118" s="1465"/>
      <c r="AH118" s="1370"/>
      <c r="AI118" s="31"/>
      <c r="AJ118" s="1465"/>
      <c r="AK118" s="1370"/>
      <c r="AL118" s="31"/>
      <c r="AM118" s="1465"/>
      <c r="AN118" s="1370"/>
      <c r="AO118" s="31"/>
      <c r="AP118" s="1465"/>
      <c r="AQ118" s="1346"/>
      <c r="AR118" s="1296" t="s">
        <v>2488</v>
      </c>
      <c r="AS118" s="1465"/>
      <c r="AT118" s="1370"/>
      <c r="AU118" s="1371"/>
      <c r="AV118" s="1465"/>
      <c r="AW118" s="1370"/>
      <c r="AX118" s="31"/>
      <c r="AY118" s="1465"/>
      <c r="AZ118" s="1370"/>
      <c r="BA118" s="31"/>
      <c r="BB118" s="1465"/>
      <c r="BC118" s="1370"/>
      <c r="BD118" s="31"/>
      <c r="BE118" s="1465"/>
      <c r="BF118" s="1370"/>
      <c r="BG118" s="31"/>
      <c r="BH118" s="1465"/>
      <c r="BI118" s="1370"/>
      <c r="BJ118" s="31"/>
      <c r="BK118" s="1465"/>
      <c r="BL118" s="1370"/>
      <c r="BM118" s="31"/>
      <c r="BN118" s="1465"/>
      <c r="BO118" s="1370"/>
      <c r="BP118" s="31"/>
      <c r="BQ118" s="1465"/>
      <c r="BR118" s="1370"/>
      <c r="BS118" s="31"/>
      <c r="BT118" s="1465"/>
      <c r="BU118" s="1370"/>
      <c r="BV118" s="31"/>
      <c r="BW118" s="1465"/>
      <c r="BX118" s="1370"/>
      <c r="BY118" s="31"/>
      <c r="BZ118" s="1465"/>
      <c r="CA118" s="1370"/>
      <c r="CB118" s="31"/>
      <c r="CC118" s="1465"/>
      <c r="CD118" s="1370"/>
      <c r="CE118" s="31"/>
      <c r="CF118" s="1465"/>
      <c r="CG118" s="1370"/>
      <c r="CH118" s="31"/>
      <c r="CI118" s="1465"/>
      <c r="CJ118" s="1370"/>
      <c r="CK118" s="31"/>
      <c r="CL118" s="1273"/>
    </row>
    <row r="119" ht="18.75" customHeight="1">
      <c r="A119" s="1238"/>
      <c r="B119" s="1238"/>
      <c r="C119" s="1370"/>
      <c r="D119" s="1370"/>
      <c r="E119" s="1370"/>
      <c r="F119" s="1370"/>
      <c r="G119" s="1370"/>
      <c r="H119" s="1370"/>
      <c r="I119" s="1370"/>
      <c r="J119" s="1370"/>
      <c r="K119" s="1370"/>
      <c r="L119" s="1370"/>
      <c r="M119" s="1370"/>
      <c r="N119" s="31"/>
      <c r="O119" s="1465"/>
      <c r="P119" s="1370"/>
      <c r="Q119" s="31"/>
      <c r="R119" s="1465"/>
      <c r="S119" s="1370"/>
      <c r="T119" s="31"/>
      <c r="U119" s="1465"/>
      <c r="V119" s="1370"/>
      <c r="W119" s="31"/>
      <c r="X119" s="1465"/>
      <c r="Y119" s="1370"/>
      <c r="Z119" s="31"/>
      <c r="AA119" s="1465"/>
      <c r="AB119" s="1370"/>
      <c r="AC119" s="1371"/>
      <c r="AD119" s="1465"/>
      <c r="AE119" s="1370"/>
      <c r="AF119" s="1371"/>
      <c r="AG119" s="1465"/>
      <c r="AH119" s="1370"/>
      <c r="AI119" s="31"/>
      <c r="AJ119" s="1465"/>
      <c r="AK119" s="1370"/>
      <c r="AL119" s="31"/>
      <c r="AM119" s="1465"/>
      <c r="AN119" s="1370"/>
      <c r="AO119" s="31"/>
      <c r="AP119" s="1465"/>
      <c r="AQ119" s="1324"/>
      <c r="AR119" s="1325" t="s">
        <v>2489</v>
      </c>
      <c r="AS119" s="1465"/>
      <c r="AT119" s="1370"/>
      <c r="AU119" s="1371"/>
      <c r="AV119" s="1465"/>
      <c r="AW119" s="1370"/>
      <c r="AX119" s="31"/>
      <c r="AY119" s="1465"/>
      <c r="AZ119" s="1370"/>
      <c r="BA119" s="31"/>
      <c r="BB119" s="1465"/>
      <c r="BC119" s="1370"/>
      <c r="BD119" s="31"/>
      <c r="BE119" s="1465"/>
      <c r="BF119" s="1370"/>
      <c r="BG119" s="31"/>
      <c r="BH119" s="1465"/>
      <c r="BI119" s="1370"/>
      <c r="BJ119" s="31"/>
      <c r="BK119" s="1465"/>
      <c r="BL119" s="1370"/>
      <c r="BM119" s="31"/>
      <c r="BN119" s="1465"/>
      <c r="BO119" s="1370"/>
      <c r="BP119" s="31"/>
      <c r="BQ119" s="1465"/>
      <c r="BR119" s="1370"/>
      <c r="BS119" s="31"/>
      <c r="BT119" s="1465"/>
      <c r="BU119" s="1370"/>
      <c r="BV119" s="31"/>
      <c r="BW119" s="1465"/>
      <c r="BX119" s="1370"/>
      <c r="BY119" s="31"/>
      <c r="BZ119" s="1465"/>
      <c r="CA119" s="1370"/>
      <c r="CB119" s="31"/>
      <c r="CC119" s="1465"/>
      <c r="CD119" s="1370"/>
      <c r="CE119" s="31"/>
      <c r="CF119" s="1465"/>
      <c r="CG119" s="1370"/>
      <c r="CH119" s="31"/>
      <c r="CI119" s="1465"/>
      <c r="CJ119" s="1370"/>
      <c r="CK119" s="31"/>
      <c r="CL119" s="1273"/>
    </row>
    <row r="120" ht="18.75" customHeight="1">
      <c r="A120" s="1238"/>
      <c r="B120" s="1238"/>
      <c r="C120" s="1370"/>
      <c r="D120" s="1370"/>
      <c r="E120" s="1370"/>
      <c r="F120" s="1370"/>
      <c r="G120" s="1370"/>
      <c r="H120" s="1370"/>
      <c r="I120" s="1370"/>
      <c r="J120" s="1370"/>
      <c r="K120" s="1370"/>
      <c r="L120" s="1370"/>
      <c r="M120" s="1370"/>
      <c r="N120" s="31"/>
      <c r="O120" s="1465"/>
      <c r="P120" s="1370"/>
      <c r="Q120" s="31"/>
      <c r="R120" s="1465"/>
      <c r="S120" s="1370"/>
      <c r="T120" s="31"/>
      <c r="U120" s="1465"/>
      <c r="V120" s="1370"/>
      <c r="W120" s="31"/>
      <c r="X120" s="1465"/>
      <c r="Y120" s="1370"/>
      <c r="Z120" s="31"/>
      <c r="AA120" s="1465"/>
      <c r="AB120" s="1370"/>
      <c r="AC120" s="1371"/>
      <c r="AD120" s="1465"/>
      <c r="AE120" s="1370"/>
      <c r="AF120" s="1371"/>
      <c r="AG120" s="1465"/>
      <c r="AH120" s="1370"/>
      <c r="AI120" s="31"/>
      <c r="AJ120" s="1465"/>
      <c r="AK120" s="1370"/>
      <c r="AL120" s="31"/>
      <c r="AM120" s="1465"/>
      <c r="AN120" s="1370"/>
      <c r="AO120" s="31"/>
      <c r="AP120" s="1465"/>
      <c r="AQ120" s="1346"/>
      <c r="AR120" s="1296" t="s">
        <v>2490</v>
      </c>
      <c r="AS120" s="1465"/>
      <c r="AT120" s="1370"/>
      <c r="AU120" s="1371"/>
      <c r="AV120" s="1465"/>
      <c r="AW120" s="1370"/>
      <c r="AX120" s="31"/>
      <c r="AY120" s="1465"/>
      <c r="AZ120" s="1370"/>
      <c r="BA120" s="31"/>
      <c r="BB120" s="1465"/>
      <c r="BC120" s="1370"/>
      <c r="BD120" s="31"/>
      <c r="BE120" s="1465"/>
      <c r="BF120" s="1370"/>
      <c r="BG120" s="31"/>
      <c r="BH120" s="1465"/>
      <c r="BI120" s="1370"/>
      <c r="BJ120" s="31"/>
      <c r="BK120" s="1465"/>
      <c r="BL120" s="1370"/>
      <c r="BM120" s="31"/>
      <c r="BN120" s="1465"/>
      <c r="BO120" s="1370"/>
      <c r="BP120" s="31"/>
      <c r="BQ120" s="1465"/>
      <c r="BR120" s="1370"/>
      <c r="BS120" s="31"/>
      <c r="BT120" s="1465"/>
      <c r="BU120" s="1370"/>
      <c r="BV120" s="31"/>
      <c r="BW120" s="1465"/>
      <c r="BX120" s="1370"/>
      <c r="BY120" s="31"/>
      <c r="BZ120" s="1465"/>
      <c r="CA120" s="1370"/>
      <c r="CB120" s="31"/>
      <c r="CC120" s="1465"/>
      <c r="CD120" s="1370"/>
      <c r="CE120" s="31"/>
      <c r="CF120" s="1465"/>
      <c r="CG120" s="1370"/>
      <c r="CH120" s="31"/>
      <c r="CI120" s="1465"/>
      <c r="CJ120" s="1370"/>
      <c r="CK120" s="31"/>
      <c r="CL120" s="1273"/>
    </row>
    <row r="121" ht="18.75" customHeight="1">
      <c r="A121" s="1238"/>
      <c r="B121" s="1238"/>
      <c r="C121" s="1370"/>
      <c r="D121" s="1370"/>
      <c r="E121" s="1370"/>
      <c r="F121" s="1370"/>
      <c r="G121" s="1370"/>
      <c r="H121" s="1370"/>
      <c r="I121" s="1370"/>
      <c r="J121" s="1370"/>
      <c r="K121" s="1370"/>
      <c r="L121" s="1370"/>
      <c r="M121" s="1370"/>
      <c r="N121" s="31"/>
      <c r="O121" s="1465"/>
      <c r="P121" s="1370"/>
      <c r="Q121" s="31"/>
      <c r="R121" s="1465"/>
      <c r="S121" s="1370"/>
      <c r="T121" s="31"/>
      <c r="U121" s="1465"/>
      <c r="V121" s="1370"/>
      <c r="W121" s="31"/>
      <c r="X121" s="1465"/>
      <c r="Y121" s="1370"/>
      <c r="Z121" s="31"/>
      <c r="AA121" s="1465"/>
      <c r="AB121" s="1370"/>
      <c r="AC121" s="1371"/>
      <c r="AD121" s="1465"/>
      <c r="AE121" s="1370"/>
      <c r="AF121" s="1371"/>
      <c r="AG121" s="1465"/>
      <c r="AH121" s="1370"/>
      <c r="AI121" s="31"/>
      <c r="AJ121" s="1465"/>
      <c r="AK121" s="1370"/>
      <c r="AL121" s="31"/>
      <c r="AM121" s="1465"/>
      <c r="AN121" s="1370"/>
      <c r="AO121" s="31"/>
      <c r="AP121" s="1465"/>
      <c r="AQ121" s="1324"/>
      <c r="AR121" s="1325" t="s">
        <v>2491</v>
      </c>
      <c r="AS121" s="1465"/>
      <c r="AT121" s="1370"/>
      <c r="AU121" s="1371"/>
      <c r="AV121" s="1465"/>
      <c r="AW121" s="1370"/>
      <c r="AX121" s="31"/>
      <c r="AY121" s="1465"/>
      <c r="AZ121" s="1370"/>
      <c r="BA121" s="31"/>
      <c r="BB121" s="1465"/>
      <c r="BC121" s="1370"/>
      <c r="BD121" s="31"/>
      <c r="BE121" s="1465"/>
      <c r="BF121" s="1370"/>
      <c r="BG121" s="31"/>
      <c r="BH121" s="1465"/>
      <c r="BI121" s="1370"/>
      <c r="BJ121" s="31"/>
      <c r="BK121" s="1465"/>
      <c r="BL121" s="1370"/>
      <c r="BM121" s="31"/>
      <c r="BN121" s="1465"/>
      <c r="BO121" s="1370"/>
      <c r="BP121" s="31"/>
      <c r="BQ121" s="1465"/>
      <c r="BR121" s="1370"/>
      <c r="BS121" s="31"/>
      <c r="BT121" s="1465"/>
      <c r="BU121" s="1370"/>
      <c r="BV121" s="31"/>
      <c r="BW121" s="1465"/>
      <c r="BX121" s="1370"/>
      <c r="BY121" s="31"/>
      <c r="BZ121" s="1465"/>
      <c r="CA121" s="1370"/>
      <c r="CB121" s="31"/>
      <c r="CC121" s="1465"/>
      <c r="CD121" s="1370"/>
      <c r="CE121" s="31"/>
      <c r="CF121" s="1465"/>
      <c r="CG121" s="1370"/>
      <c r="CH121" s="31"/>
      <c r="CI121" s="1465"/>
      <c r="CJ121" s="1370"/>
      <c r="CK121" s="31"/>
      <c r="CL121" s="1273"/>
    </row>
    <row r="122" ht="18.75" customHeight="1">
      <c r="A122" s="1238"/>
      <c r="B122" s="1238"/>
      <c r="C122" s="1370"/>
      <c r="D122" s="1370"/>
      <c r="E122" s="1370"/>
      <c r="F122" s="1370"/>
      <c r="G122" s="1370"/>
      <c r="H122" s="1370"/>
      <c r="I122" s="1370"/>
      <c r="J122" s="1370"/>
      <c r="K122" s="1370"/>
      <c r="L122" s="1370"/>
      <c r="M122" s="1370"/>
      <c r="N122" s="31"/>
      <c r="O122" s="1465"/>
      <c r="P122" s="1370"/>
      <c r="Q122" s="31"/>
      <c r="R122" s="1465"/>
      <c r="S122" s="1370"/>
      <c r="T122" s="31"/>
      <c r="U122" s="1465"/>
      <c r="V122" s="1370"/>
      <c r="W122" s="31"/>
      <c r="X122" s="1465"/>
      <c r="Y122" s="1370"/>
      <c r="Z122" s="31"/>
      <c r="AA122" s="1465"/>
      <c r="AB122" s="1370"/>
      <c r="AC122" s="1371"/>
      <c r="AD122" s="1465"/>
      <c r="AE122" s="1370"/>
      <c r="AF122" s="1371"/>
      <c r="AG122" s="1465"/>
      <c r="AH122" s="1370"/>
      <c r="AI122" s="31"/>
      <c r="AJ122" s="1465"/>
      <c r="AK122" s="1370"/>
      <c r="AL122" s="31"/>
      <c r="AM122" s="1465"/>
      <c r="AN122" s="1370"/>
      <c r="AO122" s="31"/>
      <c r="AP122" s="1465"/>
      <c r="AQ122" s="1346"/>
      <c r="AR122" s="1296" t="s">
        <v>2492</v>
      </c>
      <c r="AS122" s="1465"/>
      <c r="AT122" s="1370"/>
      <c r="AU122" s="1371"/>
      <c r="AV122" s="1465"/>
      <c r="AW122" s="1370"/>
      <c r="AX122" s="31"/>
      <c r="AY122" s="1465"/>
      <c r="AZ122" s="1370"/>
      <c r="BA122" s="31"/>
      <c r="BB122" s="1465"/>
      <c r="BC122" s="1370"/>
      <c r="BD122" s="31"/>
      <c r="BE122" s="1465"/>
      <c r="BF122" s="1370"/>
      <c r="BG122" s="31"/>
      <c r="BH122" s="1465"/>
      <c r="BI122" s="1370"/>
      <c r="BJ122" s="31"/>
      <c r="BK122" s="1465"/>
      <c r="BL122" s="1370"/>
      <c r="BM122" s="31"/>
      <c r="BN122" s="1465"/>
      <c r="BO122" s="1370"/>
      <c r="BP122" s="31"/>
      <c r="BQ122" s="1465"/>
      <c r="BR122" s="1370"/>
      <c r="BS122" s="31"/>
      <c r="BT122" s="1465"/>
      <c r="BU122" s="1370"/>
      <c r="BV122" s="31"/>
      <c r="BW122" s="1465"/>
      <c r="BX122" s="1370"/>
      <c r="BY122" s="31"/>
      <c r="BZ122" s="1465"/>
      <c r="CA122" s="1370"/>
      <c r="CB122" s="31"/>
      <c r="CC122" s="1465"/>
      <c r="CD122" s="1370"/>
      <c r="CE122" s="31"/>
      <c r="CF122" s="1465"/>
      <c r="CG122" s="1370"/>
      <c r="CH122" s="31"/>
      <c r="CI122" s="1465"/>
      <c r="CJ122" s="1370"/>
      <c r="CK122" s="31"/>
      <c r="CL122" s="1273"/>
    </row>
    <row r="123" ht="18.75" customHeight="1">
      <c r="A123" s="1238"/>
      <c r="B123" s="1238"/>
      <c r="C123" s="1370"/>
      <c r="D123" s="1370"/>
      <c r="E123" s="1370"/>
      <c r="F123" s="1370"/>
      <c r="G123" s="1370"/>
      <c r="H123" s="1370"/>
      <c r="I123" s="1370"/>
      <c r="J123" s="1370"/>
      <c r="K123" s="1370"/>
      <c r="L123" s="1370"/>
      <c r="M123" s="1370"/>
      <c r="N123" s="31"/>
      <c r="O123" s="1465"/>
      <c r="P123" s="1370"/>
      <c r="Q123" s="31"/>
      <c r="R123" s="1465"/>
      <c r="S123" s="1370"/>
      <c r="T123" s="31"/>
      <c r="U123" s="1465"/>
      <c r="V123" s="1370"/>
      <c r="W123" s="31"/>
      <c r="X123" s="1465"/>
      <c r="Y123" s="1370"/>
      <c r="Z123" s="31"/>
      <c r="AA123" s="1465"/>
      <c r="AB123" s="1370"/>
      <c r="AC123" s="1371"/>
      <c r="AD123" s="1465"/>
      <c r="AE123" s="1370"/>
      <c r="AF123" s="1371"/>
      <c r="AG123" s="1465"/>
      <c r="AH123" s="1370"/>
      <c r="AI123" s="31"/>
      <c r="AJ123" s="1465"/>
      <c r="AK123" s="1370"/>
      <c r="AL123" s="31"/>
      <c r="AM123" s="1465"/>
      <c r="AN123" s="1370"/>
      <c r="AO123" s="31"/>
      <c r="AP123" s="1465"/>
      <c r="AQ123" s="1324"/>
      <c r="AR123" s="1325" t="s">
        <v>2493</v>
      </c>
      <c r="AS123" s="1465"/>
      <c r="AT123" s="1370"/>
      <c r="AU123" s="1371"/>
      <c r="AV123" s="1465"/>
      <c r="AW123" s="1370"/>
      <c r="AX123" s="31"/>
      <c r="AY123" s="1465"/>
      <c r="AZ123" s="1370"/>
      <c r="BA123" s="31"/>
      <c r="BB123" s="1465"/>
      <c r="BC123" s="1370"/>
      <c r="BD123" s="31"/>
      <c r="BE123" s="1465"/>
      <c r="BF123" s="1370"/>
      <c r="BG123" s="31"/>
      <c r="BH123" s="1465"/>
      <c r="BI123" s="1370"/>
      <c r="BJ123" s="31"/>
      <c r="BK123" s="1465"/>
      <c r="BL123" s="1370"/>
      <c r="BM123" s="31"/>
      <c r="BN123" s="1465"/>
      <c r="BO123" s="1370"/>
      <c r="BP123" s="31"/>
      <c r="BQ123" s="1465"/>
      <c r="BR123" s="1370"/>
      <c r="BS123" s="31"/>
      <c r="BT123" s="1465"/>
      <c r="BU123" s="1370"/>
      <c r="BV123" s="31"/>
      <c r="BW123" s="1465"/>
      <c r="BX123" s="1370"/>
      <c r="BY123" s="31"/>
      <c r="BZ123" s="1465"/>
      <c r="CA123" s="1370"/>
      <c r="CB123" s="31"/>
      <c r="CC123" s="1465"/>
      <c r="CD123" s="1370"/>
      <c r="CE123" s="31"/>
      <c r="CF123" s="1465"/>
      <c r="CG123" s="1370"/>
      <c r="CH123" s="31"/>
      <c r="CI123" s="1465"/>
      <c r="CJ123" s="1370"/>
      <c r="CK123" s="31"/>
      <c r="CL123" s="1273"/>
    </row>
    <row r="124" ht="18.75" customHeight="1">
      <c r="A124" s="1238"/>
      <c r="B124" s="1238"/>
      <c r="C124" s="1370"/>
      <c r="D124" s="1370"/>
      <c r="E124" s="1370"/>
      <c r="F124" s="1370"/>
      <c r="G124" s="1370"/>
      <c r="H124" s="1370"/>
      <c r="I124" s="1370"/>
      <c r="J124" s="1370"/>
      <c r="K124" s="1370"/>
      <c r="L124" s="1370"/>
      <c r="M124" s="1370"/>
      <c r="N124" s="31"/>
      <c r="O124" s="1465"/>
      <c r="P124" s="1370"/>
      <c r="Q124" s="31"/>
      <c r="R124" s="1465"/>
      <c r="S124" s="1370"/>
      <c r="T124" s="31"/>
      <c r="U124" s="1465"/>
      <c r="V124" s="1370"/>
      <c r="W124" s="31"/>
      <c r="X124" s="1465"/>
      <c r="Y124" s="1370"/>
      <c r="Z124" s="31"/>
      <c r="AA124" s="1465"/>
      <c r="AB124" s="1370"/>
      <c r="AC124" s="1371"/>
      <c r="AD124" s="1465"/>
      <c r="AE124" s="1370"/>
      <c r="AF124" s="1371"/>
      <c r="AG124" s="1465"/>
      <c r="AH124" s="1370"/>
      <c r="AI124" s="31"/>
      <c r="AJ124" s="1465"/>
      <c r="AK124" s="1370"/>
      <c r="AL124" s="31"/>
      <c r="AM124" s="1465"/>
      <c r="AN124" s="1370"/>
      <c r="AO124" s="31"/>
      <c r="AP124" s="1465"/>
      <c r="AQ124" s="1346"/>
      <c r="AR124" s="1296" t="s">
        <v>2494</v>
      </c>
      <c r="AS124" s="1465"/>
      <c r="AT124" s="1370"/>
      <c r="AU124" s="1371"/>
      <c r="AV124" s="1465"/>
      <c r="AW124" s="1370"/>
      <c r="AX124" s="31"/>
      <c r="AY124" s="1465"/>
      <c r="AZ124" s="1370"/>
      <c r="BA124" s="31"/>
      <c r="BB124" s="1465"/>
      <c r="BC124" s="1370"/>
      <c r="BD124" s="31"/>
      <c r="BE124" s="1465"/>
      <c r="BF124" s="1370"/>
      <c r="BG124" s="31"/>
      <c r="BH124" s="1465"/>
      <c r="BI124" s="1370"/>
      <c r="BJ124" s="31"/>
      <c r="BK124" s="1465"/>
      <c r="BL124" s="1370"/>
      <c r="BM124" s="31"/>
      <c r="BN124" s="1465"/>
      <c r="BO124" s="1370"/>
      <c r="BP124" s="31"/>
      <c r="BQ124" s="1465"/>
      <c r="BR124" s="1370"/>
      <c r="BS124" s="31"/>
      <c r="BT124" s="1465"/>
      <c r="BU124" s="1370"/>
      <c r="BV124" s="31"/>
      <c r="BW124" s="1465"/>
      <c r="BX124" s="1370"/>
      <c r="BY124" s="31"/>
      <c r="BZ124" s="1465"/>
      <c r="CA124" s="1370"/>
      <c r="CB124" s="31"/>
      <c r="CC124" s="1465"/>
      <c r="CD124" s="1370"/>
      <c r="CE124" s="31"/>
      <c r="CF124" s="1465"/>
      <c r="CG124" s="1370"/>
      <c r="CH124" s="31"/>
      <c r="CI124" s="1465"/>
      <c r="CJ124" s="1370"/>
      <c r="CK124" s="31"/>
      <c r="CL124" s="1273"/>
    </row>
    <row r="125" ht="18.75" customHeight="1">
      <c r="A125" s="1238"/>
      <c r="B125" s="1238"/>
      <c r="C125" s="1370"/>
      <c r="D125" s="1370"/>
      <c r="E125" s="1370"/>
      <c r="F125" s="1370"/>
      <c r="G125" s="1370"/>
      <c r="H125" s="1370"/>
      <c r="I125" s="1370"/>
      <c r="J125" s="1370"/>
      <c r="K125" s="1370"/>
      <c r="L125" s="1370"/>
      <c r="M125" s="1370"/>
      <c r="N125" s="31"/>
      <c r="O125" s="1465"/>
      <c r="P125" s="1370"/>
      <c r="Q125" s="31"/>
      <c r="R125" s="1465"/>
      <c r="S125" s="1370"/>
      <c r="T125" s="31"/>
      <c r="U125" s="1465"/>
      <c r="V125" s="1370"/>
      <c r="W125" s="31"/>
      <c r="X125" s="1465"/>
      <c r="Y125" s="1370"/>
      <c r="Z125" s="31"/>
      <c r="AA125" s="1465"/>
      <c r="AB125" s="1370"/>
      <c r="AC125" s="1371"/>
      <c r="AD125" s="1465"/>
      <c r="AE125" s="1370"/>
      <c r="AF125" s="1371"/>
      <c r="AG125" s="1465"/>
      <c r="AH125" s="1370"/>
      <c r="AI125" s="31"/>
      <c r="AJ125" s="1465"/>
      <c r="AK125" s="1370"/>
      <c r="AL125" s="31"/>
      <c r="AM125" s="1465"/>
      <c r="AN125" s="1370"/>
      <c r="AO125" s="31"/>
      <c r="AP125" s="1465"/>
      <c r="AQ125" s="1324"/>
      <c r="AR125" s="1325" t="s">
        <v>2495</v>
      </c>
      <c r="AS125" s="1465"/>
      <c r="AT125" s="1370"/>
      <c r="AU125" s="1371"/>
      <c r="AV125" s="1465"/>
      <c r="AW125" s="1370"/>
      <c r="AX125" s="31"/>
      <c r="AY125" s="1465"/>
      <c r="AZ125" s="1370"/>
      <c r="BA125" s="31"/>
      <c r="BB125" s="1465"/>
      <c r="BC125" s="1370"/>
      <c r="BD125" s="31"/>
      <c r="BE125" s="1465"/>
      <c r="BF125" s="1370"/>
      <c r="BG125" s="31"/>
      <c r="BH125" s="1465"/>
      <c r="BI125" s="1370"/>
      <c r="BJ125" s="31"/>
      <c r="BK125" s="1465"/>
      <c r="BL125" s="1370"/>
      <c r="BM125" s="31"/>
      <c r="BN125" s="1465"/>
      <c r="BO125" s="1370"/>
      <c r="BP125" s="31"/>
      <c r="BQ125" s="1465"/>
      <c r="BR125" s="1370"/>
      <c r="BS125" s="31"/>
      <c r="BT125" s="1465"/>
      <c r="BU125" s="1370"/>
      <c r="BV125" s="31"/>
      <c r="BW125" s="1465"/>
      <c r="BX125" s="1370"/>
      <c r="BY125" s="31"/>
      <c r="BZ125" s="1465"/>
      <c r="CA125" s="1370"/>
      <c r="CB125" s="31"/>
      <c r="CC125" s="1465"/>
      <c r="CD125" s="1370"/>
      <c r="CE125" s="31"/>
      <c r="CF125" s="1465"/>
      <c r="CG125" s="1370"/>
      <c r="CH125" s="31"/>
      <c r="CI125" s="1465"/>
      <c r="CJ125" s="1370"/>
      <c r="CK125" s="31"/>
      <c r="CL125" s="1273"/>
    </row>
    <row r="126" ht="18.75" customHeight="1">
      <c r="A126" s="1238"/>
      <c r="B126" s="1238"/>
      <c r="C126" s="1370"/>
      <c r="D126" s="1370"/>
      <c r="E126" s="1370"/>
      <c r="F126" s="1370"/>
      <c r="G126" s="1370"/>
      <c r="H126" s="1370"/>
      <c r="I126" s="1370"/>
      <c r="J126" s="1370"/>
      <c r="K126" s="1370"/>
      <c r="L126" s="1370"/>
      <c r="M126" s="1370"/>
      <c r="N126" s="31"/>
      <c r="O126" s="1465"/>
      <c r="P126" s="1370"/>
      <c r="Q126" s="31"/>
      <c r="R126" s="1465"/>
      <c r="S126" s="1370"/>
      <c r="T126" s="31"/>
      <c r="U126" s="1465"/>
      <c r="V126" s="1370"/>
      <c r="W126" s="31"/>
      <c r="X126" s="1465"/>
      <c r="Y126" s="1370"/>
      <c r="Z126" s="31"/>
      <c r="AA126" s="1465"/>
      <c r="AB126" s="1370"/>
      <c r="AC126" s="1371"/>
      <c r="AD126" s="1465"/>
      <c r="AE126" s="1370"/>
      <c r="AF126" s="1371"/>
      <c r="AG126" s="1465"/>
      <c r="AH126" s="1370"/>
      <c r="AI126" s="31"/>
      <c r="AJ126" s="1465"/>
      <c r="AK126" s="1370"/>
      <c r="AL126" s="31"/>
      <c r="AM126" s="1465"/>
      <c r="AN126" s="1370"/>
      <c r="AO126" s="31"/>
      <c r="AP126" s="1465"/>
      <c r="AQ126" s="1346"/>
      <c r="AR126" s="1296" t="s">
        <v>2495</v>
      </c>
      <c r="AS126" s="1465"/>
      <c r="AT126" s="1370"/>
      <c r="AU126" s="1371"/>
      <c r="AV126" s="1465"/>
      <c r="AW126" s="1370"/>
      <c r="AX126" s="31"/>
      <c r="AY126" s="1465"/>
      <c r="AZ126" s="1370"/>
      <c r="BA126" s="31"/>
      <c r="BB126" s="1465"/>
      <c r="BC126" s="1370"/>
      <c r="BD126" s="31"/>
      <c r="BE126" s="1465"/>
      <c r="BF126" s="1370"/>
      <c r="BG126" s="31"/>
      <c r="BH126" s="1465"/>
      <c r="BI126" s="1370"/>
      <c r="BJ126" s="31"/>
      <c r="BK126" s="1465"/>
      <c r="BL126" s="1370"/>
      <c r="BM126" s="31"/>
      <c r="BN126" s="1465"/>
      <c r="BO126" s="1370"/>
      <c r="BP126" s="31"/>
      <c r="BQ126" s="1465"/>
      <c r="BR126" s="1370"/>
      <c r="BS126" s="31"/>
      <c r="BT126" s="1465"/>
      <c r="BU126" s="1370"/>
      <c r="BV126" s="31"/>
      <c r="BW126" s="1465"/>
      <c r="BX126" s="1370"/>
      <c r="BY126" s="31"/>
      <c r="BZ126" s="1465"/>
      <c r="CA126" s="1370"/>
      <c r="CB126" s="31"/>
      <c r="CC126" s="1465"/>
      <c r="CD126" s="1370"/>
      <c r="CE126" s="31"/>
      <c r="CF126" s="1465"/>
      <c r="CG126" s="1370"/>
      <c r="CH126" s="31"/>
      <c r="CI126" s="1465"/>
      <c r="CJ126" s="1370"/>
      <c r="CK126" s="31"/>
      <c r="CL126" s="1273"/>
    </row>
    <row r="127" ht="18.75" customHeight="1">
      <c r="A127" s="1238"/>
      <c r="B127" s="1238"/>
      <c r="C127" s="1370"/>
      <c r="D127" s="1370"/>
      <c r="E127" s="1370"/>
      <c r="F127" s="1370"/>
      <c r="G127" s="1370"/>
      <c r="H127" s="1370"/>
      <c r="I127" s="1370"/>
      <c r="J127" s="1370"/>
      <c r="K127" s="1370"/>
      <c r="L127" s="1370"/>
      <c r="M127" s="1370"/>
      <c r="N127" s="31"/>
      <c r="O127" s="1465"/>
      <c r="P127" s="1370"/>
      <c r="Q127" s="31"/>
      <c r="R127" s="1465"/>
      <c r="S127" s="1370"/>
      <c r="T127" s="31"/>
      <c r="U127" s="1465"/>
      <c r="V127" s="1370"/>
      <c r="W127" s="31"/>
      <c r="X127" s="1465"/>
      <c r="Y127" s="1370"/>
      <c r="Z127" s="31"/>
      <c r="AA127" s="1465"/>
      <c r="AB127" s="1370"/>
      <c r="AC127" s="1371"/>
      <c r="AD127" s="1465"/>
      <c r="AE127" s="1370"/>
      <c r="AF127" s="1371"/>
      <c r="AG127" s="1465"/>
      <c r="AH127" s="1370"/>
      <c r="AI127" s="31"/>
      <c r="AJ127" s="1465"/>
      <c r="AK127" s="1370"/>
      <c r="AL127" s="31"/>
      <c r="AM127" s="1465"/>
      <c r="AN127" s="1370"/>
      <c r="AO127" s="31"/>
      <c r="AP127" s="1465"/>
      <c r="AQ127" s="1324"/>
      <c r="AR127" s="1325" t="s">
        <v>2496</v>
      </c>
      <c r="AS127" s="1465"/>
      <c r="AT127" s="1370"/>
      <c r="AU127" s="1371"/>
      <c r="AV127" s="1465"/>
      <c r="AW127" s="1370"/>
      <c r="AX127" s="31"/>
      <c r="AY127" s="1465"/>
      <c r="AZ127" s="1370"/>
      <c r="BA127" s="31"/>
      <c r="BB127" s="1465"/>
      <c r="BC127" s="1370"/>
      <c r="BD127" s="31"/>
      <c r="BE127" s="1465"/>
      <c r="BF127" s="1370"/>
      <c r="BG127" s="31"/>
      <c r="BH127" s="1465"/>
      <c r="BI127" s="1370"/>
      <c r="BJ127" s="31"/>
      <c r="BK127" s="1465"/>
      <c r="BL127" s="1370"/>
      <c r="BM127" s="31"/>
      <c r="BN127" s="1465"/>
      <c r="BO127" s="1370"/>
      <c r="BP127" s="31"/>
      <c r="BQ127" s="1465"/>
      <c r="BR127" s="1370"/>
      <c r="BS127" s="31"/>
      <c r="BT127" s="1465"/>
      <c r="BU127" s="1370"/>
      <c r="BV127" s="31"/>
      <c r="BW127" s="1465"/>
      <c r="BX127" s="1370"/>
      <c r="BY127" s="31"/>
      <c r="BZ127" s="1465"/>
      <c r="CA127" s="1370"/>
      <c r="CB127" s="31"/>
      <c r="CC127" s="1465"/>
      <c r="CD127" s="1370"/>
      <c r="CE127" s="31"/>
      <c r="CF127" s="1465"/>
      <c r="CG127" s="1370"/>
      <c r="CH127" s="31"/>
      <c r="CI127" s="1465"/>
      <c r="CJ127" s="1370"/>
      <c r="CK127" s="31"/>
      <c r="CL127" s="1273"/>
    </row>
    <row r="128" ht="18.75" customHeight="1">
      <c r="A128" s="1238"/>
      <c r="B128" s="1238"/>
      <c r="C128" s="1370"/>
      <c r="D128" s="1370"/>
      <c r="E128" s="1370"/>
      <c r="F128" s="1370"/>
      <c r="G128" s="1370"/>
      <c r="H128" s="1370"/>
      <c r="I128" s="1370"/>
      <c r="J128" s="1370"/>
      <c r="K128" s="1370"/>
      <c r="L128" s="1370"/>
      <c r="M128" s="1370"/>
      <c r="N128" s="31"/>
      <c r="O128" s="1465"/>
      <c r="P128" s="1370"/>
      <c r="Q128" s="31"/>
      <c r="R128" s="1465"/>
      <c r="S128" s="1370"/>
      <c r="T128" s="31"/>
      <c r="U128" s="1465"/>
      <c r="V128" s="1370"/>
      <c r="W128" s="31"/>
      <c r="X128" s="1465"/>
      <c r="Y128" s="1370"/>
      <c r="Z128" s="31"/>
      <c r="AA128" s="1465"/>
      <c r="AB128" s="1370"/>
      <c r="AC128" s="1371"/>
      <c r="AD128" s="1465"/>
      <c r="AE128" s="1370"/>
      <c r="AF128" s="1371"/>
      <c r="AG128" s="1465"/>
      <c r="AH128" s="1370"/>
      <c r="AI128" s="31"/>
      <c r="AJ128" s="1465"/>
      <c r="AK128" s="1370"/>
      <c r="AL128" s="31"/>
      <c r="AM128" s="1465"/>
      <c r="AN128" s="1370"/>
      <c r="AO128" s="31"/>
      <c r="AP128" s="1465"/>
      <c r="AQ128" s="1346"/>
      <c r="AR128" s="1296" t="s">
        <v>2496</v>
      </c>
      <c r="AS128" s="1465"/>
      <c r="AT128" s="1370"/>
      <c r="AU128" s="1371"/>
      <c r="AV128" s="1465"/>
      <c r="AW128" s="1370"/>
      <c r="AX128" s="31"/>
      <c r="AY128" s="1465"/>
      <c r="AZ128" s="1370"/>
      <c r="BA128" s="31"/>
      <c r="BB128" s="1465"/>
      <c r="BC128" s="1370"/>
      <c r="BD128" s="31"/>
      <c r="BE128" s="1465"/>
      <c r="BF128" s="1370"/>
      <c r="BG128" s="31"/>
      <c r="BH128" s="1465"/>
      <c r="BI128" s="1370"/>
      <c r="BJ128" s="31"/>
      <c r="BK128" s="1465"/>
      <c r="BL128" s="1370"/>
      <c r="BM128" s="31"/>
      <c r="BN128" s="1465"/>
      <c r="BO128" s="1370"/>
      <c r="BP128" s="31"/>
      <c r="BQ128" s="1465"/>
      <c r="BR128" s="1370"/>
      <c r="BS128" s="31"/>
      <c r="BT128" s="1465"/>
      <c r="BU128" s="1370"/>
      <c r="BV128" s="31"/>
      <c r="BW128" s="1465"/>
      <c r="BX128" s="1370"/>
      <c r="BY128" s="31"/>
      <c r="BZ128" s="1465"/>
      <c r="CA128" s="1370"/>
      <c r="CB128" s="31"/>
      <c r="CC128" s="1465"/>
      <c r="CD128" s="1370"/>
      <c r="CE128" s="31"/>
      <c r="CF128" s="1465"/>
      <c r="CG128" s="1370"/>
      <c r="CH128" s="31"/>
      <c r="CI128" s="1465"/>
      <c r="CJ128" s="1370"/>
      <c r="CK128" s="31"/>
      <c r="CL128" s="1273"/>
    </row>
    <row r="129" ht="18.75" customHeight="1">
      <c r="A129" s="1238"/>
      <c r="B129" s="1238"/>
      <c r="C129" s="1370"/>
      <c r="D129" s="1370"/>
      <c r="E129" s="1370"/>
      <c r="F129" s="1370"/>
      <c r="G129" s="1370"/>
      <c r="H129" s="1370"/>
      <c r="I129" s="1370"/>
      <c r="J129" s="1370"/>
      <c r="K129" s="1370"/>
      <c r="L129" s="1370"/>
      <c r="M129" s="1370"/>
      <c r="N129" s="31"/>
      <c r="O129" s="1465"/>
      <c r="P129" s="1370"/>
      <c r="Q129" s="31"/>
      <c r="R129" s="1465"/>
      <c r="S129" s="1370"/>
      <c r="T129" s="31"/>
      <c r="U129" s="1465"/>
      <c r="V129" s="1370"/>
      <c r="W129" s="31"/>
      <c r="X129" s="1465"/>
      <c r="Y129" s="1370"/>
      <c r="Z129" s="31"/>
      <c r="AA129" s="1465"/>
      <c r="AB129" s="1370"/>
      <c r="AC129" s="1371"/>
      <c r="AD129" s="1465"/>
      <c r="AE129" s="1370"/>
      <c r="AF129" s="1371"/>
      <c r="AG129" s="1465"/>
      <c r="AH129" s="1370"/>
      <c r="AI129" s="31"/>
      <c r="AJ129" s="1465"/>
      <c r="AK129" s="1370"/>
      <c r="AL129" s="31"/>
      <c r="AM129" s="1465"/>
      <c r="AN129" s="1370"/>
      <c r="AO129" s="31"/>
      <c r="AP129" s="1465"/>
      <c r="AQ129" s="1324"/>
      <c r="AR129" s="1325" t="s">
        <v>2497</v>
      </c>
      <c r="AS129" s="1465"/>
      <c r="AT129" s="1370"/>
      <c r="AU129" s="1371"/>
      <c r="AV129" s="1465"/>
      <c r="AW129" s="1370"/>
      <c r="AX129" s="31"/>
      <c r="AY129" s="1465"/>
      <c r="AZ129" s="1370"/>
      <c r="BA129" s="31"/>
      <c r="BB129" s="1465"/>
      <c r="BC129" s="1370"/>
      <c r="BD129" s="31"/>
      <c r="BE129" s="1465"/>
      <c r="BF129" s="1370"/>
      <c r="BG129" s="31"/>
      <c r="BH129" s="1465"/>
      <c r="BI129" s="1370"/>
      <c r="BJ129" s="31"/>
      <c r="BK129" s="1465"/>
      <c r="BL129" s="1370"/>
      <c r="BM129" s="31"/>
      <c r="BN129" s="1465"/>
      <c r="BO129" s="1370"/>
      <c r="BP129" s="31"/>
      <c r="BQ129" s="1465"/>
      <c r="BR129" s="1370"/>
      <c r="BS129" s="31"/>
      <c r="BT129" s="1465"/>
      <c r="BU129" s="1370"/>
      <c r="BV129" s="31"/>
      <c r="BW129" s="1465"/>
      <c r="BX129" s="1370"/>
      <c r="BY129" s="31"/>
      <c r="BZ129" s="1465"/>
      <c r="CA129" s="1370"/>
      <c r="CB129" s="31"/>
      <c r="CC129" s="1465"/>
      <c r="CD129" s="1370"/>
      <c r="CE129" s="31"/>
      <c r="CF129" s="1465"/>
      <c r="CG129" s="1370"/>
      <c r="CH129" s="31"/>
      <c r="CI129" s="1465"/>
      <c r="CJ129" s="1370"/>
      <c r="CK129" s="31"/>
      <c r="CL129" s="1273"/>
    </row>
    <row r="130" ht="18.75" customHeight="1">
      <c r="A130" s="1238"/>
      <c r="B130" s="1238"/>
      <c r="C130" s="1370"/>
      <c r="D130" s="1370"/>
      <c r="E130" s="1370"/>
      <c r="F130" s="1370"/>
      <c r="G130" s="1370"/>
      <c r="H130" s="1370"/>
      <c r="I130" s="1370"/>
      <c r="J130" s="1370"/>
      <c r="K130" s="1370"/>
      <c r="L130" s="1370"/>
      <c r="M130" s="1370"/>
      <c r="N130" s="31"/>
      <c r="O130" s="1465"/>
      <c r="P130" s="1370"/>
      <c r="Q130" s="31"/>
      <c r="R130" s="1465"/>
      <c r="S130" s="1370"/>
      <c r="T130" s="31"/>
      <c r="U130" s="1465"/>
      <c r="V130" s="1370"/>
      <c r="W130" s="31"/>
      <c r="X130" s="1465"/>
      <c r="Y130" s="1370"/>
      <c r="Z130" s="31"/>
      <c r="AA130" s="1465"/>
      <c r="AB130" s="1370"/>
      <c r="AC130" s="1371"/>
      <c r="AD130" s="1465"/>
      <c r="AE130" s="1370"/>
      <c r="AF130" s="1371"/>
      <c r="AG130" s="1465"/>
      <c r="AH130" s="1370"/>
      <c r="AI130" s="31"/>
      <c r="AJ130" s="1465"/>
      <c r="AK130" s="1370"/>
      <c r="AL130" s="31"/>
      <c r="AM130" s="1465"/>
      <c r="AN130" s="1370"/>
      <c r="AO130" s="31"/>
      <c r="AP130" s="1465"/>
      <c r="AQ130" s="1324"/>
      <c r="AR130" s="1325" t="s">
        <v>1976</v>
      </c>
      <c r="AS130" s="1465"/>
      <c r="AT130" s="1370"/>
      <c r="AU130" s="1371"/>
      <c r="AV130" s="1465"/>
      <c r="AW130" s="1370"/>
      <c r="AX130" s="31"/>
      <c r="AY130" s="1465"/>
      <c r="AZ130" s="1370"/>
      <c r="BA130" s="31"/>
      <c r="BB130" s="1465"/>
      <c r="BC130" s="1370"/>
      <c r="BD130" s="31"/>
      <c r="BE130" s="1465"/>
      <c r="BF130" s="1370"/>
      <c r="BG130" s="31"/>
      <c r="BH130" s="1465"/>
      <c r="BI130" s="1370"/>
      <c r="BJ130" s="31"/>
      <c r="BK130" s="1465"/>
      <c r="BL130" s="1370"/>
      <c r="BM130" s="31"/>
      <c r="BN130" s="1465"/>
      <c r="BO130" s="1370"/>
      <c r="BP130" s="31"/>
      <c r="BQ130" s="1465"/>
      <c r="BR130" s="1370"/>
      <c r="BS130" s="31"/>
      <c r="BT130" s="1465"/>
      <c r="BU130" s="1370"/>
      <c r="BV130" s="31"/>
      <c r="BW130" s="1465"/>
      <c r="BX130" s="1370"/>
      <c r="BY130" s="31"/>
      <c r="BZ130" s="1465"/>
      <c r="CA130" s="1370"/>
      <c r="CB130" s="31"/>
      <c r="CC130" s="1465"/>
      <c r="CD130" s="1370"/>
      <c r="CE130" s="31"/>
      <c r="CF130" s="1465"/>
      <c r="CG130" s="1370"/>
      <c r="CH130" s="31"/>
      <c r="CI130" s="1465"/>
      <c r="CJ130" s="1370"/>
      <c r="CK130" s="31"/>
      <c r="CL130" s="1273"/>
    </row>
    <row r="131" ht="18.75" customHeight="1">
      <c r="A131" s="1238"/>
      <c r="B131" s="1238"/>
      <c r="C131" s="1370"/>
      <c r="D131" s="1370"/>
      <c r="E131" s="1370"/>
      <c r="F131" s="1370"/>
      <c r="G131" s="1370"/>
      <c r="H131" s="1370"/>
      <c r="I131" s="1370"/>
      <c r="J131" s="1370"/>
      <c r="K131" s="1370"/>
      <c r="L131" s="1370"/>
      <c r="M131" s="1370"/>
      <c r="N131" s="31"/>
      <c r="O131" s="1465"/>
      <c r="P131" s="1370"/>
      <c r="Q131" s="31"/>
      <c r="R131" s="1465"/>
      <c r="S131" s="1370"/>
      <c r="T131" s="31"/>
      <c r="U131" s="1465"/>
      <c r="V131" s="1370"/>
      <c r="W131" s="31"/>
      <c r="X131" s="1465"/>
      <c r="Y131" s="1370"/>
      <c r="Z131" s="31"/>
      <c r="AA131" s="1465"/>
      <c r="AB131" s="1370"/>
      <c r="AC131" s="1371"/>
      <c r="AD131" s="1465"/>
      <c r="AE131" s="1370"/>
      <c r="AF131" s="1371"/>
      <c r="AG131" s="1465"/>
      <c r="AH131" s="1370"/>
      <c r="AI131" s="31"/>
      <c r="AJ131" s="1465"/>
      <c r="AK131" s="1370"/>
      <c r="AL131" s="31"/>
      <c r="AM131" s="1465"/>
      <c r="AN131" s="1370"/>
      <c r="AO131" s="31"/>
      <c r="AP131" s="1465"/>
      <c r="AQ131" s="1346"/>
      <c r="AR131" s="1296" t="s">
        <v>2498</v>
      </c>
      <c r="AS131" s="1465"/>
      <c r="AT131" s="1370"/>
      <c r="AU131" s="1371"/>
      <c r="AV131" s="1465"/>
      <c r="AW131" s="1370"/>
      <c r="AX131" s="31"/>
      <c r="AY131" s="1465"/>
      <c r="AZ131" s="1370"/>
      <c r="BA131" s="31"/>
      <c r="BB131" s="1465"/>
      <c r="BC131" s="1370"/>
      <c r="BD131" s="31"/>
      <c r="BE131" s="1465"/>
      <c r="BF131" s="1370"/>
      <c r="BG131" s="31"/>
      <c r="BH131" s="1465"/>
      <c r="BI131" s="1370"/>
      <c r="BJ131" s="31"/>
      <c r="BK131" s="1465"/>
      <c r="BL131" s="1370"/>
      <c r="BM131" s="31"/>
      <c r="BN131" s="1465"/>
      <c r="BO131" s="1370"/>
      <c r="BP131" s="31"/>
      <c r="BQ131" s="1465"/>
      <c r="BR131" s="1370"/>
      <c r="BS131" s="31"/>
      <c r="BT131" s="1465"/>
      <c r="BU131" s="1370"/>
      <c r="BV131" s="31"/>
      <c r="BW131" s="1465"/>
      <c r="BX131" s="1370"/>
      <c r="BY131" s="31"/>
      <c r="BZ131" s="1465"/>
      <c r="CA131" s="1370"/>
      <c r="CB131" s="31"/>
      <c r="CC131" s="1465"/>
      <c r="CD131" s="1370"/>
      <c r="CE131" s="31"/>
      <c r="CF131" s="1465"/>
      <c r="CG131" s="1370"/>
      <c r="CH131" s="31"/>
      <c r="CI131" s="1465"/>
      <c r="CJ131" s="1370"/>
      <c r="CK131" s="31"/>
      <c r="CL131" s="1273"/>
    </row>
    <row r="132" ht="18.75" customHeight="1">
      <c r="A132" s="1238"/>
      <c r="B132" s="1238"/>
      <c r="C132" s="1370"/>
      <c r="D132" s="1370"/>
      <c r="E132" s="1370"/>
      <c r="F132" s="1370"/>
      <c r="G132" s="1370"/>
      <c r="H132" s="1370"/>
      <c r="I132" s="1370"/>
      <c r="J132" s="1370"/>
      <c r="K132" s="1370"/>
      <c r="L132" s="1370"/>
      <c r="M132" s="1370"/>
      <c r="N132" s="31"/>
      <c r="O132" s="1465"/>
      <c r="P132" s="1370"/>
      <c r="Q132" s="31"/>
      <c r="R132" s="1465"/>
      <c r="S132" s="1370"/>
      <c r="T132" s="31"/>
      <c r="U132" s="1465"/>
      <c r="V132" s="1370"/>
      <c r="W132" s="31"/>
      <c r="X132" s="1465"/>
      <c r="Y132" s="1370"/>
      <c r="Z132" s="31"/>
      <c r="AA132" s="1465"/>
      <c r="AB132" s="1370"/>
      <c r="AC132" s="1371"/>
      <c r="AD132" s="1465"/>
      <c r="AE132" s="1370"/>
      <c r="AF132" s="1371"/>
      <c r="AG132" s="1465"/>
      <c r="AH132" s="1370"/>
      <c r="AI132" s="31"/>
      <c r="AJ132" s="1465"/>
      <c r="AK132" s="1370"/>
      <c r="AL132" s="31"/>
      <c r="AM132" s="1465"/>
      <c r="AN132" s="1370"/>
      <c r="AO132" s="31"/>
      <c r="AP132" s="1465"/>
      <c r="AQ132" s="1324"/>
      <c r="AR132" s="1325" t="s">
        <v>2499</v>
      </c>
      <c r="AS132" s="1465"/>
      <c r="AT132" s="1370"/>
      <c r="AU132" s="1371"/>
      <c r="AV132" s="1465"/>
      <c r="AW132" s="1370"/>
      <c r="AX132" s="31"/>
      <c r="AY132" s="1465"/>
      <c r="AZ132" s="1370"/>
      <c r="BA132" s="31"/>
      <c r="BB132" s="1465"/>
      <c r="BC132" s="1370"/>
      <c r="BD132" s="31"/>
      <c r="BE132" s="1465"/>
      <c r="BF132" s="1370"/>
      <c r="BG132" s="31"/>
      <c r="BH132" s="1465"/>
      <c r="BI132" s="1370"/>
      <c r="BJ132" s="31"/>
      <c r="BK132" s="1465"/>
      <c r="BL132" s="1370"/>
      <c r="BM132" s="31"/>
      <c r="BN132" s="1465"/>
      <c r="BO132" s="1370"/>
      <c r="BP132" s="31"/>
      <c r="BQ132" s="1465"/>
      <c r="BR132" s="1370"/>
      <c r="BS132" s="31"/>
      <c r="BT132" s="1465"/>
      <c r="BU132" s="1370"/>
      <c r="BV132" s="31"/>
      <c r="BW132" s="1465"/>
      <c r="BX132" s="1370"/>
      <c r="BY132" s="31"/>
      <c r="BZ132" s="1465"/>
      <c r="CA132" s="1370"/>
      <c r="CB132" s="31"/>
      <c r="CC132" s="1465"/>
      <c r="CD132" s="1370"/>
      <c r="CE132" s="31"/>
      <c r="CF132" s="1465"/>
      <c r="CG132" s="1370"/>
      <c r="CH132" s="31"/>
      <c r="CI132" s="1465"/>
      <c r="CJ132" s="1370"/>
      <c r="CK132" s="31"/>
      <c r="CL132" s="1273"/>
    </row>
    <row r="133" ht="18.75" customHeight="1">
      <c r="A133" s="1238"/>
      <c r="B133" s="1238"/>
      <c r="C133" s="1370"/>
      <c r="D133" s="1370"/>
      <c r="E133" s="1370"/>
      <c r="F133" s="1370"/>
      <c r="G133" s="1370"/>
      <c r="H133" s="1370"/>
      <c r="I133" s="1370"/>
      <c r="J133" s="1370"/>
      <c r="K133" s="1370"/>
      <c r="L133" s="1370"/>
      <c r="M133" s="1370"/>
      <c r="N133" s="31"/>
      <c r="O133" s="1465"/>
      <c r="P133" s="1370"/>
      <c r="Q133" s="31"/>
      <c r="R133" s="1465"/>
      <c r="S133" s="1370"/>
      <c r="T133" s="31"/>
      <c r="U133" s="1465"/>
      <c r="V133" s="1370"/>
      <c r="W133" s="31"/>
      <c r="X133" s="1465"/>
      <c r="Y133" s="1370"/>
      <c r="Z133" s="31"/>
      <c r="AA133" s="1465"/>
      <c r="AB133" s="1370"/>
      <c r="AC133" s="1371"/>
      <c r="AD133" s="1465"/>
      <c r="AE133" s="1370"/>
      <c r="AF133" s="1371"/>
      <c r="AG133" s="1465"/>
      <c r="AH133" s="1370"/>
      <c r="AI133" s="31"/>
      <c r="AJ133" s="1465"/>
      <c r="AK133" s="1370"/>
      <c r="AL133" s="31"/>
      <c r="AM133" s="1465"/>
      <c r="AN133" s="1370"/>
      <c r="AO133" s="31"/>
      <c r="AP133" s="1465"/>
      <c r="AQ133" s="1346"/>
      <c r="AR133" s="1296" t="s">
        <v>2500</v>
      </c>
      <c r="AS133" s="1465"/>
      <c r="AT133" s="1370"/>
      <c r="AU133" s="1371"/>
      <c r="AV133" s="1465"/>
      <c r="AW133" s="1370"/>
      <c r="AX133" s="31"/>
      <c r="AY133" s="1465"/>
      <c r="AZ133" s="1370"/>
      <c r="BA133" s="31"/>
      <c r="BB133" s="1465"/>
      <c r="BC133" s="1370"/>
      <c r="BD133" s="31"/>
      <c r="BE133" s="1465"/>
      <c r="BF133" s="1370"/>
      <c r="BG133" s="31"/>
      <c r="BH133" s="1465"/>
      <c r="BI133" s="1370"/>
      <c r="BJ133" s="31"/>
      <c r="BK133" s="1465"/>
      <c r="BL133" s="1370"/>
      <c r="BM133" s="31"/>
      <c r="BN133" s="1465"/>
      <c r="BO133" s="1370"/>
      <c r="BP133" s="31"/>
      <c r="BQ133" s="1465"/>
      <c r="BR133" s="1370"/>
      <c r="BS133" s="31"/>
      <c r="BT133" s="1465"/>
      <c r="BU133" s="1370"/>
      <c r="BV133" s="31"/>
      <c r="BW133" s="1465"/>
      <c r="BX133" s="1370"/>
      <c r="BY133" s="31"/>
      <c r="BZ133" s="1465"/>
      <c r="CA133" s="1370"/>
      <c r="CB133" s="31"/>
      <c r="CC133" s="1465"/>
      <c r="CD133" s="1370"/>
      <c r="CE133" s="31"/>
      <c r="CF133" s="1465"/>
      <c r="CG133" s="1370"/>
      <c r="CH133" s="31"/>
      <c r="CI133" s="1465"/>
      <c r="CJ133" s="1370"/>
      <c r="CK133" s="31"/>
      <c r="CL133" s="1273"/>
    </row>
    <row r="134" ht="18.75" customHeight="1">
      <c r="A134" s="1238"/>
      <c r="B134" s="1238"/>
      <c r="C134" s="1370"/>
      <c r="D134" s="1370"/>
      <c r="E134" s="1370"/>
      <c r="F134" s="1370"/>
      <c r="G134" s="1370"/>
      <c r="H134" s="1370"/>
      <c r="I134" s="1370"/>
      <c r="J134" s="1370"/>
      <c r="K134" s="1370"/>
      <c r="L134" s="1370"/>
      <c r="M134" s="1370"/>
      <c r="N134" s="31"/>
      <c r="O134" s="1465"/>
      <c r="P134" s="1370"/>
      <c r="Q134" s="31"/>
      <c r="R134" s="1465"/>
      <c r="S134" s="1370"/>
      <c r="T134" s="31"/>
      <c r="U134" s="1465"/>
      <c r="V134" s="1370"/>
      <c r="W134" s="31"/>
      <c r="X134" s="1465"/>
      <c r="Y134" s="1370"/>
      <c r="Z134" s="31"/>
      <c r="AA134" s="1465"/>
      <c r="AB134" s="1370"/>
      <c r="AC134" s="1371"/>
      <c r="AD134" s="1465"/>
      <c r="AE134" s="1370"/>
      <c r="AF134" s="1371"/>
      <c r="AG134" s="1465"/>
      <c r="AH134" s="1370"/>
      <c r="AI134" s="31"/>
      <c r="AJ134" s="1465"/>
      <c r="AK134" s="1370"/>
      <c r="AL134" s="31"/>
      <c r="AM134" s="1465"/>
      <c r="AN134" s="1370"/>
      <c r="AO134" s="31"/>
      <c r="AP134" s="1465"/>
      <c r="AQ134" s="1324"/>
      <c r="AR134" s="1325" t="s">
        <v>2501</v>
      </c>
      <c r="AS134" s="1465"/>
      <c r="AT134" s="1370"/>
      <c r="AU134" s="1371"/>
      <c r="AV134" s="1465"/>
      <c r="AW134" s="1370"/>
      <c r="AX134" s="31"/>
      <c r="AY134" s="1465"/>
      <c r="AZ134" s="1370"/>
      <c r="BA134" s="31"/>
      <c r="BB134" s="1465"/>
      <c r="BC134" s="1370"/>
      <c r="BD134" s="31"/>
      <c r="BE134" s="1465"/>
      <c r="BF134" s="1370"/>
      <c r="BG134" s="31"/>
      <c r="BH134" s="1465"/>
      <c r="BI134" s="1370"/>
      <c r="BJ134" s="31"/>
      <c r="BK134" s="1465"/>
      <c r="BL134" s="1370"/>
      <c r="BM134" s="31"/>
      <c r="BN134" s="1465"/>
      <c r="BO134" s="1370"/>
      <c r="BP134" s="31"/>
      <c r="BQ134" s="1465"/>
      <c r="BR134" s="1370"/>
      <c r="BS134" s="31"/>
      <c r="BT134" s="1465"/>
      <c r="BU134" s="1370"/>
      <c r="BV134" s="31"/>
      <c r="BW134" s="1465"/>
      <c r="BX134" s="1370"/>
      <c r="BY134" s="31"/>
      <c r="BZ134" s="1465"/>
      <c r="CA134" s="1370"/>
      <c r="CB134" s="31"/>
      <c r="CC134" s="1465"/>
      <c r="CD134" s="1370"/>
      <c r="CE134" s="31"/>
      <c r="CF134" s="1465"/>
      <c r="CG134" s="1370"/>
      <c r="CH134" s="31"/>
      <c r="CI134" s="1465"/>
      <c r="CJ134" s="1370"/>
      <c r="CK134" s="31"/>
      <c r="CL134" s="1273"/>
    </row>
    <row r="135" ht="18.75" customHeight="1">
      <c r="A135" s="1238"/>
      <c r="B135" s="1238"/>
      <c r="C135" s="1370"/>
      <c r="D135" s="1370"/>
      <c r="E135" s="1370"/>
      <c r="F135" s="1370"/>
      <c r="G135" s="1370"/>
      <c r="H135" s="1370"/>
      <c r="I135" s="1370"/>
      <c r="J135" s="1370"/>
      <c r="K135" s="1370"/>
      <c r="L135" s="1370"/>
      <c r="M135" s="1370"/>
      <c r="N135" s="31"/>
      <c r="O135" s="1465"/>
      <c r="P135" s="1370"/>
      <c r="Q135" s="31"/>
      <c r="R135" s="1465"/>
      <c r="S135" s="1370"/>
      <c r="T135" s="31"/>
      <c r="U135" s="1465"/>
      <c r="V135" s="1370"/>
      <c r="W135" s="31"/>
      <c r="X135" s="1465"/>
      <c r="Y135" s="1370"/>
      <c r="Z135" s="31"/>
      <c r="AA135" s="1465"/>
      <c r="AB135" s="1370"/>
      <c r="AC135" s="1371"/>
      <c r="AD135" s="1465"/>
      <c r="AE135" s="1370"/>
      <c r="AF135" s="1371"/>
      <c r="AG135" s="1465"/>
      <c r="AH135" s="1370"/>
      <c r="AI135" s="31"/>
      <c r="AJ135" s="1465"/>
      <c r="AK135" s="1370"/>
      <c r="AL135" s="31"/>
      <c r="AM135" s="1465"/>
      <c r="AN135" s="1370"/>
      <c r="AO135" s="31"/>
      <c r="AP135" s="1465"/>
      <c r="AQ135" s="1346"/>
      <c r="AR135" s="1296" t="s">
        <v>2502</v>
      </c>
      <c r="AS135" s="1465"/>
      <c r="AT135" s="1370"/>
      <c r="AU135" s="1371"/>
      <c r="AV135" s="1465"/>
      <c r="AW135" s="1370"/>
      <c r="AX135" s="31"/>
      <c r="AY135" s="1465"/>
      <c r="AZ135" s="1370"/>
      <c r="BA135" s="31"/>
      <c r="BB135" s="1465"/>
      <c r="BC135" s="1370"/>
      <c r="BD135" s="31"/>
      <c r="BE135" s="1465"/>
      <c r="BF135" s="1370"/>
      <c r="BG135" s="31"/>
      <c r="BH135" s="1465"/>
      <c r="BI135" s="1370"/>
      <c r="BJ135" s="31"/>
      <c r="BK135" s="1465"/>
      <c r="BL135" s="1370"/>
      <c r="BM135" s="31"/>
      <c r="BN135" s="1465"/>
      <c r="BO135" s="1370"/>
      <c r="BP135" s="31"/>
      <c r="BQ135" s="1465"/>
      <c r="BR135" s="1370"/>
      <c r="BS135" s="31"/>
      <c r="BT135" s="1465"/>
      <c r="BU135" s="1370"/>
      <c r="BV135" s="31"/>
      <c r="BW135" s="1465"/>
      <c r="BX135" s="1370"/>
      <c r="BY135" s="31"/>
      <c r="BZ135" s="1465"/>
      <c r="CA135" s="1370"/>
      <c r="CB135" s="31"/>
      <c r="CC135" s="1465"/>
      <c r="CD135" s="1370"/>
      <c r="CE135" s="31"/>
      <c r="CF135" s="1465"/>
      <c r="CG135" s="1370"/>
      <c r="CH135" s="31"/>
      <c r="CI135" s="1465"/>
      <c r="CJ135" s="1370"/>
      <c r="CK135" s="31"/>
      <c r="CL135" s="1273"/>
    </row>
    <row r="136" ht="18.75" customHeight="1">
      <c r="A136" s="1238"/>
      <c r="B136" s="1238"/>
      <c r="C136" s="1370"/>
      <c r="D136" s="1370"/>
      <c r="E136" s="1370"/>
      <c r="F136" s="1370"/>
      <c r="G136" s="1370"/>
      <c r="H136" s="1370"/>
      <c r="I136" s="1370"/>
      <c r="J136" s="1370"/>
      <c r="K136" s="1370"/>
      <c r="L136" s="1370"/>
      <c r="M136" s="1370"/>
      <c r="N136" s="31"/>
      <c r="O136" s="1465"/>
      <c r="P136" s="1370"/>
      <c r="Q136" s="31"/>
      <c r="R136" s="1465"/>
      <c r="S136" s="1370"/>
      <c r="T136" s="31"/>
      <c r="U136" s="1465"/>
      <c r="V136" s="1370"/>
      <c r="W136" s="31"/>
      <c r="X136" s="1465"/>
      <c r="Y136" s="1370"/>
      <c r="Z136" s="31"/>
      <c r="AA136" s="1465"/>
      <c r="AB136" s="1370"/>
      <c r="AC136" s="1371"/>
      <c r="AD136" s="1465"/>
      <c r="AE136" s="1370"/>
      <c r="AF136" s="1371"/>
      <c r="AG136" s="1465"/>
      <c r="AH136" s="1370"/>
      <c r="AI136" s="31"/>
      <c r="AJ136" s="1465"/>
      <c r="AK136" s="1370"/>
      <c r="AL136" s="31"/>
      <c r="AM136" s="1465"/>
      <c r="AN136" s="1370"/>
      <c r="AO136" s="31"/>
      <c r="AP136" s="1465"/>
      <c r="AQ136" s="1324"/>
      <c r="AR136" s="1325" t="s">
        <v>2503</v>
      </c>
      <c r="AS136" s="1465"/>
      <c r="AT136" s="1370"/>
      <c r="AU136" s="1371"/>
      <c r="AV136" s="1465"/>
      <c r="AW136" s="1370"/>
      <c r="AX136" s="31"/>
      <c r="AY136" s="1465"/>
      <c r="AZ136" s="1370"/>
      <c r="BA136" s="31"/>
      <c r="BB136" s="1465"/>
      <c r="BC136" s="1370"/>
      <c r="BD136" s="31"/>
      <c r="BE136" s="1465"/>
      <c r="BF136" s="1370"/>
      <c r="BG136" s="31"/>
      <c r="BH136" s="1465"/>
      <c r="BI136" s="1370"/>
      <c r="BJ136" s="31"/>
      <c r="BK136" s="1465"/>
      <c r="BL136" s="1370"/>
      <c r="BM136" s="31"/>
      <c r="BN136" s="1465"/>
      <c r="BO136" s="1370"/>
      <c r="BP136" s="31"/>
      <c r="BQ136" s="1465"/>
      <c r="BR136" s="1370"/>
      <c r="BS136" s="31"/>
      <c r="BT136" s="1465"/>
      <c r="BU136" s="1370"/>
      <c r="BV136" s="31"/>
      <c r="BW136" s="1465"/>
      <c r="BX136" s="1370"/>
      <c r="BY136" s="31"/>
      <c r="BZ136" s="1465"/>
      <c r="CA136" s="1370"/>
      <c r="CB136" s="31"/>
      <c r="CC136" s="1465"/>
      <c r="CD136" s="1370"/>
      <c r="CE136" s="31"/>
      <c r="CF136" s="1465"/>
      <c r="CG136" s="1370"/>
      <c r="CH136" s="31"/>
      <c r="CI136" s="1465"/>
      <c r="CJ136" s="1370"/>
      <c r="CK136" s="31"/>
      <c r="CL136" s="1273"/>
    </row>
    <row r="137" ht="18.75" customHeight="1">
      <c r="A137" s="1238"/>
      <c r="B137" s="1238"/>
      <c r="C137" s="1370"/>
      <c r="D137" s="1370"/>
      <c r="E137" s="1370"/>
      <c r="F137" s="1370"/>
      <c r="G137" s="1370"/>
      <c r="H137" s="1370"/>
      <c r="I137" s="1370"/>
      <c r="J137" s="1370"/>
      <c r="K137" s="1370"/>
      <c r="L137" s="1370"/>
      <c r="M137" s="1370"/>
      <c r="N137" s="31"/>
      <c r="O137" s="1465"/>
      <c r="P137" s="1370"/>
      <c r="Q137" s="31"/>
      <c r="R137" s="1465"/>
      <c r="S137" s="1370"/>
      <c r="T137" s="31"/>
      <c r="U137" s="1465"/>
      <c r="V137" s="1370"/>
      <c r="W137" s="31"/>
      <c r="X137" s="1465"/>
      <c r="Y137" s="1370"/>
      <c r="Z137" s="31"/>
      <c r="AA137" s="1465"/>
      <c r="AB137" s="1370"/>
      <c r="AC137" s="1371"/>
      <c r="AD137" s="1465"/>
      <c r="AE137" s="1370"/>
      <c r="AF137" s="1371"/>
      <c r="AG137" s="1465"/>
      <c r="AH137" s="1370"/>
      <c r="AI137" s="31"/>
      <c r="AJ137" s="1465"/>
      <c r="AK137" s="1370"/>
      <c r="AL137" s="31"/>
      <c r="AM137" s="1465"/>
      <c r="AN137" s="1370"/>
      <c r="AO137" s="31"/>
      <c r="AP137" s="1465"/>
      <c r="AQ137" s="1346"/>
      <c r="AR137" s="1296" t="s">
        <v>2504</v>
      </c>
      <c r="AS137" s="1465"/>
      <c r="AT137" s="1370"/>
      <c r="AU137" s="1371"/>
      <c r="AV137" s="1465"/>
      <c r="AW137" s="1370"/>
      <c r="AX137" s="31"/>
      <c r="AY137" s="1465"/>
      <c r="AZ137" s="1370"/>
      <c r="BA137" s="31"/>
      <c r="BB137" s="1465"/>
      <c r="BC137" s="1370"/>
      <c r="BD137" s="31"/>
      <c r="BE137" s="1465"/>
      <c r="BF137" s="1370"/>
      <c r="BG137" s="31"/>
      <c r="BH137" s="1465"/>
      <c r="BI137" s="1370"/>
      <c r="BJ137" s="31"/>
      <c r="BK137" s="1465"/>
      <c r="BL137" s="1370"/>
      <c r="BM137" s="31"/>
      <c r="BN137" s="1465"/>
      <c r="BO137" s="1370"/>
      <c r="BP137" s="31"/>
      <c r="BQ137" s="1465"/>
      <c r="BR137" s="1370"/>
      <c r="BS137" s="31"/>
      <c r="BT137" s="1465"/>
      <c r="BU137" s="1370"/>
      <c r="BV137" s="31"/>
      <c r="BW137" s="1465"/>
      <c r="BX137" s="1370"/>
      <c r="BY137" s="31"/>
      <c r="BZ137" s="1465"/>
      <c r="CA137" s="1370"/>
      <c r="CB137" s="31"/>
      <c r="CC137" s="1465"/>
      <c r="CD137" s="1370"/>
      <c r="CE137" s="31"/>
      <c r="CF137" s="1465"/>
      <c r="CG137" s="1370"/>
      <c r="CH137" s="31"/>
      <c r="CI137" s="1465"/>
      <c r="CJ137" s="1370"/>
      <c r="CK137" s="31"/>
      <c r="CL137" s="1273"/>
    </row>
    <row r="138" ht="18.75" customHeight="1">
      <c r="A138" s="1238"/>
      <c r="B138" s="1238"/>
      <c r="C138" s="1370"/>
      <c r="D138" s="1370"/>
      <c r="E138" s="1370"/>
      <c r="F138" s="1370"/>
      <c r="G138" s="1370"/>
      <c r="H138" s="1370"/>
      <c r="I138" s="1370"/>
      <c r="J138" s="1370"/>
      <c r="K138" s="1370"/>
      <c r="L138" s="1370"/>
      <c r="M138" s="1370"/>
      <c r="N138" s="31"/>
      <c r="O138" s="1465"/>
      <c r="P138" s="1370"/>
      <c r="Q138" s="31"/>
      <c r="R138" s="1465"/>
      <c r="S138" s="1370"/>
      <c r="T138" s="31"/>
      <c r="U138" s="1465"/>
      <c r="V138" s="1370"/>
      <c r="W138" s="31"/>
      <c r="X138" s="1465"/>
      <c r="Y138" s="1370"/>
      <c r="Z138" s="31"/>
      <c r="AA138" s="1465"/>
      <c r="AB138" s="1370"/>
      <c r="AC138" s="1371"/>
      <c r="AD138" s="1465"/>
      <c r="AE138" s="1370"/>
      <c r="AF138" s="1371"/>
      <c r="AG138" s="1465"/>
      <c r="AH138" s="1370"/>
      <c r="AI138" s="31"/>
      <c r="AJ138" s="1465"/>
      <c r="AK138" s="1370"/>
      <c r="AL138" s="31"/>
      <c r="AM138" s="1465"/>
      <c r="AN138" s="1370"/>
      <c r="AO138" s="31"/>
      <c r="AP138" s="1465"/>
      <c r="AQ138" s="1324"/>
      <c r="AR138" s="1325" t="s">
        <v>2505</v>
      </c>
      <c r="AS138" s="1465"/>
      <c r="AT138" s="1370"/>
      <c r="AU138" s="1371"/>
      <c r="AV138" s="1465"/>
      <c r="AW138" s="1370"/>
      <c r="AX138" s="31"/>
      <c r="AY138" s="1465"/>
      <c r="AZ138" s="1370"/>
      <c r="BA138" s="31"/>
      <c r="BB138" s="1465"/>
      <c r="BC138" s="1370"/>
      <c r="BD138" s="31"/>
      <c r="BE138" s="1465"/>
      <c r="BF138" s="1370"/>
      <c r="BG138" s="31"/>
      <c r="BH138" s="1465"/>
      <c r="BI138" s="1370"/>
      <c r="BJ138" s="31"/>
      <c r="BK138" s="1465"/>
      <c r="BL138" s="1370"/>
      <c r="BM138" s="31"/>
      <c r="BN138" s="1465"/>
      <c r="BO138" s="1370"/>
      <c r="BP138" s="31"/>
      <c r="BQ138" s="1465"/>
      <c r="BR138" s="1370"/>
      <c r="BS138" s="31"/>
      <c r="BT138" s="1465"/>
      <c r="BU138" s="1370"/>
      <c r="BV138" s="31"/>
      <c r="BW138" s="1465"/>
      <c r="BX138" s="1370"/>
      <c r="BY138" s="31"/>
      <c r="BZ138" s="1465"/>
      <c r="CA138" s="1370"/>
      <c r="CB138" s="31"/>
      <c r="CC138" s="1465"/>
      <c r="CD138" s="1370"/>
      <c r="CE138" s="31"/>
      <c r="CF138" s="1465"/>
      <c r="CG138" s="1370"/>
      <c r="CH138" s="31"/>
      <c r="CI138" s="1465"/>
      <c r="CJ138" s="1370"/>
      <c r="CK138" s="31"/>
      <c r="CL138" s="1273"/>
    </row>
    <row r="139" ht="18.75" customHeight="1">
      <c r="A139" s="1238"/>
      <c r="B139" s="1238"/>
      <c r="C139" s="1370"/>
      <c r="D139" s="1370"/>
      <c r="E139" s="1370"/>
      <c r="F139" s="1370"/>
      <c r="G139" s="1370"/>
      <c r="H139" s="1370"/>
      <c r="I139" s="1370"/>
      <c r="J139" s="1370"/>
      <c r="K139" s="1370"/>
      <c r="L139" s="1370"/>
      <c r="M139" s="1370"/>
      <c r="N139" s="31"/>
      <c r="O139" s="1465"/>
      <c r="P139" s="1370"/>
      <c r="Q139" s="31"/>
      <c r="R139" s="1465"/>
      <c r="S139" s="1370"/>
      <c r="T139" s="31"/>
      <c r="U139" s="1465"/>
      <c r="V139" s="1370"/>
      <c r="W139" s="31"/>
      <c r="X139" s="1465"/>
      <c r="Y139" s="1370"/>
      <c r="Z139" s="31"/>
      <c r="AA139" s="1465"/>
      <c r="AB139" s="1370"/>
      <c r="AC139" s="1371"/>
      <c r="AD139" s="1465"/>
      <c r="AE139" s="1370"/>
      <c r="AF139" s="1371"/>
      <c r="AG139" s="1465"/>
      <c r="AH139" s="1370"/>
      <c r="AI139" s="31"/>
      <c r="AJ139" s="1465"/>
      <c r="AK139" s="1370"/>
      <c r="AL139" s="31"/>
      <c r="AM139" s="1465"/>
      <c r="AN139" s="1370"/>
      <c r="AO139" s="31"/>
      <c r="AP139" s="1465"/>
      <c r="AQ139" s="1346"/>
      <c r="AR139" s="1296" t="s">
        <v>2506</v>
      </c>
      <c r="AS139" s="1465"/>
      <c r="AT139" s="1370"/>
      <c r="AU139" s="1371"/>
      <c r="AV139" s="1465"/>
      <c r="AW139" s="1370"/>
      <c r="AX139" s="31"/>
      <c r="AY139" s="1465"/>
      <c r="AZ139" s="1370"/>
      <c r="BA139" s="31"/>
      <c r="BB139" s="1465"/>
      <c r="BC139" s="1370"/>
      <c r="BD139" s="31"/>
      <c r="BE139" s="1465"/>
      <c r="BF139" s="1370"/>
      <c r="BG139" s="31"/>
      <c r="BH139" s="1465"/>
      <c r="BI139" s="1370"/>
      <c r="BJ139" s="31"/>
      <c r="BK139" s="1465"/>
      <c r="BL139" s="1370"/>
      <c r="BM139" s="31"/>
      <c r="BN139" s="1465"/>
      <c r="BO139" s="1370"/>
      <c r="BP139" s="31"/>
      <c r="BQ139" s="1465"/>
      <c r="BR139" s="1370"/>
      <c r="BS139" s="31"/>
      <c r="BT139" s="1465"/>
      <c r="BU139" s="1370"/>
      <c r="BV139" s="31"/>
      <c r="BW139" s="1465"/>
      <c r="BX139" s="1370"/>
      <c r="BY139" s="31"/>
      <c r="BZ139" s="1465"/>
      <c r="CA139" s="1370"/>
      <c r="CB139" s="31"/>
      <c r="CC139" s="1465"/>
      <c r="CD139" s="1370"/>
      <c r="CE139" s="31"/>
      <c r="CF139" s="1465"/>
      <c r="CG139" s="1370"/>
      <c r="CH139" s="31"/>
      <c r="CI139" s="1465"/>
      <c r="CJ139" s="1370"/>
      <c r="CK139" s="31"/>
      <c r="CL139" s="1273"/>
    </row>
    <row r="140" ht="18.75" customHeight="1">
      <c r="A140" s="1238"/>
      <c r="B140" s="1238"/>
      <c r="C140" s="1370"/>
      <c r="D140" s="1370"/>
      <c r="E140" s="1370"/>
      <c r="F140" s="1370"/>
      <c r="G140" s="1370"/>
      <c r="H140" s="1370"/>
      <c r="I140" s="1370"/>
      <c r="J140" s="1370"/>
      <c r="K140" s="1370"/>
      <c r="L140" s="1370"/>
      <c r="M140" s="1370"/>
      <c r="N140" s="31"/>
      <c r="O140" s="1465"/>
      <c r="P140" s="1370"/>
      <c r="Q140" s="31"/>
      <c r="R140" s="1465"/>
      <c r="S140" s="1370"/>
      <c r="T140" s="31"/>
      <c r="U140" s="1465"/>
      <c r="V140" s="1370"/>
      <c r="W140" s="31"/>
      <c r="X140" s="1465"/>
      <c r="Y140" s="1370"/>
      <c r="Z140" s="31"/>
      <c r="AA140" s="1465"/>
      <c r="AB140" s="1370"/>
      <c r="AC140" s="1371"/>
      <c r="AD140" s="1465"/>
      <c r="AE140" s="1370"/>
      <c r="AF140" s="1371"/>
      <c r="AG140" s="1465"/>
      <c r="AH140" s="1370"/>
      <c r="AI140" s="31"/>
      <c r="AJ140" s="1465"/>
      <c r="AK140" s="1370"/>
      <c r="AL140" s="31"/>
      <c r="AM140" s="1465"/>
      <c r="AN140" s="1370"/>
      <c r="AO140" s="31"/>
      <c r="AP140" s="1465"/>
      <c r="AQ140" s="1324"/>
      <c r="AR140" s="1325" t="s">
        <v>2507</v>
      </c>
      <c r="AS140" s="1465"/>
      <c r="AT140" s="1370"/>
      <c r="AU140" s="1371"/>
      <c r="AV140" s="1465"/>
      <c r="AW140" s="1370"/>
      <c r="AX140" s="31"/>
      <c r="AY140" s="1465"/>
      <c r="AZ140" s="1370"/>
      <c r="BA140" s="31"/>
      <c r="BB140" s="1465"/>
      <c r="BC140" s="1370"/>
      <c r="BD140" s="31"/>
      <c r="BE140" s="1465"/>
      <c r="BF140" s="1370"/>
      <c r="BG140" s="31"/>
      <c r="BH140" s="1465"/>
      <c r="BI140" s="1370"/>
      <c r="BJ140" s="31"/>
      <c r="BK140" s="1465"/>
      <c r="BL140" s="1370"/>
      <c r="BM140" s="31"/>
      <c r="BN140" s="1465"/>
      <c r="BO140" s="1370"/>
      <c r="BP140" s="31"/>
      <c r="BQ140" s="1465"/>
      <c r="BR140" s="1370"/>
      <c r="BS140" s="31"/>
      <c r="BT140" s="1465"/>
      <c r="BU140" s="1370"/>
      <c r="BV140" s="31"/>
      <c r="BW140" s="1465"/>
      <c r="BX140" s="1370"/>
      <c r="BY140" s="31"/>
      <c r="BZ140" s="1465"/>
      <c r="CA140" s="1370"/>
      <c r="CB140" s="31"/>
      <c r="CC140" s="1465"/>
      <c r="CD140" s="1370"/>
      <c r="CE140" s="31"/>
      <c r="CF140" s="1465"/>
      <c r="CG140" s="1370"/>
      <c r="CH140" s="31"/>
      <c r="CI140" s="1465"/>
      <c r="CJ140" s="1370"/>
      <c r="CK140" s="31"/>
      <c r="CL140" s="1273"/>
    </row>
    <row r="141" ht="18.75" customHeight="1">
      <c r="A141" s="1238"/>
      <c r="B141" s="1238"/>
      <c r="C141" s="1370"/>
      <c r="D141" s="1370"/>
      <c r="E141" s="1370"/>
      <c r="F141" s="1370"/>
      <c r="G141" s="1370"/>
      <c r="H141" s="1370"/>
      <c r="I141" s="1370"/>
      <c r="J141" s="1370"/>
      <c r="K141" s="1370"/>
      <c r="L141" s="1370"/>
      <c r="M141" s="1370"/>
      <c r="N141" s="31"/>
      <c r="O141" s="1465"/>
      <c r="P141" s="1370"/>
      <c r="Q141" s="31"/>
      <c r="R141" s="1465"/>
      <c r="S141" s="1370"/>
      <c r="T141" s="31"/>
      <c r="U141" s="1465"/>
      <c r="V141" s="1370"/>
      <c r="W141" s="31"/>
      <c r="X141" s="1465"/>
      <c r="Y141" s="1370"/>
      <c r="Z141" s="31"/>
      <c r="AA141" s="1465"/>
      <c r="AB141" s="1370"/>
      <c r="AC141" s="1371"/>
      <c r="AD141" s="1465"/>
      <c r="AE141" s="1370"/>
      <c r="AF141" s="1371"/>
      <c r="AG141" s="1465"/>
      <c r="AH141" s="1370"/>
      <c r="AI141" s="31"/>
      <c r="AJ141" s="1465"/>
      <c r="AK141" s="1370"/>
      <c r="AL141" s="31"/>
      <c r="AM141" s="1465"/>
      <c r="AN141" s="1370"/>
      <c r="AO141" s="31"/>
      <c r="AP141" s="1465"/>
      <c r="AQ141" s="1346"/>
      <c r="AR141" s="1296" t="s">
        <v>2508</v>
      </c>
      <c r="AS141" s="1465"/>
      <c r="AT141" s="1370"/>
      <c r="AU141" s="1371"/>
      <c r="AV141" s="1465"/>
      <c r="AW141" s="1370"/>
      <c r="AX141" s="31"/>
      <c r="AY141" s="1465"/>
      <c r="AZ141" s="1370"/>
      <c r="BA141" s="31"/>
      <c r="BB141" s="1465"/>
      <c r="BC141" s="1370"/>
      <c r="BD141" s="31"/>
      <c r="BE141" s="1465"/>
      <c r="BF141" s="1370"/>
      <c r="BG141" s="31"/>
      <c r="BH141" s="1465"/>
      <c r="BI141" s="1370"/>
      <c r="BJ141" s="31"/>
      <c r="BK141" s="1465"/>
      <c r="BL141" s="1370"/>
      <c r="BM141" s="31"/>
      <c r="BN141" s="1465"/>
      <c r="BO141" s="1370"/>
      <c r="BP141" s="31"/>
      <c r="BQ141" s="1465"/>
      <c r="BR141" s="1370"/>
      <c r="BS141" s="31"/>
      <c r="BT141" s="1465"/>
      <c r="BU141" s="1370"/>
      <c r="BV141" s="31"/>
      <c r="BW141" s="1465"/>
      <c r="BX141" s="1370"/>
      <c r="BY141" s="31"/>
      <c r="BZ141" s="1465"/>
      <c r="CA141" s="1370"/>
      <c r="CB141" s="31"/>
      <c r="CC141" s="1465"/>
      <c r="CD141" s="1370"/>
      <c r="CE141" s="31"/>
      <c r="CF141" s="1465"/>
      <c r="CG141" s="1370"/>
      <c r="CH141" s="31"/>
      <c r="CI141" s="1465"/>
      <c r="CJ141" s="1370"/>
      <c r="CK141" s="31"/>
      <c r="CL141" s="1273"/>
    </row>
    <row r="142" ht="18.75" customHeight="1">
      <c r="A142" s="1238"/>
      <c r="B142" s="1238"/>
      <c r="C142" s="1370"/>
      <c r="D142" s="1370"/>
      <c r="E142" s="1370"/>
      <c r="F142" s="1370"/>
      <c r="G142" s="1370"/>
      <c r="H142" s="1370"/>
      <c r="I142" s="1370"/>
      <c r="J142" s="1370"/>
      <c r="K142" s="1370"/>
      <c r="L142" s="1370"/>
      <c r="M142" s="1370"/>
      <c r="N142" s="31"/>
      <c r="O142" s="1465"/>
      <c r="P142" s="1370"/>
      <c r="Q142" s="31"/>
      <c r="R142" s="1465"/>
      <c r="S142" s="1370"/>
      <c r="T142" s="31"/>
      <c r="U142" s="1465"/>
      <c r="V142" s="1370"/>
      <c r="W142" s="31"/>
      <c r="X142" s="1465"/>
      <c r="Y142" s="1370"/>
      <c r="Z142" s="31"/>
      <c r="AA142" s="1465"/>
      <c r="AB142" s="1370"/>
      <c r="AC142" s="1371"/>
      <c r="AD142" s="1465"/>
      <c r="AE142" s="1370"/>
      <c r="AF142" s="1371"/>
      <c r="AG142" s="1465"/>
      <c r="AH142" s="1370"/>
      <c r="AI142" s="31"/>
      <c r="AJ142" s="1465"/>
      <c r="AK142" s="1370"/>
      <c r="AL142" s="31"/>
      <c r="AM142" s="1465"/>
      <c r="AN142" s="1370"/>
      <c r="AO142" s="31"/>
      <c r="AP142" s="1465"/>
      <c r="AQ142" s="1324"/>
      <c r="AR142" s="1325" t="s">
        <v>2509</v>
      </c>
      <c r="AS142" s="1465"/>
      <c r="AT142" s="1370"/>
      <c r="AU142" s="1371"/>
      <c r="AV142" s="1465"/>
      <c r="AW142" s="1370"/>
      <c r="AX142" s="31"/>
      <c r="AY142" s="1465"/>
      <c r="AZ142" s="1370"/>
      <c r="BA142" s="31"/>
      <c r="BB142" s="1465"/>
      <c r="BC142" s="1370"/>
      <c r="BD142" s="31"/>
      <c r="BE142" s="1465"/>
      <c r="BF142" s="1370"/>
      <c r="BG142" s="31"/>
      <c r="BH142" s="1465"/>
      <c r="BI142" s="1370"/>
      <c r="BJ142" s="31"/>
      <c r="BK142" s="1465"/>
      <c r="BL142" s="1370"/>
      <c r="BM142" s="31"/>
      <c r="BN142" s="1465"/>
      <c r="BO142" s="1370"/>
      <c r="BP142" s="31"/>
      <c r="BQ142" s="1465"/>
      <c r="BR142" s="1370"/>
      <c r="BS142" s="31"/>
      <c r="BT142" s="1465"/>
      <c r="BU142" s="1370"/>
      <c r="BV142" s="31"/>
      <c r="BW142" s="1465"/>
      <c r="BX142" s="1370"/>
      <c r="BY142" s="31"/>
      <c r="BZ142" s="1465"/>
      <c r="CA142" s="1370"/>
      <c r="CB142" s="31"/>
      <c r="CC142" s="1465"/>
      <c r="CD142" s="1370"/>
      <c r="CE142" s="31"/>
      <c r="CF142" s="1465"/>
      <c r="CG142" s="1370"/>
      <c r="CH142" s="31"/>
      <c r="CI142" s="1465"/>
      <c r="CJ142" s="1370"/>
      <c r="CK142" s="31"/>
      <c r="CL142" s="1273"/>
    </row>
    <row r="143" ht="18.75" customHeight="1">
      <c r="A143" s="1238"/>
      <c r="B143" s="1238"/>
      <c r="C143" s="1370"/>
      <c r="D143" s="1370"/>
      <c r="E143" s="1370"/>
      <c r="F143" s="1370"/>
      <c r="G143" s="1370"/>
      <c r="H143" s="1370"/>
      <c r="I143" s="1370"/>
      <c r="J143" s="1370"/>
      <c r="K143" s="1370"/>
      <c r="L143" s="1370"/>
      <c r="M143" s="1370"/>
      <c r="N143" s="31"/>
      <c r="O143" s="1465"/>
      <c r="P143" s="1370"/>
      <c r="Q143" s="31"/>
      <c r="R143" s="1465"/>
      <c r="S143" s="1370"/>
      <c r="T143" s="31"/>
      <c r="U143" s="1465"/>
      <c r="V143" s="1370"/>
      <c r="W143" s="31"/>
      <c r="X143" s="1465"/>
      <c r="Y143" s="1370"/>
      <c r="Z143" s="31"/>
      <c r="AA143" s="1465"/>
      <c r="AB143" s="1370"/>
      <c r="AC143" s="1371"/>
      <c r="AD143" s="1465"/>
      <c r="AE143" s="1370"/>
      <c r="AF143" s="1371"/>
      <c r="AG143" s="1465"/>
      <c r="AH143" s="1370"/>
      <c r="AI143" s="31"/>
      <c r="AJ143" s="1465"/>
      <c r="AK143" s="1370"/>
      <c r="AL143" s="31"/>
      <c r="AM143" s="1465"/>
      <c r="AN143" s="1370"/>
      <c r="AO143" s="31"/>
      <c r="AP143" s="1465"/>
      <c r="AQ143" s="1346"/>
      <c r="AR143" s="1296" t="s">
        <v>2510</v>
      </c>
      <c r="AS143" s="1465"/>
      <c r="AT143" s="1370"/>
      <c r="AU143" s="1371"/>
      <c r="AV143" s="1465"/>
      <c r="AW143" s="1370"/>
      <c r="AX143" s="31"/>
      <c r="AY143" s="1465"/>
      <c r="AZ143" s="1370"/>
      <c r="BA143" s="31"/>
      <c r="BB143" s="1465"/>
      <c r="BC143" s="1370"/>
      <c r="BD143" s="31"/>
      <c r="BE143" s="1465"/>
      <c r="BF143" s="1370"/>
      <c r="BG143" s="31"/>
      <c r="BH143" s="1465"/>
      <c r="BI143" s="1370"/>
      <c r="BJ143" s="31"/>
      <c r="BK143" s="1465"/>
      <c r="BL143" s="1370"/>
      <c r="BM143" s="31"/>
      <c r="BN143" s="1465"/>
      <c r="BO143" s="1370"/>
      <c r="BP143" s="31"/>
      <c r="BQ143" s="1465"/>
      <c r="BR143" s="1370"/>
      <c r="BS143" s="31"/>
      <c r="BT143" s="1465"/>
      <c r="BU143" s="1370"/>
      <c r="BV143" s="31"/>
      <c r="BW143" s="1465"/>
      <c r="BX143" s="1370"/>
      <c r="BY143" s="31"/>
      <c r="BZ143" s="1465"/>
      <c r="CA143" s="1370"/>
      <c r="CB143" s="31"/>
      <c r="CC143" s="1465"/>
      <c r="CD143" s="1370"/>
      <c r="CE143" s="31"/>
      <c r="CF143" s="1465"/>
      <c r="CG143" s="1370"/>
      <c r="CH143" s="31"/>
      <c r="CI143" s="1465"/>
      <c r="CJ143" s="1370"/>
      <c r="CK143" s="31"/>
      <c r="CL143" s="1273"/>
    </row>
    <row r="144" ht="18.75" customHeight="1">
      <c r="A144" s="1238"/>
      <c r="B144" s="1238"/>
      <c r="C144" s="1370"/>
      <c r="D144" s="1370"/>
      <c r="E144" s="1370"/>
      <c r="F144" s="1370"/>
      <c r="G144" s="1370"/>
      <c r="H144" s="1370"/>
      <c r="I144" s="1370"/>
      <c r="J144" s="1370"/>
      <c r="K144" s="1370"/>
      <c r="L144" s="1370"/>
      <c r="M144" s="1370"/>
      <c r="N144" s="31"/>
      <c r="O144" s="1465"/>
      <c r="P144" s="1370"/>
      <c r="Q144" s="31"/>
      <c r="R144" s="1465"/>
      <c r="S144" s="1370"/>
      <c r="T144" s="31"/>
      <c r="U144" s="1465"/>
      <c r="V144" s="1370"/>
      <c r="W144" s="31"/>
      <c r="X144" s="1465"/>
      <c r="Y144" s="1370"/>
      <c r="Z144" s="31"/>
      <c r="AA144" s="1465"/>
      <c r="AB144" s="1370"/>
      <c r="AC144" s="1371"/>
      <c r="AD144" s="1465"/>
      <c r="AE144" s="1370"/>
      <c r="AF144" s="1371"/>
      <c r="AG144" s="1465"/>
      <c r="AH144" s="1370"/>
      <c r="AI144" s="31"/>
      <c r="AJ144" s="1465"/>
      <c r="AK144" s="1370"/>
      <c r="AL144" s="31"/>
      <c r="AM144" s="1465"/>
      <c r="AN144" s="1370"/>
      <c r="AO144" s="31"/>
      <c r="AP144" s="1465"/>
      <c r="AQ144" s="1324"/>
      <c r="AR144" s="1325" t="s">
        <v>2511</v>
      </c>
      <c r="AS144" s="1465"/>
      <c r="AT144" s="1370"/>
      <c r="AU144" s="1371"/>
      <c r="AV144" s="1465"/>
      <c r="AW144" s="1370"/>
      <c r="AX144" s="31"/>
      <c r="AY144" s="1465"/>
      <c r="AZ144" s="1370"/>
      <c r="BA144" s="31"/>
      <c r="BB144" s="1465"/>
      <c r="BC144" s="1370"/>
      <c r="BD144" s="31"/>
      <c r="BE144" s="1465"/>
      <c r="BF144" s="1370"/>
      <c r="BG144" s="31"/>
      <c r="BH144" s="1465"/>
      <c r="BI144" s="1370"/>
      <c r="BJ144" s="31"/>
      <c r="BK144" s="1465"/>
      <c r="BL144" s="1370"/>
      <c r="BM144" s="31"/>
      <c r="BN144" s="1465"/>
      <c r="BO144" s="1370"/>
      <c r="BP144" s="31"/>
      <c r="BQ144" s="1465"/>
      <c r="BR144" s="1370"/>
      <c r="BS144" s="31"/>
      <c r="BT144" s="1465"/>
      <c r="BU144" s="1370"/>
      <c r="BV144" s="31"/>
      <c r="BW144" s="1465"/>
      <c r="BX144" s="1370"/>
      <c r="BY144" s="31"/>
      <c r="BZ144" s="1465"/>
      <c r="CA144" s="1370"/>
      <c r="CB144" s="31"/>
      <c r="CC144" s="1465"/>
      <c r="CD144" s="1370"/>
      <c r="CE144" s="31"/>
      <c r="CF144" s="1465"/>
      <c r="CG144" s="1370"/>
      <c r="CH144" s="31"/>
      <c r="CI144" s="1465"/>
      <c r="CJ144" s="1370"/>
      <c r="CK144" s="31"/>
      <c r="CL144" s="1273"/>
    </row>
    <row r="145" ht="18.75" customHeight="1">
      <c r="A145" s="1238"/>
      <c r="B145" s="1238"/>
      <c r="C145" s="1370"/>
      <c r="D145" s="1370"/>
      <c r="E145" s="1370"/>
      <c r="F145" s="1370"/>
      <c r="G145" s="1370"/>
      <c r="H145" s="1370"/>
      <c r="I145" s="1370"/>
      <c r="J145" s="1370"/>
      <c r="K145" s="1370"/>
      <c r="L145" s="1370"/>
      <c r="M145" s="1370"/>
      <c r="N145" s="31"/>
      <c r="O145" s="1465"/>
      <c r="P145" s="1370"/>
      <c r="Q145" s="31"/>
      <c r="R145" s="1465"/>
      <c r="S145" s="1370"/>
      <c r="T145" s="31"/>
      <c r="U145" s="1465"/>
      <c r="V145" s="1370"/>
      <c r="W145" s="31"/>
      <c r="X145" s="1465"/>
      <c r="Y145" s="1370"/>
      <c r="Z145" s="31"/>
      <c r="AA145" s="1465"/>
      <c r="AB145" s="1370"/>
      <c r="AC145" s="1371"/>
      <c r="AD145" s="1465"/>
      <c r="AE145" s="1370"/>
      <c r="AF145" s="1371"/>
      <c r="AG145" s="1465"/>
      <c r="AH145" s="1370"/>
      <c r="AI145" s="31"/>
      <c r="AJ145" s="1465"/>
      <c r="AK145" s="1370"/>
      <c r="AL145" s="31"/>
      <c r="AM145" s="1465"/>
      <c r="AN145" s="1370"/>
      <c r="AO145" s="31"/>
      <c r="AP145" s="1465"/>
      <c r="AQ145" s="1346"/>
      <c r="AR145" s="1296" t="s">
        <v>2512</v>
      </c>
      <c r="AS145" s="1465"/>
      <c r="AT145" s="1370"/>
      <c r="AU145" s="1371"/>
      <c r="AV145" s="1465"/>
      <c r="AW145" s="1370"/>
      <c r="AX145" s="31"/>
      <c r="AY145" s="1465"/>
      <c r="AZ145" s="1370"/>
      <c r="BA145" s="31"/>
      <c r="BB145" s="1465"/>
      <c r="BC145" s="1370"/>
      <c r="BD145" s="31"/>
      <c r="BE145" s="1465"/>
      <c r="BF145" s="1370"/>
      <c r="BG145" s="31"/>
      <c r="BH145" s="1465"/>
      <c r="BI145" s="1370"/>
      <c r="BJ145" s="31"/>
      <c r="BK145" s="1465"/>
      <c r="BL145" s="1370"/>
      <c r="BM145" s="31"/>
      <c r="BN145" s="1465"/>
      <c r="BO145" s="1370"/>
      <c r="BP145" s="31"/>
      <c r="BQ145" s="1465"/>
      <c r="BR145" s="1370"/>
      <c r="BS145" s="31"/>
      <c r="BT145" s="1465"/>
      <c r="BU145" s="1370"/>
      <c r="BV145" s="31"/>
      <c r="BW145" s="1465"/>
      <c r="BX145" s="1370"/>
      <c r="BY145" s="31"/>
      <c r="BZ145" s="1465"/>
      <c r="CA145" s="1370"/>
      <c r="CB145" s="31"/>
      <c r="CC145" s="1465"/>
      <c r="CD145" s="1370"/>
      <c r="CE145" s="31"/>
      <c r="CF145" s="1465"/>
      <c r="CG145" s="1370"/>
      <c r="CH145" s="31"/>
      <c r="CI145" s="1465"/>
      <c r="CJ145" s="1370"/>
      <c r="CK145" s="31"/>
      <c r="CL145" s="1273"/>
    </row>
    <row r="146" ht="18.75" customHeight="1">
      <c r="A146" s="1238"/>
      <c r="B146" s="1238"/>
      <c r="C146" s="1370"/>
      <c r="D146" s="1370"/>
      <c r="E146" s="1370"/>
      <c r="F146" s="1370"/>
      <c r="G146" s="1370"/>
      <c r="H146" s="1370"/>
      <c r="I146" s="1370"/>
      <c r="J146" s="1370"/>
      <c r="K146" s="1370"/>
      <c r="L146" s="1370"/>
      <c r="M146" s="1370"/>
      <c r="N146" s="31"/>
      <c r="O146" s="1465"/>
      <c r="P146" s="1370"/>
      <c r="Q146" s="31"/>
      <c r="R146" s="1465"/>
      <c r="S146" s="1370"/>
      <c r="T146" s="31"/>
      <c r="U146" s="1465"/>
      <c r="V146" s="1370"/>
      <c r="W146" s="31"/>
      <c r="X146" s="1465"/>
      <c r="Y146" s="1370"/>
      <c r="Z146" s="31"/>
      <c r="AA146" s="1465"/>
      <c r="AB146" s="1370"/>
      <c r="AC146" s="1371"/>
      <c r="AD146" s="1465"/>
      <c r="AE146" s="1370"/>
      <c r="AF146" s="1371"/>
      <c r="AG146" s="1465"/>
      <c r="AH146" s="1370"/>
      <c r="AI146" s="31"/>
      <c r="AJ146" s="1465"/>
      <c r="AK146" s="1370"/>
      <c r="AL146" s="31"/>
      <c r="AM146" s="1465"/>
      <c r="AN146" s="1370"/>
      <c r="AO146" s="31"/>
      <c r="AP146" s="1465"/>
      <c r="AQ146" s="1324"/>
      <c r="AR146" s="1325" t="s">
        <v>2513</v>
      </c>
      <c r="AS146" s="1465"/>
      <c r="AT146" s="1370"/>
      <c r="AU146" s="1371"/>
      <c r="AV146" s="1465"/>
      <c r="AW146" s="1370"/>
      <c r="AX146" s="31"/>
      <c r="AY146" s="1465"/>
      <c r="AZ146" s="1370"/>
      <c r="BA146" s="31"/>
      <c r="BB146" s="1465"/>
      <c r="BC146" s="1370"/>
      <c r="BD146" s="31"/>
      <c r="BE146" s="1465"/>
      <c r="BF146" s="1370"/>
      <c r="BG146" s="31"/>
      <c r="BH146" s="1465"/>
      <c r="BI146" s="1370"/>
      <c r="BJ146" s="31"/>
      <c r="BK146" s="1465"/>
      <c r="BL146" s="1370"/>
      <c r="BM146" s="31"/>
      <c r="BN146" s="1465"/>
      <c r="BO146" s="1370"/>
      <c r="BP146" s="31"/>
      <c r="BQ146" s="1465"/>
      <c r="BR146" s="1370"/>
      <c r="BS146" s="31"/>
      <c r="BT146" s="1465"/>
      <c r="BU146" s="1370"/>
      <c r="BV146" s="31"/>
      <c r="BW146" s="1465"/>
      <c r="BX146" s="1370"/>
      <c r="BY146" s="31"/>
      <c r="BZ146" s="1465"/>
      <c r="CA146" s="1370"/>
      <c r="CB146" s="31"/>
      <c r="CC146" s="1465"/>
      <c r="CD146" s="1370"/>
      <c r="CE146" s="31"/>
      <c r="CF146" s="1465"/>
      <c r="CG146" s="1370"/>
      <c r="CH146" s="31"/>
      <c r="CI146" s="1465"/>
      <c r="CJ146" s="1370"/>
      <c r="CK146" s="31"/>
      <c r="CL146" s="1273"/>
    </row>
    <row r="147" ht="18.75" customHeight="1">
      <c r="A147" s="1238"/>
      <c r="B147" s="1238"/>
      <c r="C147" s="1370"/>
      <c r="D147" s="1370"/>
      <c r="E147" s="1370"/>
      <c r="F147" s="1370"/>
      <c r="G147" s="1370"/>
      <c r="H147" s="1370"/>
      <c r="I147" s="1370"/>
      <c r="J147" s="1370"/>
      <c r="K147" s="1370"/>
      <c r="L147" s="1370"/>
      <c r="M147" s="1370"/>
      <c r="N147" s="31"/>
      <c r="O147" s="1465"/>
      <c r="P147" s="1370"/>
      <c r="Q147" s="31"/>
      <c r="R147" s="1465"/>
      <c r="S147" s="1370"/>
      <c r="T147" s="31"/>
      <c r="U147" s="1465"/>
      <c r="V147" s="1370"/>
      <c r="W147" s="31"/>
      <c r="X147" s="1465"/>
      <c r="Y147" s="1370"/>
      <c r="Z147" s="31"/>
      <c r="AA147" s="1465"/>
      <c r="AB147" s="1370"/>
      <c r="AC147" s="1371"/>
      <c r="AD147" s="1465"/>
      <c r="AE147" s="1370"/>
      <c r="AF147" s="1371"/>
      <c r="AG147" s="1465"/>
      <c r="AH147" s="1370"/>
      <c r="AI147" s="31"/>
      <c r="AJ147" s="1465"/>
      <c r="AK147" s="1370"/>
      <c r="AL147" s="31"/>
      <c r="AM147" s="1465"/>
      <c r="AN147" s="1370"/>
      <c r="AO147" s="31"/>
      <c r="AP147" s="1465"/>
      <c r="AQ147" s="1346"/>
      <c r="AR147" s="1296" t="s">
        <v>2514</v>
      </c>
      <c r="AS147" s="1465"/>
      <c r="AT147" s="1370"/>
      <c r="AU147" s="1371"/>
      <c r="AV147" s="1465"/>
      <c r="AW147" s="1370"/>
      <c r="AX147" s="31"/>
      <c r="AY147" s="1465"/>
      <c r="AZ147" s="1370"/>
      <c r="BA147" s="31"/>
      <c r="BB147" s="1465"/>
      <c r="BC147" s="1370"/>
      <c r="BD147" s="31"/>
      <c r="BE147" s="1465"/>
      <c r="BF147" s="1370"/>
      <c r="BG147" s="31"/>
      <c r="BH147" s="1465"/>
      <c r="BI147" s="1370"/>
      <c r="BJ147" s="31"/>
      <c r="BK147" s="1465"/>
      <c r="BL147" s="1370"/>
      <c r="BM147" s="31"/>
      <c r="BN147" s="1465"/>
      <c r="BO147" s="1370"/>
      <c r="BP147" s="31"/>
      <c r="BQ147" s="1465"/>
      <c r="BR147" s="1370"/>
      <c r="BS147" s="31"/>
      <c r="BT147" s="1465"/>
      <c r="BU147" s="1370"/>
      <c r="BV147" s="31"/>
      <c r="BW147" s="1465"/>
      <c r="BX147" s="1370"/>
      <c r="BY147" s="31"/>
      <c r="BZ147" s="1465"/>
      <c r="CA147" s="1370"/>
      <c r="CB147" s="31"/>
      <c r="CC147" s="1465"/>
      <c r="CD147" s="1370"/>
      <c r="CE147" s="31"/>
      <c r="CF147" s="1465"/>
      <c r="CG147" s="1370"/>
      <c r="CH147" s="31"/>
      <c r="CI147" s="1465"/>
      <c r="CJ147" s="1370"/>
      <c r="CK147" s="31"/>
      <c r="CL147" s="1273"/>
    </row>
    <row r="148" ht="18.75" customHeight="1">
      <c r="A148" s="1238"/>
      <c r="B148" s="1238"/>
      <c r="C148" s="1370"/>
      <c r="D148" s="1370"/>
      <c r="E148" s="1370"/>
      <c r="F148" s="1370"/>
      <c r="G148" s="1370"/>
      <c r="H148" s="1370"/>
      <c r="I148" s="1370"/>
      <c r="J148" s="1370"/>
      <c r="K148" s="1370"/>
      <c r="L148" s="1370"/>
      <c r="M148" s="1370"/>
      <c r="N148" s="31"/>
      <c r="O148" s="1465"/>
      <c r="P148" s="1370"/>
      <c r="Q148" s="31"/>
      <c r="R148" s="1465"/>
      <c r="S148" s="1370"/>
      <c r="T148" s="31"/>
      <c r="U148" s="1465"/>
      <c r="V148" s="1370"/>
      <c r="W148" s="31"/>
      <c r="X148" s="1465"/>
      <c r="Y148" s="1370"/>
      <c r="Z148" s="31"/>
      <c r="AA148" s="1465"/>
      <c r="AB148" s="1370"/>
      <c r="AC148" s="1371"/>
      <c r="AD148" s="1465"/>
      <c r="AE148" s="1370"/>
      <c r="AF148" s="1371"/>
      <c r="AG148" s="1465"/>
      <c r="AH148" s="1370"/>
      <c r="AI148" s="31"/>
      <c r="AJ148" s="1465"/>
      <c r="AK148" s="1370"/>
      <c r="AL148" s="31"/>
      <c r="AM148" s="1465"/>
      <c r="AN148" s="1370"/>
      <c r="AO148" s="31"/>
      <c r="AP148" s="1465"/>
      <c r="AQ148" s="1324"/>
      <c r="AR148" s="1325" t="s">
        <v>2515</v>
      </c>
      <c r="AS148" s="1465"/>
      <c r="AT148" s="1370"/>
      <c r="AU148" s="1371"/>
      <c r="AV148" s="1465"/>
      <c r="AW148" s="1370"/>
      <c r="AX148" s="31"/>
      <c r="AY148" s="1465"/>
      <c r="AZ148" s="1370"/>
      <c r="BA148" s="31"/>
      <c r="BB148" s="1465"/>
      <c r="BC148" s="1370"/>
      <c r="BD148" s="31"/>
      <c r="BE148" s="1465"/>
      <c r="BF148" s="1370"/>
      <c r="BG148" s="31"/>
      <c r="BH148" s="1465"/>
      <c r="BI148" s="1370"/>
      <c r="BJ148" s="31"/>
      <c r="BK148" s="1465"/>
      <c r="BL148" s="1370"/>
      <c r="BM148" s="31"/>
      <c r="BN148" s="1465"/>
      <c r="BO148" s="1370"/>
      <c r="BP148" s="31"/>
      <c r="BQ148" s="1465"/>
      <c r="BR148" s="1370"/>
      <c r="BS148" s="31"/>
      <c r="BT148" s="1465"/>
      <c r="BU148" s="1370"/>
      <c r="BV148" s="31"/>
      <c r="BW148" s="1465"/>
      <c r="BX148" s="1370"/>
      <c r="BY148" s="31"/>
      <c r="BZ148" s="1465"/>
      <c r="CA148" s="1370"/>
      <c r="CB148" s="31"/>
      <c r="CC148" s="1465"/>
      <c r="CD148" s="1370"/>
      <c r="CE148" s="31"/>
      <c r="CF148" s="1465"/>
      <c r="CG148" s="1370"/>
      <c r="CH148" s="31"/>
      <c r="CI148" s="1465"/>
      <c r="CJ148" s="1370"/>
      <c r="CK148" s="31"/>
      <c r="CL148" s="1273"/>
    </row>
    <row r="149" ht="18.75" customHeight="1">
      <c r="A149" s="1238"/>
      <c r="B149" s="1238"/>
      <c r="C149" s="1370"/>
      <c r="D149" s="1370"/>
      <c r="E149" s="1370"/>
      <c r="F149" s="1370"/>
      <c r="G149" s="1370"/>
      <c r="H149" s="1370"/>
      <c r="I149" s="1370"/>
      <c r="J149" s="1370"/>
      <c r="K149" s="1370"/>
      <c r="L149" s="1370"/>
      <c r="M149" s="1370"/>
      <c r="N149" s="31"/>
      <c r="O149" s="1465"/>
      <c r="P149" s="1370"/>
      <c r="Q149" s="31"/>
      <c r="R149" s="1465"/>
      <c r="S149" s="1370"/>
      <c r="T149" s="31"/>
      <c r="U149" s="1465"/>
      <c r="V149" s="1370"/>
      <c r="W149" s="31"/>
      <c r="X149" s="1465"/>
      <c r="Y149" s="1370"/>
      <c r="Z149" s="31"/>
      <c r="AA149" s="1465"/>
      <c r="AB149" s="1370"/>
      <c r="AC149" s="1371"/>
      <c r="AD149" s="1465"/>
      <c r="AE149" s="1370"/>
      <c r="AF149" s="1371"/>
      <c r="AG149" s="1465"/>
      <c r="AH149" s="1370"/>
      <c r="AI149" s="31"/>
      <c r="AJ149" s="1465"/>
      <c r="AK149" s="1370"/>
      <c r="AL149" s="31"/>
      <c r="AM149" s="1465"/>
      <c r="AN149" s="1370"/>
      <c r="AO149" s="31"/>
      <c r="AP149" s="1465"/>
      <c r="AQ149" s="1346"/>
      <c r="AR149" s="1296" t="s">
        <v>2516</v>
      </c>
      <c r="AS149" s="1465"/>
      <c r="AT149" s="1370"/>
      <c r="AU149" s="1371"/>
      <c r="AV149" s="1465"/>
      <c r="AW149" s="1370"/>
      <c r="AX149" s="31"/>
      <c r="AY149" s="1465"/>
      <c r="AZ149" s="1370"/>
      <c r="BA149" s="31"/>
      <c r="BB149" s="1465"/>
      <c r="BC149" s="1370"/>
      <c r="BD149" s="31"/>
      <c r="BE149" s="1465"/>
      <c r="BF149" s="1370"/>
      <c r="BG149" s="31"/>
      <c r="BH149" s="1465"/>
      <c r="BI149" s="1370"/>
      <c r="BJ149" s="31"/>
      <c r="BK149" s="1465"/>
      <c r="BL149" s="1370"/>
      <c r="BM149" s="31"/>
      <c r="BN149" s="1465"/>
      <c r="BO149" s="1370"/>
      <c r="BP149" s="31"/>
      <c r="BQ149" s="1465"/>
      <c r="BR149" s="1370"/>
      <c r="BS149" s="31"/>
      <c r="BT149" s="1465"/>
      <c r="BU149" s="1370"/>
      <c r="BV149" s="31"/>
      <c r="BW149" s="1465"/>
      <c r="BX149" s="1370"/>
      <c r="BY149" s="31"/>
      <c r="BZ149" s="1465"/>
      <c r="CA149" s="1370"/>
      <c r="CB149" s="31"/>
      <c r="CC149" s="1465"/>
      <c r="CD149" s="1370"/>
      <c r="CE149" s="31"/>
      <c r="CF149" s="1465"/>
      <c r="CG149" s="1370"/>
      <c r="CH149" s="31"/>
      <c r="CI149" s="1465"/>
      <c r="CJ149" s="1370"/>
      <c r="CK149" s="31"/>
      <c r="CL149" s="1273"/>
    </row>
    <row r="150" ht="18.75" customHeight="1">
      <c r="A150" s="1238"/>
      <c r="B150" s="1238"/>
      <c r="C150" s="1370"/>
      <c r="D150" s="1370"/>
      <c r="E150" s="1370"/>
      <c r="F150" s="1370"/>
      <c r="G150" s="1370"/>
      <c r="H150" s="1370"/>
      <c r="I150" s="1370"/>
      <c r="J150" s="1370"/>
      <c r="K150" s="1370"/>
      <c r="L150" s="1370"/>
      <c r="M150" s="1370"/>
      <c r="N150" s="31"/>
      <c r="O150" s="1465"/>
      <c r="P150" s="1370"/>
      <c r="Q150" s="31"/>
      <c r="R150" s="1465"/>
      <c r="S150" s="1370"/>
      <c r="T150" s="31"/>
      <c r="U150" s="1465"/>
      <c r="V150" s="1370"/>
      <c r="W150" s="31"/>
      <c r="X150" s="1465"/>
      <c r="Y150" s="1370"/>
      <c r="Z150" s="31"/>
      <c r="AA150" s="1465"/>
      <c r="AB150" s="1370"/>
      <c r="AC150" s="1371"/>
      <c r="AD150" s="1465"/>
      <c r="AE150" s="1370"/>
      <c r="AF150" s="1371"/>
      <c r="AG150" s="1465"/>
      <c r="AH150" s="1370"/>
      <c r="AI150" s="31"/>
      <c r="AJ150" s="1465"/>
      <c r="AK150" s="1370"/>
      <c r="AL150" s="31"/>
      <c r="AM150" s="1465"/>
      <c r="AN150" s="1370"/>
      <c r="AO150" s="31"/>
      <c r="AP150" s="1465"/>
      <c r="AQ150" s="1324"/>
      <c r="AR150" s="1325" t="s">
        <v>2517</v>
      </c>
      <c r="AS150" s="1465"/>
      <c r="AT150" s="1370"/>
      <c r="AU150" s="1371"/>
      <c r="AV150" s="1465"/>
      <c r="AW150" s="1370"/>
      <c r="AX150" s="31"/>
      <c r="AY150" s="1465"/>
      <c r="AZ150" s="1370"/>
      <c r="BA150" s="31"/>
      <c r="BB150" s="1465"/>
      <c r="BC150" s="1370"/>
      <c r="BD150" s="31"/>
      <c r="BE150" s="1465"/>
      <c r="BF150" s="1370"/>
      <c r="BG150" s="31"/>
      <c r="BH150" s="1465"/>
      <c r="BI150" s="1370"/>
      <c r="BJ150" s="31"/>
      <c r="BK150" s="1465"/>
      <c r="BL150" s="1370"/>
      <c r="BM150" s="31"/>
      <c r="BN150" s="1465"/>
      <c r="BO150" s="1370"/>
      <c r="BP150" s="31"/>
      <c r="BQ150" s="1465"/>
      <c r="BR150" s="1370"/>
      <c r="BS150" s="31"/>
      <c r="BT150" s="1465"/>
      <c r="BU150" s="1370"/>
      <c r="BV150" s="31"/>
      <c r="BW150" s="1465"/>
      <c r="BX150" s="1370"/>
      <c r="BY150" s="31"/>
      <c r="BZ150" s="1465"/>
      <c r="CA150" s="1370"/>
      <c r="CB150" s="31"/>
      <c r="CC150" s="1465"/>
      <c r="CD150" s="1370"/>
      <c r="CE150" s="31"/>
      <c r="CF150" s="1465"/>
      <c r="CG150" s="1370"/>
      <c r="CH150" s="31"/>
      <c r="CI150" s="1465"/>
      <c r="CJ150" s="1370"/>
      <c r="CK150" s="31"/>
      <c r="CL150" s="1273"/>
    </row>
    <row r="151" ht="18.75" customHeight="1">
      <c r="A151" s="1238"/>
      <c r="B151" s="1238"/>
      <c r="C151" s="1370"/>
      <c r="D151" s="1370"/>
      <c r="E151" s="1370"/>
      <c r="F151" s="1370"/>
      <c r="G151" s="1370"/>
      <c r="H151" s="1370"/>
      <c r="I151" s="1370"/>
      <c r="J151" s="1370"/>
      <c r="K151" s="1370"/>
      <c r="L151" s="1370"/>
      <c r="M151" s="1370"/>
      <c r="N151" s="31"/>
      <c r="O151" s="1465"/>
      <c r="P151" s="1370"/>
      <c r="Q151" s="31"/>
      <c r="R151" s="1465"/>
      <c r="S151" s="1370"/>
      <c r="T151" s="31"/>
      <c r="U151" s="1465"/>
      <c r="V151" s="1370"/>
      <c r="W151" s="31"/>
      <c r="X151" s="1465"/>
      <c r="Y151" s="1370"/>
      <c r="Z151" s="31"/>
      <c r="AA151" s="1465"/>
      <c r="AB151" s="1370"/>
      <c r="AC151" s="1371"/>
      <c r="AD151" s="1465"/>
      <c r="AE151" s="1370"/>
      <c r="AF151" s="1371"/>
      <c r="AG151" s="1465"/>
      <c r="AH151" s="1370"/>
      <c r="AI151" s="31"/>
      <c r="AJ151" s="1465"/>
      <c r="AK151" s="1370"/>
      <c r="AL151" s="31"/>
      <c r="AM151" s="1465"/>
      <c r="AN151" s="1370"/>
      <c r="AO151" s="31"/>
      <c r="AP151" s="1465"/>
      <c r="AQ151" s="1324"/>
      <c r="AR151" s="1325" t="s">
        <v>2518</v>
      </c>
      <c r="AS151" s="1465"/>
      <c r="AT151" s="1370"/>
      <c r="AU151" s="1371"/>
      <c r="AV151" s="1465"/>
      <c r="AW151" s="1370"/>
      <c r="AX151" s="31"/>
      <c r="AY151" s="1465"/>
      <c r="AZ151" s="1370"/>
      <c r="BA151" s="31"/>
      <c r="BB151" s="1465"/>
      <c r="BC151" s="1370"/>
      <c r="BD151" s="31"/>
      <c r="BE151" s="1465"/>
      <c r="BF151" s="1370"/>
      <c r="BG151" s="31"/>
      <c r="BH151" s="1465"/>
      <c r="BI151" s="1370"/>
      <c r="BJ151" s="31"/>
      <c r="BK151" s="1465"/>
      <c r="BL151" s="1370"/>
      <c r="BM151" s="31"/>
      <c r="BN151" s="1465"/>
      <c r="BO151" s="1370"/>
      <c r="BP151" s="31"/>
      <c r="BQ151" s="1465"/>
      <c r="BR151" s="1370"/>
      <c r="BS151" s="31"/>
      <c r="BT151" s="1465"/>
      <c r="BU151" s="1370"/>
      <c r="BV151" s="31"/>
      <c r="BW151" s="1465"/>
      <c r="BX151" s="1370"/>
      <c r="BY151" s="31"/>
      <c r="BZ151" s="1465"/>
      <c r="CA151" s="1370"/>
      <c r="CB151" s="31"/>
      <c r="CC151" s="1465"/>
      <c r="CD151" s="1370"/>
      <c r="CE151" s="31"/>
      <c r="CF151" s="1465"/>
      <c r="CG151" s="1370"/>
      <c r="CH151" s="31"/>
      <c r="CI151" s="1465"/>
      <c r="CJ151" s="1370"/>
      <c r="CK151" s="31"/>
      <c r="CL151" s="1273"/>
    </row>
    <row r="152" ht="18.75" customHeight="1">
      <c r="A152" s="1238"/>
      <c r="B152" s="1238"/>
      <c r="C152" s="1370"/>
      <c r="D152" s="1370"/>
      <c r="E152" s="1370"/>
      <c r="F152" s="1370"/>
      <c r="G152" s="1370"/>
      <c r="H152" s="1370"/>
      <c r="I152" s="1370"/>
      <c r="J152" s="1370"/>
      <c r="K152" s="1370"/>
      <c r="L152" s="1370"/>
      <c r="M152" s="1370"/>
      <c r="N152" s="31"/>
      <c r="O152" s="1465"/>
      <c r="P152" s="1370"/>
      <c r="Q152" s="31"/>
      <c r="R152" s="1465"/>
      <c r="S152" s="1370"/>
      <c r="T152" s="31"/>
      <c r="U152" s="1465"/>
      <c r="V152" s="1370"/>
      <c r="W152" s="31"/>
      <c r="X152" s="1465"/>
      <c r="Y152" s="1370"/>
      <c r="Z152" s="31"/>
      <c r="AA152" s="1465"/>
      <c r="AB152" s="1370"/>
      <c r="AC152" s="1371"/>
      <c r="AD152" s="1465"/>
      <c r="AE152" s="1370"/>
      <c r="AF152" s="1371"/>
      <c r="AG152" s="1465"/>
      <c r="AH152" s="1370"/>
      <c r="AI152" s="31"/>
      <c r="AJ152" s="1465"/>
      <c r="AK152" s="1370"/>
      <c r="AL152" s="31"/>
      <c r="AM152" s="1465"/>
      <c r="AN152" s="1370"/>
      <c r="AO152" s="31"/>
      <c r="AP152" s="1465"/>
      <c r="AQ152" s="1346"/>
      <c r="AR152" s="1296" t="s">
        <v>2519</v>
      </c>
      <c r="AS152" s="1465"/>
      <c r="AT152" s="1370"/>
      <c r="AU152" s="1371"/>
      <c r="AV152" s="1465"/>
      <c r="AW152" s="1370"/>
      <c r="AX152" s="31"/>
      <c r="AY152" s="1465"/>
      <c r="AZ152" s="1370"/>
      <c r="BA152" s="31"/>
      <c r="BB152" s="1465"/>
      <c r="BC152" s="1370"/>
      <c r="BD152" s="31"/>
      <c r="BE152" s="1465"/>
      <c r="BF152" s="1370"/>
      <c r="BG152" s="31"/>
      <c r="BH152" s="1465"/>
      <c r="BI152" s="1370"/>
      <c r="BJ152" s="31"/>
      <c r="BK152" s="1465"/>
      <c r="BL152" s="1370"/>
      <c r="BM152" s="31"/>
      <c r="BN152" s="1465"/>
      <c r="BO152" s="1370"/>
      <c r="BP152" s="31"/>
      <c r="BQ152" s="1465"/>
      <c r="BR152" s="1370"/>
      <c r="BS152" s="31"/>
      <c r="BT152" s="1465"/>
      <c r="BU152" s="1370"/>
      <c r="BV152" s="31"/>
      <c r="BW152" s="1465"/>
      <c r="BX152" s="1370"/>
      <c r="BY152" s="31"/>
      <c r="BZ152" s="1465"/>
      <c r="CA152" s="1370"/>
      <c r="CB152" s="31"/>
      <c r="CC152" s="1465"/>
      <c r="CD152" s="1370"/>
      <c r="CE152" s="31"/>
      <c r="CF152" s="1465"/>
      <c r="CG152" s="1370"/>
      <c r="CH152" s="31"/>
      <c r="CI152" s="1465"/>
      <c r="CJ152" s="1370"/>
      <c r="CK152" s="31"/>
      <c r="CL152" s="1273"/>
    </row>
    <row r="153" ht="18.75" customHeight="1">
      <c r="A153" s="1238"/>
      <c r="B153" s="1238"/>
      <c r="C153" s="1370"/>
      <c r="D153" s="1370"/>
      <c r="E153" s="1370"/>
      <c r="F153" s="1370"/>
      <c r="G153" s="1370"/>
      <c r="H153" s="1370"/>
      <c r="I153" s="1370"/>
      <c r="J153" s="1370"/>
      <c r="K153" s="1370"/>
      <c r="L153" s="1370"/>
      <c r="M153" s="1370"/>
      <c r="N153" s="31"/>
      <c r="O153" s="1465"/>
      <c r="P153" s="1370"/>
      <c r="Q153" s="31"/>
      <c r="R153" s="1465"/>
      <c r="S153" s="1370"/>
      <c r="T153" s="31"/>
      <c r="U153" s="1465"/>
      <c r="V153" s="1370"/>
      <c r="W153" s="31"/>
      <c r="X153" s="1465"/>
      <c r="Y153" s="1370"/>
      <c r="Z153" s="31"/>
      <c r="AA153" s="1465"/>
      <c r="AB153" s="1370"/>
      <c r="AC153" s="1371"/>
      <c r="AD153" s="1465"/>
      <c r="AE153" s="1370"/>
      <c r="AF153" s="1371"/>
      <c r="AG153" s="1465"/>
      <c r="AH153" s="1370"/>
      <c r="AI153" s="31"/>
      <c r="AJ153" s="1465"/>
      <c r="AK153" s="1370"/>
      <c r="AL153" s="31"/>
      <c r="AM153" s="1465"/>
      <c r="AN153" s="1370"/>
      <c r="AO153" s="31"/>
      <c r="AP153" s="1465"/>
      <c r="AQ153" s="1324"/>
      <c r="AR153" s="1325" t="s">
        <v>2520</v>
      </c>
      <c r="AS153" s="1465"/>
      <c r="AT153" s="1370"/>
      <c r="AU153" s="1371"/>
      <c r="AV153" s="1465"/>
      <c r="AW153" s="1370"/>
      <c r="AX153" s="31"/>
      <c r="AY153" s="1465"/>
      <c r="AZ153" s="1370"/>
      <c r="BA153" s="31"/>
      <c r="BB153" s="1465"/>
      <c r="BC153" s="1370"/>
      <c r="BD153" s="31"/>
      <c r="BE153" s="1465"/>
      <c r="BF153" s="1370"/>
      <c r="BG153" s="31"/>
      <c r="BH153" s="1465"/>
      <c r="BI153" s="1370"/>
      <c r="BJ153" s="31"/>
      <c r="BK153" s="1465"/>
      <c r="BL153" s="1370"/>
      <c r="BM153" s="31"/>
      <c r="BN153" s="1465"/>
      <c r="BO153" s="1370"/>
      <c r="BP153" s="31"/>
      <c r="BQ153" s="1465"/>
      <c r="BR153" s="1370"/>
      <c r="BS153" s="31"/>
      <c r="BT153" s="1465"/>
      <c r="BU153" s="1370"/>
      <c r="BV153" s="31"/>
      <c r="BW153" s="1465"/>
      <c r="BX153" s="1370"/>
      <c r="BY153" s="31"/>
      <c r="BZ153" s="1465"/>
      <c r="CA153" s="1370"/>
      <c r="CB153" s="31"/>
      <c r="CC153" s="1465"/>
      <c r="CD153" s="1370"/>
      <c r="CE153" s="31"/>
      <c r="CF153" s="1465"/>
      <c r="CG153" s="1370"/>
      <c r="CH153" s="31"/>
      <c r="CI153" s="1465"/>
      <c r="CJ153" s="1370"/>
      <c r="CK153" s="31"/>
      <c r="CL153" s="1273"/>
    </row>
    <row r="154" ht="18.75" customHeight="1">
      <c r="A154" s="1238"/>
      <c r="B154" s="1238"/>
      <c r="C154" s="1370"/>
      <c r="D154" s="1370"/>
      <c r="E154" s="1370"/>
      <c r="F154" s="1370"/>
      <c r="G154" s="1370"/>
      <c r="H154" s="1370"/>
      <c r="I154" s="1370"/>
      <c r="J154" s="1370"/>
      <c r="K154" s="1370"/>
      <c r="L154" s="1370"/>
      <c r="M154" s="1370"/>
      <c r="N154" s="31"/>
      <c r="O154" s="1465"/>
      <c r="P154" s="1370"/>
      <c r="Q154" s="31"/>
      <c r="R154" s="1465"/>
      <c r="S154" s="1370"/>
      <c r="T154" s="31"/>
      <c r="U154" s="1465"/>
      <c r="V154" s="1370"/>
      <c r="W154" s="31"/>
      <c r="X154" s="1465"/>
      <c r="Y154" s="1370"/>
      <c r="Z154" s="31"/>
      <c r="AA154" s="1465"/>
      <c r="AB154" s="1370"/>
      <c r="AC154" s="1371"/>
      <c r="AD154" s="1465"/>
      <c r="AE154" s="1370"/>
      <c r="AF154" s="1371"/>
      <c r="AG154" s="1465"/>
      <c r="AH154" s="1370"/>
      <c r="AI154" s="31"/>
      <c r="AJ154" s="1465"/>
      <c r="AK154" s="1370"/>
      <c r="AL154" s="31"/>
      <c r="AM154" s="1465"/>
      <c r="AN154" s="1370"/>
      <c r="AO154" s="31"/>
      <c r="AP154" s="1465"/>
      <c r="AQ154" s="1346"/>
      <c r="AR154" s="1296" t="s">
        <v>2521</v>
      </c>
      <c r="AS154" s="1465"/>
      <c r="AT154" s="1370"/>
      <c r="AU154" s="1371"/>
      <c r="AV154" s="1465"/>
      <c r="AW154" s="1370"/>
      <c r="AX154" s="31"/>
      <c r="AY154" s="1465"/>
      <c r="AZ154" s="1370"/>
      <c r="BA154" s="31"/>
      <c r="BB154" s="1465"/>
      <c r="BC154" s="1370"/>
      <c r="BD154" s="31"/>
      <c r="BE154" s="1465"/>
      <c r="BF154" s="1370"/>
      <c r="BG154" s="31"/>
      <c r="BH154" s="1465"/>
      <c r="BI154" s="1370"/>
      <c r="BJ154" s="31"/>
      <c r="BK154" s="1465"/>
      <c r="BL154" s="1370"/>
      <c r="BM154" s="31"/>
      <c r="BN154" s="1465"/>
      <c r="BO154" s="1370"/>
      <c r="BP154" s="31"/>
      <c r="BQ154" s="1465"/>
      <c r="BR154" s="1370"/>
      <c r="BS154" s="31"/>
      <c r="BT154" s="1465"/>
      <c r="BU154" s="1370"/>
      <c r="BV154" s="31"/>
      <c r="BW154" s="1465"/>
      <c r="BX154" s="1370"/>
      <c r="BY154" s="31"/>
      <c r="BZ154" s="1465"/>
      <c r="CA154" s="1370"/>
      <c r="CB154" s="31"/>
      <c r="CC154" s="1465"/>
      <c r="CD154" s="1370"/>
      <c r="CE154" s="31"/>
      <c r="CF154" s="1465"/>
      <c r="CG154" s="1370"/>
      <c r="CH154" s="31"/>
      <c r="CI154" s="1465"/>
      <c r="CJ154" s="1370"/>
      <c r="CK154" s="31"/>
      <c r="CL154" s="1273"/>
    </row>
    <row r="155" ht="18.75" customHeight="1">
      <c r="A155" s="1238"/>
      <c r="B155" s="1238"/>
      <c r="C155" s="1370"/>
      <c r="D155" s="1370"/>
      <c r="E155" s="1370"/>
      <c r="F155" s="1370"/>
      <c r="G155" s="1370"/>
      <c r="H155" s="1370"/>
      <c r="I155" s="1370"/>
      <c r="J155" s="1370"/>
      <c r="K155" s="1370"/>
      <c r="L155" s="1370"/>
      <c r="M155" s="1370"/>
      <c r="N155" s="31"/>
      <c r="O155" s="1465"/>
      <c r="P155" s="1370"/>
      <c r="Q155" s="31"/>
      <c r="R155" s="1465"/>
      <c r="S155" s="1370"/>
      <c r="T155" s="31"/>
      <c r="U155" s="1465"/>
      <c r="V155" s="1370"/>
      <c r="W155" s="31"/>
      <c r="X155" s="1465"/>
      <c r="Y155" s="1370"/>
      <c r="Z155" s="31"/>
      <c r="AA155" s="1465"/>
      <c r="AB155" s="1370"/>
      <c r="AC155" s="1371"/>
      <c r="AD155" s="1465"/>
      <c r="AE155" s="1370"/>
      <c r="AF155" s="1371"/>
      <c r="AG155" s="1465"/>
      <c r="AH155" s="1370"/>
      <c r="AI155" s="31"/>
      <c r="AJ155" s="1465"/>
      <c r="AK155" s="1370"/>
      <c r="AL155" s="31"/>
      <c r="AM155" s="1465"/>
      <c r="AN155" s="1370"/>
      <c r="AO155" s="31"/>
      <c r="AP155" s="1465"/>
      <c r="AQ155" s="1324"/>
      <c r="AR155" s="1325" t="s">
        <v>2522</v>
      </c>
      <c r="AS155" s="1465"/>
      <c r="AT155" s="1370"/>
      <c r="AU155" s="1371"/>
      <c r="AV155" s="1465"/>
      <c r="AW155" s="1370"/>
      <c r="AX155" s="31"/>
      <c r="AY155" s="1465"/>
      <c r="AZ155" s="1370"/>
      <c r="BA155" s="31"/>
      <c r="BB155" s="1465"/>
      <c r="BC155" s="1370"/>
      <c r="BD155" s="31"/>
      <c r="BE155" s="1465"/>
      <c r="BF155" s="1370"/>
      <c r="BG155" s="31"/>
      <c r="BH155" s="1465"/>
      <c r="BI155" s="1370"/>
      <c r="BJ155" s="31"/>
      <c r="BK155" s="1465"/>
      <c r="BL155" s="1370"/>
      <c r="BM155" s="31"/>
      <c r="BN155" s="1465"/>
      <c r="BO155" s="1370"/>
      <c r="BP155" s="31"/>
      <c r="BQ155" s="1465"/>
      <c r="BR155" s="1370"/>
      <c r="BS155" s="31"/>
      <c r="BT155" s="1465"/>
      <c r="BU155" s="1370"/>
      <c r="BV155" s="31"/>
      <c r="BW155" s="1465"/>
      <c r="BX155" s="1370"/>
      <c r="BY155" s="31"/>
      <c r="BZ155" s="1465"/>
      <c r="CA155" s="1370"/>
      <c r="CB155" s="31"/>
      <c r="CC155" s="1465"/>
      <c r="CD155" s="1370"/>
      <c r="CE155" s="31"/>
      <c r="CF155" s="1465"/>
      <c r="CG155" s="1370"/>
      <c r="CH155" s="31"/>
      <c r="CI155" s="1465"/>
      <c r="CJ155" s="1370"/>
      <c r="CK155" s="31"/>
      <c r="CL155" s="1273"/>
    </row>
    <row r="156" ht="18.75" customHeight="1">
      <c r="A156" s="1238"/>
      <c r="B156" s="1238"/>
      <c r="C156" s="1370"/>
      <c r="D156" s="1370"/>
      <c r="E156" s="1370"/>
      <c r="F156" s="1370"/>
      <c r="G156" s="1370"/>
      <c r="H156" s="1370"/>
      <c r="I156" s="1370"/>
      <c r="J156" s="1370"/>
      <c r="K156" s="1370"/>
      <c r="L156" s="1370"/>
      <c r="M156" s="1370"/>
      <c r="N156" s="31"/>
      <c r="O156" s="1465"/>
      <c r="P156" s="1370"/>
      <c r="Q156" s="31"/>
      <c r="R156" s="1465"/>
      <c r="S156" s="1370"/>
      <c r="T156" s="31"/>
      <c r="U156" s="1465"/>
      <c r="V156" s="1370"/>
      <c r="W156" s="31"/>
      <c r="X156" s="1465"/>
      <c r="Y156" s="1370"/>
      <c r="Z156" s="31"/>
      <c r="AA156" s="1465"/>
      <c r="AB156" s="1370"/>
      <c r="AC156" s="1371"/>
      <c r="AD156" s="1465"/>
      <c r="AE156" s="1370"/>
      <c r="AF156" s="1371"/>
      <c r="AG156" s="1465"/>
      <c r="AH156" s="1370"/>
      <c r="AI156" s="31"/>
      <c r="AJ156" s="1465"/>
      <c r="AK156" s="1370"/>
      <c r="AL156" s="31"/>
      <c r="AM156" s="1465"/>
      <c r="AN156" s="1370"/>
      <c r="AO156" s="31"/>
      <c r="AP156" s="1465"/>
      <c r="AQ156" s="1346"/>
      <c r="AR156" s="1296" t="s">
        <v>2523</v>
      </c>
      <c r="AS156" s="1465"/>
      <c r="AT156" s="1370"/>
      <c r="AU156" s="1371"/>
      <c r="AV156" s="1465"/>
      <c r="AW156" s="1370"/>
      <c r="AX156" s="31"/>
      <c r="AY156" s="1465"/>
      <c r="AZ156" s="1370"/>
      <c r="BA156" s="31"/>
      <c r="BB156" s="1465"/>
      <c r="BC156" s="1370"/>
      <c r="BD156" s="31"/>
      <c r="BE156" s="1465"/>
      <c r="BF156" s="1370"/>
      <c r="BG156" s="31"/>
      <c r="BH156" s="1465"/>
      <c r="BI156" s="1370"/>
      <c r="BJ156" s="31"/>
      <c r="BK156" s="1465"/>
      <c r="BL156" s="1370"/>
      <c r="BM156" s="31"/>
      <c r="BN156" s="1465"/>
      <c r="BO156" s="1370"/>
      <c r="BP156" s="31"/>
      <c r="BQ156" s="1465"/>
      <c r="BR156" s="1370"/>
      <c r="BS156" s="31"/>
      <c r="BT156" s="1465"/>
      <c r="BU156" s="1370"/>
      <c r="BV156" s="31"/>
      <c r="BW156" s="1465"/>
      <c r="BX156" s="1370"/>
      <c r="BY156" s="31"/>
      <c r="BZ156" s="1465"/>
      <c r="CA156" s="1370"/>
      <c r="CB156" s="31"/>
      <c r="CC156" s="1465"/>
      <c r="CD156" s="1370"/>
      <c r="CE156" s="31"/>
      <c r="CF156" s="1465"/>
      <c r="CG156" s="1370"/>
      <c r="CH156" s="31"/>
      <c r="CI156" s="1465"/>
      <c r="CJ156" s="1370"/>
      <c r="CK156" s="31"/>
      <c r="CL156" s="1273"/>
    </row>
    <row r="157" ht="18.75" customHeight="1">
      <c r="A157" s="1238"/>
      <c r="B157" s="1238"/>
      <c r="C157" s="1370"/>
      <c r="D157" s="1370"/>
      <c r="E157" s="1370"/>
      <c r="F157" s="1370"/>
      <c r="G157" s="1370"/>
      <c r="H157" s="1370"/>
      <c r="I157" s="1370"/>
      <c r="J157" s="1370"/>
      <c r="K157" s="1370"/>
      <c r="L157" s="1370"/>
      <c r="M157" s="1370"/>
      <c r="N157" s="31"/>
      <c r="O157" s="1465"/>
      <c r="P157" s="1370"/>
      <c r="Q157" s="31"/>
      <c r="R157" s="1465"/>
      <c r="S157" s="1370"/>
      <c r="T157" s="31"/>
      <c r="U157" s="1465"/>
      <c r="V157" s="1370"/>
      <c r="W157" s="31"/>
      <c r="X157" s="1465"/>
      <c r="Y157" s="1370"/>
      <c r="Z157" s="31"/>
      <c r="AA157" s="1465"/>
      <c r="AB157" s="1370"/>
      <c r="AC157" s="1371"/>
      <c r="AD157" s="1465"/>
      <c r="AE157" s="1370"/>
      <c r="AF157" s="1371"/>
      <c r="AG157" s="1465"/>
      <c r="AH157" s="1370"/>
      <c r="AI157" s="31"/>
      <c r="AJ157" s="1465"/>
      <c r="AK157" s="1370"/>
      <c r="AL157" s="31"/>
      <c r="AM157" s="1465"/>
      <c r="AN157" s="1370"/>
      <c r="AO157" s="31"/>
      <c r="AP157" s="1465"/>
      <c r="AQ157" s="1324"/>
      <c r="AR157" s="1325" t="s">
        <v>2524</v>
      </c>
      <c r="AS157" s="1465"/>
      <c r="AT157" s="1370"/>
      <c r="AU157" s="1371"/>
      <c r="AV157" s="1465"/>
      <c r="AW157" s="1370"/>
      <c r="AX157" s="31"/>
      <c r="AY157" s="1465"/>
      <c r="AZ157" s="1370"/>
      <c r="BA157" s="31"/>
      <c r="BB157" s="1465"/>
      <c r="BC157" s="1370"/>
      <c r="BD157" s="31"/>
      <c r="BE157" s="1465"/>
      <c r="BF157" s="1370"/>
      <c r="BG157" s="31"/>
      <c r="BH157" s="1465"/>
      <c r="BI157" s="1370"/>
      <c r="BJ157" s="31"/>
      <c r="BK157" s="1465"/>
      <c r="BL157" s="1370"/>
      <c r="BM157" s="31"/>
      <c r="BN157" s="1465"/>
      <c r="BO157" s="1370"/>
      <c r="BP157" s="31"/>
      <c r="BQ157" s="1465"/>
      <c r="BR157" s="1370"/>
      <c r="BS157" s="31"/>
      <c r="BT157" s="1465"/>
      <c r="BU157" s="1370"/>
      <c r="BV157" s="31"/>
      <c r="BW157" s="1465"/>
      <c r="BX157" s="1370"/>
      <c r="BY157" s="31"/>
      <c r="BZ157" s="1465"/>
      <c r="CA157" s="1370"/>
      <c r="CB157" s="31"/>
      <c r="CC157" s="1465"/>
      <c r="CD157" s="1370"/>
      <c r="CE157" s="31"/>
      <c r="CF157" s="1465"/>
      <c r="CG157" s="1370"/>
      <c r="CH157" s="31"/>
      <c r="CI157" s="1465"/>
      <c r="CJ157" s="1370"/>
      <c r="CK157" s="31"/>
      <c r="CL157" s="1273"/>
    </row>
    <row r="158" ht="18.75" customHeight="1">
      <c r="A158" s="1238"/>
      <c r="B158" s="1238"/>
      <c r="C158" s="1370"/>
      <c r="D158" s="1370"/>
      <c r="E158" s="1370"/>
      <c r="F158" s="1370"/>
      <c r="G158" s="1370"/>
      <c r="H158" s="1370"/>
      <c r="I158" s="1370"/>
      <c r="J158" s="1370"/>
      <c r="K158" s="1370"/>
      <c r="L158" s="1370"/>
      <c r="M158" s="1370"/>
      <c r="N158" s="31"/>
      <c r="O158" s="1465"/>
      <c r="P158" s="1370"/>
      <c r="Q158" s="31"/>
      <c r="R158" s="1465"/>
      <c r="S158" s="1370"/>
      <c r="T158" s="31"/>
      <c r="U158" s="1465"/>
      <c r="V158" s="1370"/>
      <c r="W158" s="31"/>
      <c r="X158" s="1465"/>
      <c r="Y158" s="1370"/>
      <c r="Z158" s="31"/>
      <c r="AA158" s="1465"/>
      <c r="AB158" s="1370"/>
      <c r="AC158" s="1371"/>
      <c r="AD158" s="1465"/>
      <c r="AE158" s="1370"/>
      <c r="AF158" s="1371"/>
      <c r="AG158" s="1465"/>
      <c r="AH158" s="1370"/>
      <c r="AI158" s="31"/>
      <c r="AJ158" s="1465"/>
      <c r="AK158" s="1370"/>
      <c r="AL158" s="31"/>
      <c r="AM158" s="1465"/>
      <c r="AN158" s="1370"/>
      <c r="AO158" s="31"/>
      <c r="AP158" s="1465"/>
      <c r="AQ158" s="1346"/>
      <c r="AR158" s="1296" t="s">
        <v>2525</v>
      </c>
      <c r="AS158" s="1465"/>
      <c r="AT158" s="1370"/>
      <c r="AU158" s="1371"/>
      <c r="AV158" s="1465"/>
      <c r="AW158" s="1370"/>
      <c r="AX158" s="31"/>
      <c r="AY158" s="1465"/>
      <c r="AZ158" s="1370"/>
      <c r="BA158" s="31"/>
      <c r="BB158" s="1465"/>
      <c r="BC158" s="1370"/>
      <c r="BD158" s="31"/>
      <c r="BE158" s="1465"/>
      <c r="BF158" s="1370"/>
      <c r="BG158" s="31"/>
      <c r="BH158" s="1465"/>
      <c r="BI158" s="1370"/>
      <c r="BJ158" s="31"/>
      <c r="BK158" s="1465"/>
      <c r="BL158" s="1370"/>
      <c r="BM158" s="31"/>
      <c r="BN158" s="1465"/>
      <c r="BO158" s="1370"/>
      <c r="BP158" s="31"/>
      <c r="BQ158" s="1465"/>
      <c r="BR158" s="1370"/>
      <c r="BS158" s="31"/>
      <c r="BT158" s="1465"/>
      <c r="BU158" s="1370"/>
      <c r="BV158" s="31"/>
      <c r="BW158" s="1465"/>
      <c r="BX158" s="1370"/>
      <c r="BY158" s="31"/>
      <c r="BZ158" s="1465"/>
      <c r="CA158" s="1370"/>
      <c r="CB158" s="31"/>
      <c r="CC158" s="1465"/>
      <c r="CD158" s="1370"/>
      <c r="CE158" s="31"/>
      <c r="CF158" s="1465"/>
      <c r="CG158" s="1370"/>
      <c r="CH158" s="31"/>
      <c r="CI158" s="1465"/>
      <c r="CJ158" s="1370"/>
      <c r="CK158" s="31"/>
      <c r="CL158" s="1273"/>
    </row>
    <row r="159" ht="18.75" customHeight="1">
      <c r="A159" s="1238"/>
      <c r="B159" s="1238"/>
      <c r="C159" s="1370"/>
      <c r="D159" s="1370"/>
      <c r="E159" s="1370"/>
      <c r="F159" s="1370"/>
      <c r="G159" s="1370"/>
      <c r="H159" s="1370"/>
      <c r="I159" s="1370"/>
      <c r="J159" s="1370"/>
      <c r="K159" s="1370"/>
      <c r="L159" s="1370"/>
      <c r="M159" s="1370"/>
      <c r="N159" s="31"/>
      <c r="O159" s="1465"/>
      <c r="P159" s="1370"/>
      <c r="Q159" s="31"/>
      <c r="R159" s="1465"/>
      <c r="S159" s="1370"/>
      <c r="T159" s="31"/>
      <c r="U159" s="1465"/>
      <c r="V159" s="1370"/>
      <c r="W159" s="31"/>
      <c r="X159" s="1465"/>
      <c r="Y159" s="1370"/>
      <c r="Z159" s="31"/>
      <c r="AA159" s="1465"/>
      <c r="AB159" s="1370"/>
      <c r="AC159" s="1371"/>
      <c r="AD159" s="1465"/>
      <c r="AE159" s="1370"/>
      <c r="AF159" s="1371"/>
      <c r="AG159" s="1465"/>
      <c r="AH159" s="1370"/>
      <c r="AI159" s="31"/>
      <c r="AJ159" s="1465"/>
      <c r="AK159" s="1370"/>
      <c r="AL159" s="31"/>
      <c r="AM159" s="1465"/>
      <c r="AN159" s="1370"/>
      <c r="AO159" s="31"/>
      <c r="AP159" s="1465"/>
      <c r="AQ159" s="1324"/>
      <c r="AR159" s="1325" t="s">
        <v>2526</v>
      </c>
      <c r="AS159" s="1465"/>
      <c r="AT159" s="1370"/>
      <c r="AU159" s="1371"/>
      <c r="AV159" s="1465"/>
      <c r="AW159" s="1370"/>
      <c r="AX159" s="31"/>
      <c r="AY159" s="1465"/>
      <c r="AZ159" s="1370"/>
      <c r="BA159" s="31"/>
      <c r="BB159" s="1465"/>
      <c r="BC159" s="1370"/>
      <c r="BD159" s="31"/>
      <c r="BE159" s="1465"/>
      <c r="BF159" s="1370"/>
      <c r="BG159" s="31"/>
      <c r="BH159" s="1465"/>
      <c r="BI159" s="1370"/>
      <c r="BJ159" s="31"/>
      <c r="BK159" s="1465"/>
      <c r="BL159" s="1370"/>
      <c r="BM159" s="31"/>
      <c r="BN159" s="1465"/>
      <c r="BO159" s="1370"/>
      <c r="BP159" s="31"/>
      <c r="BQ159" s="1465"/>
      <c r="BR159" s="1370"/>
      <c r="BS159" s="31"/>
      <c r="BT159" s="1465"/>
      <c r="BU159" s="1370"/>
      <c r="BV159" s="31"/>
      <c r="BW159" s="1465"/>
      <c r="BX159" s="1370"/>
      <c r="BY159" s="31"/>
      <c r="BZ159" s="1465"/>
      <c r="CA159" s="1370"/>
      <c r="CB159" s="31"/>
      <c r="CC159" s="1465"/>
      <c r="CD159" s="1370"/>
      <c r="CE159" s="31"/>
      <c r="CF159" s="1465"/>
      <c r="CG159" s="1370"/>
      <c r="CH159" s="31"/>
      <c r="CI159" s="1465"/>
      <c r="CJ159" s="1370"/>
      <c r="CK159" s="31"/>
      <c r="CL159" s="1273"/>
    </row>
    <row r="160" ht="18.75" customHeight="1">
      <c r="A160" s="1238"/>
      <c r="B160" s="1238"/>
      <c r="C160" s="1370"/>
      <c r="D160" s="1370"/>
      <c r="E160" s="1370"/>
      <c r="F160" s="1370"/>
      <c r="G160" s="1370"/>
      <c r="H160" s="1370"/>
      <c r="I160" s="1370"/>
      <c r="J160" s="1370"/>
      <c r="K160" s="1370"/>
      <c r="L160" s="1370"/>
      <c r="M160" s="1370"/>
      <c r="N160" s="31"/>
      <c r="O160" s="1465"/>
      <c r="P160" s="1370"/>
      <c r="Q160" s="31"/>
      <c r="R160" s="1465"/>
      <c r="S160" s="1370"/>
      <c r="T160" s="31"/>
      <c r="U160" s="1465"/>
      <c r="V160" s="1370"/>
      <c r="W160" s="31"/>
      <c r="X160" s="1465"/>
      <c r="Y160" s="1370"/>
      <c r="Z160" s="31"/>
      <c r="AA160" s="1465"/>
      <c r="AB160" s="1370"/>
      <c r="AC160" s="1371"/>
      <c r="AD160" s="1465"/>
      <c r="AE160" s="1370"/>
      <c r="AF160" s="1371"/>
      <c r="AG160" s="1465"/>
      <c r="AH160" s="1370"/>
      <c r="AI160" s="31"/>
      <c r="AJ160" s="1465"/>
      <c r="AK160" s="1370"/>
      <c r="AL160" s="31"/>
      <c r="AM160" s="1465"/>
      <c r="AN160" s="1370"/>
      <c r="AO160" s="31"/>
      <c r="AP160" s="1465"/>
      <c r="AQ160" s="1346"/>
      <c r="AR160" s="1296" t="s">
        <v>2527</v>
      </c>
      <c r="AS160" s="1465"/>
      <c r="AT160" s="1370"/>
      <c r="AU160" s="1371"/>
      <c r="AV160" s="1465"/>
      <c r="AW160" s="1370"/>
      <c r="AX160" s="31"/>
      <c r="AY160" s="1465"/>
      <c r="AZ160" s="1370"/>
      <c r="BA160" s="31"/>
      <c r="BB160" s="1465"/>
      <c r="BC160" s="1370"/>
      <c r="BD160" s="31"/>
      <c r="BE160" s="1465"/>
      <c r="BF160" s="1370"/>
      <c r="BG160" s="31"/>
      <c r="BH160" s="1465"/>
      <c r="BI160" s="1370"/>
      <c r="BJ160" s="31"/>
      <c r="BK160" s="1465"/>
      <c r="BL160" s="1370"/>
      <c r="BM160" s="31"/>
      <c r="BN160" s="1465"/>
      <c r="BO160" s="1370"/>
      <c r="BP160" s="31"/>
      <c r="BQ160" s="1465"/>
      <c r="BR160" s="1370"/>
      <c r="BS160" s="31"/>
      <c r="BT160" s="1465"/>
      <c r="BU160" s="1370"/>
      <c r="BV160" s="31"/>
      <c r="BW160" s="1465"/>
      <c r="BX160" s="1370"/>
      <c r="BY160" s="31"/>
      <c r="BZ160" s="1465"/>
      <c r="CA160" s="1370"/>
      <c r="CB160" s="31"/>
      <c r="CC160" s="1465"/>
      <c r="CD160" s="1370"/>
      <c r="CE160" s="31"/>
      <c r="CF160" s="1465"/>
      <c r="CG160" s="1370"/>
      <c r="CH160" s="31"/>
      <c r="CI160" s="1465"/>
      <c r="CJ160" s="1370"/>
      <c r="CK160" s="31"/>
      <c r="CL160" s="1273"/>
    </row>
    <row r="161" ht="18.75" customHeight="1">
      <c r="A161" s="1238"/>
      <c r="B161" s="1238"/>
      <c r="C161" s="1370"/>
      <c r="D161" s="1370"/>
      <c r="E161" s="1370"/>
      <c r="F161" s="1370"/>
      <c r="G161" s="1370"/>
      <c r="H161" s="1370"/>
      <c r="I161" s="1370"/>
      <c r="J161" s="1370"/>
      <c r="K161" s="1370"/>
      <c r="L161" s="1370"/>
      <c r="M161" s="1370"/>
      <c r="N161" s="31"/>
      <c r="O161" s="1465"/>
      <c r="P161" s="1370"/>
      <c r="Q161" s="31"/>
      <c r="R161" s="1465"/>
      <c r="S161" s="1370"/>
      <c r="T161" s="31"/>
      <c r="U161" s="1465"/>
      <c r="V161" s="1370"/>
      <c r="W161" s="31"/>
      <c r="X161" s="1465"/>
      <c r="Y161" s="1370"/>
      <c r="Z161" s="31"/>
      <c r="AA161" s="1465"/>
      <c r="AB161" s="1370"/>
      <c r="AC161" s="1371"/>
      <c r="AD161" s="1465"/>
      <c r="AE161" s="1370"/>
      <c r="AF161" s="1371"/>
      <c r="AG161" s="1465"/>
      <c r="AH161" s="1370"/>
      <c r="AI161" s="31"/>
      <c r="AJ161" s="1465"/>
      <c r="AK161" s="1370"/>
      <c r="AL161" s="31"/>
      <c r="AM161" s="1465"/>
      <c r="AN161" s="1370"/>
      <c r="AO161" s="31"/>
      <c r="AP161" s="1465"/>
      <c r="AQ161" s="1324"/>
      <c r="AR161" s="1325" t="s">
        <v>2528</v>
      </c>
      <c r="AS161" s="1465"/>
      <c r="AT161" s="1370"/>
      <c r="AU161" s="1371"/>
      <c r="AV161" s="1465"/>
      <c r="AW161" s="1370"/>
      <c r="AX161" s="31"/>
      <c r="AY161" s="1465"/>
      <c r="AZ161" s="1370"/>
      <c r="BA161" s="31"/>
      <c r="BB161" s="1465"/>
      <c r="BC161" s="1370"/>
      <c r="BD161" s="31"/>
      <c r="BE161" s="1465"/>
      <c r="BF161" s="1370"/>
      <c r="BG161" s="31"/>
      <c r="BH161" s="1465"/>
      <c r="BI161" s="1370"/>
      <c r="BJ161" s="31"/>
      <c r="BK161" s="1465"/>
      <c r="BL161" s="1370"/>
      <c r="BM161" s="31"/>
      <c r="BN161" s="1465"/>
      <c r="BO161" s="1370"/>
      <c r="BP161" s="31"/>
      <c r="BQ161" s="1465"/>
      <c r="BR161" s="1370"/>
      <c r="BS161" s="31"/>
      <c r="BT161" s="1465"/>
      <c r="BU161" s="1370"/>
      <c r="BV161" s="31"/>
      <c r="BW161" s="1465"/>
      <c r="BX161" s="1370"/>
      <c r="BY161" s="31"/>
      <c r="BZ161" s="1465"/>
      <c r="CA161" s="1370"/>
      <c r="CB161" s="31"/>
      <c r="CC161" s="1465"/>
      <c r="CD161" s="1370"/>
      <c r="CE161" s="31"/>
      <c r="CF161" s="1465"/>
      <c r="CG161" s="1370"/>
      <c r="CH161" s="31"/>
      <c r="CI161" s="1465"/>
      <c r="CJ161" s="1370"/>
      <c r="CK161" s="31"/>
      <c r="CL161" s="1273"/>
    </row>
    <row r="162" ht="18.75" customHeight="1">
      <c r="A162" s="1238"/>
      <c r="B162" s="1238"/>
      <c r="C162" s="1370"/>
      <c r="D162" s="1370"/>
      <c r="E162" s="1370"/>
      <c r="F162" s="1370"/>
      <c r="G162" s="1370"/>
      <c r="H162" s="1370"/>
      <c r="I162" s="1370"/>
      <c r="J162" s="1370"/>
      <c r="K162" s="1370"/>
      <c r="L162" s="1370"/>
      <c r="M162" s="1370"/>
      <c r="N162" s="31"/>
      <c r="O162" s="1465"/>
      <c r="P162" s="1370"/>
      <c r="Q162" s="31"/>
      <c r="R162" s="1465"/>
      <c r="S162" s="1370"/>
      <c r="T162" s="31"/>
      <c r="U162" s="1465"/>
      <c r="V162" s="1370"/>
      <c r="W162" s="31"/>
      <c r="X162" s="1465"/>
      <c r="Y162" s="1370"/>
      <c r="Z162" s="31"/>
      <c r="AA162" s="1465"/>
      <c r="AB162" s="1370"/>
      <c r="AC162" s="1371"/>
      <c r="AD162" s="1465"/>
      <c r="AE162" s="1370"/>
      <c r="AF162" s="1371"/>
      <c r="AG162" s="1465"/>
      <c r="AH162" s="1370"/>
      <c r="AI162" s="31"/>
      <c r="AJ162" s="1465"/>
      <c r="AK162" s="1370"/>
      <c r="AL162" s="31"/>
      <c r="AM162" s="1465"/>
      <c r="AN162" s="1370"/>
      <c r="AO162" s="31"/>
      <c r="AP162" s="1465"/>
      <c r="AQ162" s="1346"/>
      <c r="AR162" s="1296" t="s">
        <v>2529</v>
      </c>
      <c r="AS162" s="1465"/>
      <c r="AT162" s="1370"/>
      <c r="AU162" s="1371"/>
      <c r="AV162" s="1465"/>
      <c r="AW162" s="1370"/>
      <c r="AX162" s="31"/>
      <c r="AY162" s="1465"/>
      <c r="AZ162" s="1370"/>
      <c r="BA162" s="31"/>
      <c r="BB162" s="1465"/>
      <c r="BC162" s="1370"/>
      <c r="BD162" s="31"/>
      <c r="BE162" s="1465"/>
      <c r="BF162" s="1370"/>
      <c r="BG162" s="31"/>
      <c r="BH162" s="1465"/>
      <c r="BI162" s="1370"/>
      <c r="BJ162" s="31"/>
      <c r="BK162" s="1465"/>
      <c r="BL162" s="1370"/>
      <c r="BM162" s="31"/>
      <c r="BN162" s="1465"/>
      <c r="BO162" s="1370"/>
      <c r="BP162" s="31"/>
      <c r="BQ162" s="1465"/>
      <c r="BR162" s="1370"/>
      <c r="BS162" s="31"/>
      <c r="BT162" s="1465"/>
      <c r="BU162" s="1370"/>
      <c r="BV162" s="31"/>
      <c r="BW162" s="1465"/>
      <c r="BX162" s="1370"/>
      <c r="BY162" s="31"/>
      <c r="BZ162" s="1465"/>
      <c r="CA162" s="1370"/>
      <c r="CB162" s="31"/>
      <c r="CC162" s="1465"/>
      <c r="CD162" s="1370"/>
      <c r="CE162" s="31"/>
      <c r="CF162" s="1465"/>
      <c r="CG162" s="1370"/>
      <c r="CH162" s="31"/>
      <c r="CI162" s="1465"/>
      <c r="CJ162" s="1370"/>
      <c r="CK162" s="31"/>
      <c r="CL162" s="1273"/>
    </row>
    <row r="163" ht="18.75" customHeight="1">
      <c r="A163" s="1238"/>
      <c r="B163" s="1238"/>
      <c r="C163" s="1370"/>
      <c r="D163" s="1370"/>
      <c r="E163" s="1370"/>
      <c r="F163" s="1370"/>
      <c r="G163" s="1370"/>
      <c r="H163" s="1370"/>
      <c r="I163" s="1370"/>
      <c r="J163" s="1370"/>
      <c r="K163" s="1370"/>
      <c r="L163" s="1370"/>
      <c r="M163" s="1370"/>
      <c r="N163" s="31"/>
      <c r="O163" s="1465"/>
      <c r="P163" s="1370"/>
      <c r="Q163" s="31"/>
      <c r="R163" s="1465"/>
      <c r="S163" s="1370"/>
      <c r="T163" s="31"/>
      <c r="U163" s="1465"/>
      <c r="V163" s="1370"/>
      <c r="W163" s="31"/>
      <c r="X163" s="1465"/>
      <c r="Y163" s="1370"/>
      <c r="Z163" s="31"/>
      <c r="AA163" s="1465"/>
      <c r="AB163" s="1370"/>
      <c r="AC163" s="1371"/>
      <c r="AD163" s="1465"/>
      <c r="AE163" s="1370"/>
      <c r="AF163" s="1371"/>
      <c r="AG163" s="1465"/>
      <c r="AH163" s="1370"/>
      <c r="AI163" s="31"/>
      <c r="AJ163" s="1465"/>
      <c r="AK163" s="1370"/>
      <c r="AL163" s="31"/>
      <c r="AM163" s="1465"/>
      <c r="AN163" s="1370"/>
      <c r="AO163" s="31"/>
      <c r="AP163" s="1465"/>
      <c r="AQ163" s="1324"/>
      <c r="AR163" s="1325" t="s">
        <v>2530</v>
      </c>
      <c r="AS163" s="1465"/>
      <c r="AT163" s="1370"/>
      <c r="AU163" s="1371"/>
      <c r="AV163" s="1465"/>
      <c r="AW163" s="1370"/>
      <c r="AX163" s="31"/>
      <c r="AY163" s="1465"/>
      <c r="AZ163" s="1370"/>
      <c r="BA163" s="31"/>
      <c r="BB163" s="1465"/>
      <c r="BC163" s="1370"/>
      <c r="BD163" s="31"/>
      <c r="BE163" s="1465"/>
      <c r="BF163" s="1370"/>
      <c r="BG163" s="31"/>
      <c r="BH163" s="1465"/>
      <c r="BI163" s="1370"/>
      <c r="BJ163" s="31"/>
      <c r="BK163" s="1465"/>
      <c r="BL163" s="1370"/>
      <c r="BM163" s="31"/>
      <c r="BN163" s="1465"/>
      <c r="BO163" s="1370"/>
      <c r="BP163" s="31"/>
      <c r="BQ163" s="1465"/>
      <c r="BR163" s="1370"/>
      <c r="BS163" s="31"/>
      <c r="BT163" s="1465"/>
      <c r="BU163" s="1370"/>
      <c r="BV163" s="31"/>
      <c r="BW163" s="1465"/>
      <c r="BX163" s="1370"/>
      <c r="BY163" s="31"/>
      <c r="BZ163" s="1465"/>
      <c r="CA163" s="1370"/>
      <c r="CB163" s="31"/>
      <c r="CC163" s="1465"/>
      <c r="CD163" s="1370"/>
      <c r="CE163" s="31"/>
      <c r="CF163" s="1465"/>
      <c r="CG163" s="1370"/>
      <c r="CH163" s="31"/>
      <c r="CI163" s="1465"/>
      <c r="CJ163" s="1370"/>
      <c r="CK163" s="31"/>
      <c r="CL163" s="1273"/>
    </row>
    <row r="164" ht="18.75" customHeight="1">
      <c r="A164" s="1238"/>
      <c r="B164" s="1238"/>
      <c r="C164" s="1370"/>
      <c r="D164" s="1370"/>
      <c r="E164" s="1370"/>
      <c r="F164" s="1370"/>
      <c r="G164" s="1370"/>
      <c r="H164" s="1370"/>
      <c r="I164" s="1370"/>
      <c r="J164" s="1370"/>
      <c r="K164" s="1370"/>
      <c r="L164" s="1370"/>
      <c r="M164" s="1370"/>
      <c r="N164" s="31"/>
      <c r="O164" s="1465"/>
      <c r="P164" s="1370"/>
      <c r="Q164" s="31"/>
      <c r="R164" s="1465"/>
      <c r="S164" s="1370"/>
      <c r="T164" s="31"/>
      <c r="U164" s="1465"/>
      <c r="V164" s="1370"/>
      <c r="W164" s="31"/>
      <c r="X164" s="1465"/>
      <c r="Y164" s="1370"/>
      <c r="Z164" s="31"/>
      <c r="AA164" s="1465"/>
      <c r="AB164" s="1370"/>
      <c r="AC164" s="1371"/>
      <c r="AD164" s="1465"/>
      <c r="AE164" s="1370"/>
      <c r="AF164" s="1371"/>
      <c r="AG164" s="1465"/>
      <c r="AH164" s="1370"/>
      <c r="AI164" s="31"/>
      <c r="AJ164" s="1465"/>
      <c r="AK164" s="1370"/>
      <c r="AL164" s="31"/>
      <c r="AM164" s="1465"/>
      <c r="AN164" s="1370"/>
      <c r="AO164" s="31"/>
      <c r="AP164" s="1465"/>
      <c r="AQ164" s="1346"/>
      <c r="AR164" s="1296" t="s">
        <v>2531</v>
      </c>
      <c r="AS164" s="1465"/>
      <c r="AT164" s="1370"/>
      <c r="AU164" s="1371"/>
      <c r="AV164" s="1465"/>
      <c r="AW164" s="1370"/>
      <c r="AX164" s="31"/>
      <c r="AY164" s="1465"/>
      <c r="AZ164" s="1370"/>
      <c r="BA164" s="31"/>
      <c r="BB164" s="1465"/>
      <c r="BC164" s="1370"/>
      <c r="BD164" s="31"/>
      <c r="BE164" s="1465"/>
      <c r="BF164" s="1370"/>
      <c r="BG164" s="31"/>
      <c r="BH164" s="1465"/>
      <c r="BI164" s="1370"/>
      <c r="BJ164" s="31"/>
      <c r="BK164" s="1465"/>
      <c r="BL164" s="1370"/>
      <c r="BM164" s="31"/>
      <c r="BN164" s="1465"/>
      <c r="BO164" s="1370"/>
      <c r="BP164" s="31"/>
      <c r="BQ164" s="1465"/>
      <c r="BR164" s="1370"/>
      <c r="BS164" s="31"/>
      <c r="BT164" s="1465"/>
      <c r="BU164" s="1370"/>
      <c r="BV164" s="31"/>
      <c r="BW164" s="1465"/>
      <c r="BX164" s="1370"/>
      <c r="BY164" s="31"/>
      <c r="BZ164" s="1465"/>
      <c r="CA164" s="1370"/>
      <c r="CB164" s="31"/>
      <c r="CC164" s="1465"/>
      <c r="CD164" s="1370"/>
      <c r="CE164" s="31"/>
      <c r="CF164" s="1465"/>
      <c r="CG164" s="1370"/>
      <c r="CH164" s="31"/>
      <c r="CI164" s="1465"/>
      <c r="CJ164" s="1370"/>
      <c r="CK164" s="31"/>
      <c r="CL164" s="1273"/>
    </row>
    <row r="165" ht="18.75" customHeight="1">
      <c r="A165" s="1238"/>
      <c r="B165" s="1238"/>
      <c r="C165" s="1370"/>
      <c r="D165" s="1370"/>
      <c r="E165" s="1370"/>
      <c r="F165" s="1370"/>
      <c r="G165" s="1370"/>
      <c r="H165" s="1370"/>
      <c r="I165" s="1370"/>
      <c r="J165" s="1370"/>
      <c r="K165" s="1370"/>
      <c r="L165" s="1370"/>
      <c r="M165" s="1370"/>
      <c r="N165" s="31"/>
      <c r="O165" s="1465"/>
      <c r="P165" s="1370"/>
      <c r="Q165" s="31"/>
      <c r="R165" s="1465"/>
      <c r="S165" s="1370"/>
      <c r="T165" s="31"/>
      <c r="U165" s="1465"/>
      <c r="V165" s="1370"/>
      <c r="W165" s="31"/>
      <c r="X165" s="1465"/>
      <c r="Y165" s="1370"/>
      <c r="Z165" s="31"/>
      <c r="AA165" s="1465"/>
      <c r="AB165" s="1370"/>
      <c r="AC165" s="1371"/>
      <c r="AD165" s="1465"/>
      <c r="AE165" s="1370"/>
      <c r="AF165" s="1371"/>
      <c r="AG165" s="1465"/>
      <c r="AH165" s="1370"/>
      <c r="AI165" s="31"/>
      <c r="AJ165" s="1465"/>
      <c r="AK165" s="1370"/>
      <c r="AL165" s="31"/>
      <c r="AM165" s="1465"/>
      <c r="AN165" s="1370"/>
      <c r="AO165" s="31"/>
      <c r="AP165" s="1465"/>
      <c r="AQ165" s="1324"/>
      <c r="AR165" s="1325" t="s">
        <v>2532</v>
      </c>
      <c r="AS165" s="1465"/>
      <c r="AT165" s="1370"/>
      <c r="AU165" s="1371"/>
      <c r="AV165" s="1465"/>
      <c r="AW165" s="1370"/>
      <c r="AX165" s="31"/>
      <c r="AY165" s="1465"/>
      <c r="AZ165" s="1370"/>
      <c r="BA165" s="31"/>
      <c r="BB165" s="1465"/>
      <c r="BC165" s="1370"/>
      <c r="BD165" s="31"/>
      <c r="BE165" s="1465"/>
      <c r="BF165" s="1370"/>
      <c r="BG165" s="31"/>
      <c r="BH165" s="1465"/>
      <c r="BI165" s="1370"/>
      <c r="BJ165" s="31"/>
      <c r="BK165" s="1465"/>
      <c r="BL165" s="1370"/>
      <c r="BM165" s="31"/>
      <c r="BN165" s="1465"/>
      <c r="BO165" s="1370"/>
      <c r="BP165" s="31"/>
      <c r="BQ165" s="1465"/>
      <c r="BR165" s="1370"/>
      <c r="BS165" s="31"/>
      <c r="BT165" s="1465"/>
      <c r="BU165" s="1370"/>
      <c r="BV165" s="31"/>
      <c r="BW165" s="1465"/>
      <c r="BX165" s="1370"/>
      <c r="BY165" s="31"/>
      <c r="BZ165" s="1465"/>
      <c r="CA165" s="1370"/>
      <c r="CB165" s="31"/>
      <c r="CC165" s="1465"/>
      <c r="CD165" s="1370"/>
      <c r="CE165" s="31"/>
      <c r="CF165" s="1465"/>
      <c r="CG165" s="1370"/>
      <c r="CH165" s="31"/>
      <c r="CI165" s="1465"/>
      <c r="CJ165" s="1370"/>
      <c r="CK165" s="31"/>
      <c r="CL165" s="1273"/>
    </row>
    <row r="166" ht="18.75" customHeight="1">
      <c r="A166" s="1238"/>
      <c r="B166" s="1238"/>
      <c r="C166" s="1370"/>
      <c r="D166" s="1370"/>
      <c r="E166" s="1370"/>
      <c r="F166" s="1370"/>
      <c r="G166" s="1370"/>
      <c r="H166" s="1370"/>
      <c r="I166" s="1370"/>
      <c r="J166" s="1370"/>
      <c r="K166" s="1370"/>
      <c r="L166" s="1370"/>
      <c r="M166" s="1370"/>
      <c r="N166" s="31"/>
      <c r="O166" s="1465"/>
      <c r="P166" s="1370"/>
      <c r="Q166" s="31"/>
      <c r="R166" s="1465"/>
      <c r="S166" s="1370"/>
      <c r="T166" s="31"/>
      <c r="U166" s="1465"/>
      <c r="V166" s="1370"/>
      <c r="W166" s="31"/>
      <c r="X166" s="1465"/>
      <c r="Y166" s="1370"/>
      <c r="Z166" s="31"/>
      <c r="AA166" s="1465"/>
      <c r="AB166" s="1370"/>
      <c r="AC166" s="1371"/>
      <c r="AD166" s="1465"/>
      <c r="AE166" s="1370"/>
      <c r="AF166" s="1371"/>
      <c r="AG166" s="1465"/>
      <c r="AH166" s="1370"/>
      <c r="AI166" s="31"/>
      <c r="AJ166" s="1465"/>
      <c r="AK166" s="1370"/>
      <c r="AL166" s="31"/>
      <c r="AM166" s="1465"/>
      <c r="AN166" s="1370"/>
      <c r="AO166" s="31"/>
      <c r="AP166" s="1465"/>
      <c r="AQ166" s="1346"/>
      <c r="AR166" s="1296" t="s">
        <v>2533</v>
      </c>
      <c r="AS166" s="1465"/>
      <c r="AT166" s="1370"/>
      <c r="AU166" s="1371"/>
      <c r="AV166" s="1465"/>
      <c r="AW166" s="1370"/>
      <c r="AX166" s="31"/>
      <c r="AY166" s="1465"/>
      <c r="AZ166" s="1370"/>
      <c r="BA166" s="31"/>
      <c r="BB166" s="1465"/>
      <c r="BC166" s="1370"/>
      <c r="BD166" s="31"/>
      <c r="BE166" s="1465"/>
      <c r="BF166" s="1370"/>
      <c r="BG166" s="31"/>
      <c r="BH166" s="1465"/>
      <c r="BI166" s="1370"/>
      <c r="BJ166" s="31"/>
      <c r="BK166" s="1465"/>
      <c r="BL166" s="1370"/>
      <c r="BM166" s="31"/>
      <c r="BN166" s="1465"/>
      <c r="BO166" s="1370"/>
      <c r="BP166" s="31"/>
      <c r="BQ166" s="1465"/>
      <c r="BR166" s="1370"/>
      <c r="BS166" s="31"/>
      <c r="BT166" s="1465"/>
      <c r="BU166" s="1370"/>
      <c r="BV166" s="31"/>
      <c r="BW166" s="1465"/>
      <c r="BX166" s="1370"/>
      <c r="BY166" s="31"/>
      <c r="BZ166" s="1465"/>
      <c r="CA166" s="1370"/>
      <c r="CB166" s="31"/>
      <c r="CC166" s="1465"/>
      <c r="CD166" s="1370"/>
      <c r="CE166" s="31"/>
      <c r="CF166" s="1465"/>
      <c r="CG166" s="1370"/>
      <c r="CH166" s="31"/>
      <c r="CI166" s="1465"/>
      <c r="CJ166" s="1370"/>
      <c r="CK166" s="31"/>
      <c r="CL166" s="1273"/>
    </row>
    <row r="167" ht="18.75" customHeight="1">
      <c r="A167" s="1238"/>
      <c r="B167" s="1238"/>
      <c r="C167" s="1370"/>
      <c r="D167" s="1370"/>
      <c r="E167" s="1370"/>
      <c r="F167" s="1370"/>
      <c r="G167" s="1370"/>
      <c r="H167" s="1370"/>
      <c r="I167" s="1370"/>
      <c r="J167" s="1370"/>
      <c r="K167" s="1370"/>
      <c r="L167" s="1370"/>
      <c r="M167" s="1370"/>
      <c r="N167" s="31"/>
      <c r="O167" s="1465"/>
      <c r="P167" s="1370"/>
      <c r="Q167" s="31"/>
      <c r="R167" s="1465"/>
      <c r="S167" s="1370"/>
      <c r="T167" s="31"/>
      <c r="U167" s="1465"/>
      <c r="V167" s="1370"/>
      <c r="W167" s="31"/>
      <c r="X167" s="1465"/>
      <c r="Y167" s="1370"/>
      <c r="Z167" s="31"/>
      <c r="AA167" s="1465"/>
      <c r="AB167" s="1370"/>
      <c r="AC167" s="1371"/>
      <c r="AD167" s="1465"/>
      <c r="AE167" s="1370"/>
      <c r="AF167" s="1371"/>
      <c r="AG167" s="1465"/>
      <c r="AH167" s="1370"/>
      <c r="AI167" s="31"/>
      <c r="AJ167" s="1465"/>
      <c r="AK167" s="1370"/>
      <c r="AL167" s="31"/>
      <c r="AM167" s="1465"/>
      <c r="AN167" s="1370"/>
      <c r="AO167" s="31"/>
      <c r="AP167" s="1465"/>
      <c r="AQ167" s="1324"/>
      <c r="AR167" s="1325" t="s">
        <v>2534</v>
      </c>
      <c r="AS167" s="1465"/>
      <c r="AT167" s="1370"/>
      <c r="AU167" s="1371"/>
      <c r="AV167" s="1465"/>
      <c r="AW167" s="1370"/>
      <c r="AX167" s="31"/>
      <c r="AY167" s="1465"/>
      <c r="AZ167" s="1370"/>
      <c r="BA167" s="31"/>
      <c r="BB167" s="1465"/>
      <c r="BC167" s="1370"/>
      <c r="BD167" s="31"/>
      <c r="BE167" s="1465"/>
      <c r="BF167" s="1370"/>
      <c r="BG167" s="31"/>
      <c r="BH167" s="1465"/>
      <c r="BI167" s="1370"/>
      <c r="BJ167" s="31"/>
      <c r="BK167" s="1465"/>
      <c r="BL167" s="1370"/>
      <c r="BM167" s="31"/>
      <c r="BN167" s="1465"/>
      <c r="BO167" s="1370"/>
      <c r="BP167" s="31"/>
      <c r="BQ167" s="1465"/>
      <c r="BR167" s="1370"/>
      <c r="BS167" s="31"/>
      <c r="BT167" s="1465"/>
      <c r="BU167" s="1370"/>
      <c r="BV167" s="31"/>
      <c r="BW167" s="1465"/>
      <c r="BX167" s="1370"/>
      <c r="BY167" s="31"/>
      <c r="BZ167" s="1465"/>
      <c r="CA167" s="1370"/>
      <c r="CB167" s="31"/>
      <c r="CC167" s="1465"/>
      <c r="CD167" s="1370"/>
      <c r="CE167" s="31"/>
      <c r="CF167" s="1465"/>
      <c r="CG167" s="1370"/>
      <c r="CH167" s="31"/>
      <c r="CI167" s="1465"/>
      <c r="CJ167" s="1370"/>
      <c r="CK167" s="31"/>
      <c r="CL167" s="1273"/>
    </row>
    <row r="168" ht="18.75" customHeight="1">
      <c r="A168" s="1238"/>
      <c r="B168" s="1238"/>
      <c r="C168" s="1370"/>
      <c r="D168" s="1370"/>
      <c r="E168" s="1370"/>
      <c r="F168" s="1370"/>
      <c r="G168" s="1370"/>
      <c r="H168" s="1370"/>
      <c r="I168" s="1370"/>
      <c r="J168" s="1370"/>
      <c r="K168" s="1370"/>
      <c r="L168" s="1370"/>
      <c r="M168" s="1370"/>
      <c r="N168" s="31"/>
      <c r="O168" s="1465"/>
      <c r="P168" s="1370"/>
      <c r="Q168" s="31"/>
      <c r="R168" s="1465"/>
      <c r="S168" s="1370"/>
      <c r="T168" s="31"/>
      <c r="U168" s="1465"/>
      <c r="V168" s="1370"/>
      <c r="W168" s="31"/>
      <c r="X168" s="1465"/>
      <c r="Y168" s="1370"/>
      <c r="Z168" s="31"/>
      <c r="AA168" s="1465"/>
      <c r="AB168" s="1370"/>
      <c r="AC168" s="1371"/>
      <c r="AD168" s="1465"/>
      <c r="AE168" s="1370"/>
      <c r="AF168" s="1371"/>
      <c r="AG168" s="1465"/>
      <c r="AH168" s="1370"/>
      <c r="AI168" s="31"/>
      <c r="AJ168" s="1465"/>
      <c r="AK168" s="1370"/>
      <c r="AL168" s="31"/>
      <c r="AM168" s="1465"/>
      <c r="AN168" s="1370"/>
      <c r="AO168" s="31"/>
      <c r="AP168" s="1465"/>
      <c r="AQ168" s="1346"/>
      <c r="AR168" s="1296" t="s">
        <v>2535</v>
      </c>
      <c r="AS168" s="1465"/>
      <c r="AT168" s="1370"/>
      <c r="AU168" s="1371"/>
      <c r="AV168" s="1465"/>
      <c r="AW168" s="1370"/>
      <c r="AX168" s="31"/>
      <c r="AY168" s="1465"/>
      <c r="AZ168" s="1370"/>
      <c r="BA168" s="31"/>
      <c r="BB168" s="1465"/>
      <c r="BC168" s="1370"/>
      <c r="BD168" s="31"/>
      <c r="BE168" s="1465"/>
      <c r="BF168" s="1370"/>
      <c r="BG168" s="31"/>
      <c r="BH168" s="1465"/>
      <c r="BI168" s="1370"/>
      <c r="BJ168" s="31"/>
      <c r="BK168" s="1465"/>
      <c r="BL168" s="1370"/>
      <c r="BM168" s="31"/>
      <c r="BN168" s="1465"/>
      <c r="BO168" s="1370"/>
      <c r="BP168" s="31"/>
      <c r="BQ168" s="1465"/>
      <c r="BR168" s="1370"/>
      <c r="BS168" s="31"/>
      <c r="BT168" s="1465"/>
      <c r="BU168" s="1370"/>
      <c r="BV168" s="31"/>
      <c r="BW168" s="1465"/>
      <c r="BX168" s="1370"/>
      <c r="BY168" s="31"/>
      <c r="BZ168" s="1465"/>
      <c r="CA168" s="1370"/>
      <c r="CB168" s="31"/>
      <c r="CC168" s="1465"/>
      <c r="CD168" s="1370"/>
      <c r="CE168" s="31"/>
      <c r="CF168" s="1465"/>
      <c r="CG168" s="1370"/>
      <c r="CH168" s="31"/>
      <c r="CI168" s="1465"/>
      <c r="CJ168" s="1370"/>
      <c r="CK168" s="31"/>
      <c r="CL168" s="1273"/>
    </row>
    <row r="169" ht="18.75" customHeight="1">
      <c r="A169" s="1238"/>
      <c r="B169" s="1238"/>
      <c r="C169" s="1370"/>
      <c r="D169" s="1370"/>
      <c r="E169" s="1370"/>
      <c r="F169" s="1370"/>
      <c r="G169" s="1370"/>
      <c r="H169" s="1370"/>
      <c r="I169" s="1370"/>
      <c r="J169" s="1370"/>
      <c r="K169" s="1370"/>
      <c r="L169" s="1370"/>
      <c r="M169" s="1370"/>
      <c r="N169" s="31"/>
      <c r="O169" s="1465"/>
      <c r="P169" s="1370"/>
      <c r="Q169" s="31"/>
      <c r="R169" s="1465"/>
      <c r="S169" s="1370"/>
      <c r="T169" s="31"/>
      <c r="U169" s="1465"/>
      <c r="V169" s="1370"/>
      <c r="W169" s="31"/>
      <c r="X169" s="1465"/>
      <c r="Y169" s="1370"/>
      <c r="Z169" s="31"/>
      <c r="AA169" s="1465"/>
      <c r="AB169" s="1370"/>
      <c r="AC169" s="1371"/>
      <c r="AD169" s="1465"/>
      <c r="AE169" s="1370"/>
      <c r="AF169" s="1371"/>
      <c r="AG169" s="1465"/>
      <c r="AH169" s="1370"/>
      <c r="AI169" s="31"/>
      <c r="AJ169" s="1465"/>
      <c r="AK169" s="1370"/>
      <c r="AL169" s="31"/>
      <c r="AM169" s="1465"/>
      <c r="AN169" s="1370"/>
      <c r="AO169" s="31"/>
      <c r="AP169" s="1465"/>
      <c r="AQ169" s="1324"/>
      <c r="AR169" s="1325" t="s">
        <v>2536</v>
      </c>
      <c r="AS169" s="1465"/>
      <c r="AT169" s="1370"/>
      <c r="AU169" s="1371"/>
      <c r="AV169" s="1465"/>
      <c r="AW169" s="1370"/>
      <c r="AX169" s="31"/>
      <c r="AY169" s="1465"/>
      <c r="AZ169" s="1370"/>
      <c r="BA169" s="31"/>
      <c r="BB169" s="1465"/>
      <c r="BC169" s="1370"/>
      <c r="BD169" s="31"/>
      <c r="BE169" s="1465"/>
      <c r="BF169" s="1370"/>
      <c r="BG169" s="31"/>
      <c r="BH169" s="1465"/>
      <c r="BI169" s="1370"/>
      <c r="BJ169" s="31"/>
      <c r="BK169" s="1465"/>
      <c r="BL169" s="1370"/>
      <c r="BM169" s="31"/>
      <c r="BN169" s="1465"/>
      <c r="BO169" s="1370"/>
      <c r="BP169" s="31"/>
      <c r="BQ169" s="1465"/>
      <c r="BR169" s="1370"/>
      <c r="BS169" s="31"/>
      <c r="BT169" s="1465"/>
      <c r="BU169" s="1370"/>
      <c r="BV169" s="31"/>
      <c r="BW169" s="1465"/>
      <c r="BX169" s="1370"/>
      <c r="BY169" s="31"/>
      <c r="BZ169" s="1465"/>
      <c r="CA169" s="1370"/>
      <c r="CB169" s="31"/>
      <c r="CC169" s="1465"/>
      <c r="CD169" s="1370"/>
      <c r="CE169" s="31"/>
      <c r="CF169" s="1465"/>
      <c r="CG169" s="1370"/>
      <c r="CH169" s="31"/>
      <c r="CI169" s="1465"/>
      <c r="CJ169" s="1370"/>
      <c r="CK169" s="31"/>
      <c r="CL169" s="1273"/>
    </row>
    <row r="170" ht="18.75" customHeight="1">
      <c r="A170" s="1238"/>
      <c r="B170" s="1238"/>
      <c r="C170" s="1370"/>
      <c r="D170" s="1370"/>
      <c r="E170" s="1370"/>
      <c r="F170" s="1370"/>
      <c r="G170" s="1370"/>
      <c r="H170" s="1370"/>
      <c r="I170" s="1370"/>
      <c r="J170" s="1370"/>
      <c r="K170" s="1370"/>
      <c r="L170" s="1370"/>
      <c r="M170" s="1370"/>
      <c r="N170" s="31"/>
      <c r="O170" s="1465"/>
      <c r="P170" s="1370"/>
      <c r="Q170" s="31"/>
      <c r="R170" s="1465"/>
      <c r="S170" s="1370"/>
      <c r="T170" s="31"/>
      <c r="U170" s="1465"/>
      <c r="V170" s="1370"/>
      <c r="W170" s="31"/>
      <c r="X170" s="1465"/>
      <c r="Y170" s="1370"/>
      <c r="Z170" s="31"/>
      <c r="AA170" s="1465"/>
      <c r="AB170" s="1370"/>
      <c r="AC170" s="1371"/>
      <c r="AD170" s="1465"/>
      <c r="AE170" s="1370"/>
      <c r="AF170" s="1371"/>
      <c r="AG170" s="1465"/>
      <c r="AH170" s="1370"/>
      <c r="AI170" s="31"/>
      <c r="AJ170" s="1465"/>
      <c r="AK170" s="1370"/>
      <c r="AL170" s="31"/>
      <c r="AM170" s="1465"/>
      <c r="AN170" s="1370"/>
      <c r="AO170" s="31"/>
      <c r="AP170" s="1465"/>
      <c r="AQ170" s="1346"/>
      <c r="AR170" s="1296" t="s">
        <v>2537</v>
      </c>
      <c r="AS170" s="1465"/>
      <c r="AT170" s="1370"/>
      <c r="AU170" s="1371"/>
      <c r="AV170" s="1465"/>
      <c r="AW170" s="1370"/>
      <c r="AX170" s="31"/>
      <c r="AY170" s="1465"/>
      <c r="AZ170" s="1370"/>
      <c r="BA170" s="31"/>
      <c r="BB170" s="1465"/>
      <c r="BC170" s="1370"/>
      <c r="BD170" s="31"/>
      <c r="BE170" s="1465"/>
      <c r="BF170" s="1370"/>
      <c r="BG170" s="31"/>
      <c r="BH170" s="1465"/>
      <c r="BI170" s="1370"/>
      <c r="BJ170" s="31"/>
      <c r="BK170" s="1465"/>
      <c r="BL170" s="1370"/>
      <c r="BM170" s="31"/>
      <c r="BN170" s="1465"/>
      <c r="BO170" s="1370"/>
      <c r="BP170" s="31"/>
      <c r="BQ170" s="1465"/>
      <c r="BR170" s="1370"/>
      <c r="BS170" s="31"/>
      <c r="BT170" s="1465"/>
      <c r="BU170" s="1370"/>
      <c r="BV170" s="31"/>
      <c r="BW170" s="1465"/>
      <c r="BX170" s="1370"/>
      <c r="BY170" s="31"/>
      <c r="BZ170" s="1465"/>
      <c r="CA170" s="1370"/>
      <c r="CB170" s="31"/>
      <c r="CC170" s="1465"/>
      <c r="CD170" s="1370"/>
      <c r="CE170" s="31"/>
      <c r="CF170" s="1465"/>
      <c r="CG170" s="1370"/>
      <c r="CH170" s="31"/>
      <c r="CI170" s="1465"/>
      <c r="CJ170" s="1370"/>
      <c r="CK170" s="31"/>
      <c r="CL170" s="1273"/>
    </row>
    <row r="171" ht="18.75" customHeight="1">
      <c r="A171" s="1238"/>
      <c r="B171" s="1238"/>
      <c r="C171" s="1370"/>
      <c r="D171" s="1370"/>
      <c r="E171" s="1370"/>
      <c r="F171" s="1370"/>
      <c r="G171" s="1370"/>
      <c r="H171" s="1370"/>
      <c r="I171" s="1370"/>
      <c r="J171" s="1370"/>
      <c r="K171" s="1370"/>
      <c r="L171" s="1370"/>
      <c r="M171" s="1370"/>
      <c r="N171" s="31"/>
      <c r="O171" s="1465"/>
      <c r="P171" s="1370"/>
      <c r="Q171" s="31"/>
      <c r="R171" s="1465"/>
      <c r="S171" s="1370"/>
      <c r="T171" s="31"/>
      <c r="U171" s="1465"/>
      <c r="V171" s="1370"/>
      <c r="W171" s="31"/>
      <c r="X171" s="1465"/>
      <c r="Y171" s="1370"/>
      <c r="Z171" s="31"/>
      <c r="AA171" s="1465"/>
      <c r="AB171" s="1370"/>
      <c r="AC171" s="1371"/>
      <c r="AD171" s="1465"/>
      <c r="AE171" s="1370"/>
      <c r="AF171" s="1371"/>
      <c r="AG171" s="1465"/>
      <c r="AH171" s="1370"/>
      <c r="AI171" s="31"/>
      <c r="AJ171" s="1465"/>
      <c r="AK171" s="1370"/>
      <c r="AL171" s="31"/>
      <c r="AM171" s="1465"/>
      <c r="AN171" s="1370"/>
      <c r="AO171" s="31"/>
      <c r="AP171" s="1465"/>
      <c r="AQ171" s="1324"/>
      <c r="AR171" s="1325" t="s">
        <v>2538</v>
      </c>
      <c r="AS171" s="1465"/>
      <c r="AT171" s="1370"/>
      <c r="AU171" s="1371"/>
      <c r="AV171" s="1465"/>
      <c r="AW171" s="1370"/>
      <c r="AX171" s="31"/>
      <c r="AY171" s="1465"/>
      <c r="AZ171" s="1370"/>
      <c r="BA171" s="31"/>
      <c r="BB171" s="1465"/>
      <c r="BC171" s="1370"/>
      <c r="BD171" s="31"/>
      <c r="BE171" s="1465"/>
      <c r="BF171" s="1370"/>
      <c r="BG171" s="31"/>
      <c r="BH171" s="1465"/>
      <c r="BI171" s="1370"/>
      <c r="BJ171" s="31"/>
      <c r="BK171" s="1465"/>
      <c r="BL171" s="1370"/>
      <c r="BM171" s="31"/>
      <c r="BN171" s="1465"/>
      <c r="BO171" s="1370"/>
      <c r="BP171" s="31"/>
      <c r="BQ171" s="1465"/>
      <c r="BR171" s="1370"/>
      <c r="BS171" s="31"/>
      <c r="BT171" s="1465"/>
      <c r="BU171" s="1370"/>
      <c r="BV171" s="31"/>
      <c r="BW171" s="1465"/>
      <c r="BX171" s="1370"/>
      <c r="BY171" s="31"/>
      <c r="BZ171" s="1465"/>
      <c r="CA171" s="1370"/>
      <c r="CB171" s="31"/>
      <c r="CC171" s="1465"/>
      <c r="CD171" s="1370"/>
      <c r="CE171" s="31"/>
      <c r="CF171" s="1465"/>
      <c r="CG171" s="1370"/>
      <c r="CH171" s="31"/>
      <c r="CI171" s="1465"/>
      <c r="CJ171" s="1370"/>
      <c r="CK171" s="31"/>
      <c r="CL171" s="1273"/>
    </row>
    <row r="172" ht="18.75" customHeight="1">
      <c r="A172" s="1238"/>
      <c r="B172" s="1238"/>
      <c r="C172" s="1370"/>
      <c r="D172" s="1370"/>
      <c r="E172" s="1370"/>
      <c r="F172" s="1370"/>
      <c r="G172" s="1370"/>
      <c r="H172" s="1370"/>
      <c r="I172" s="1370"/>
      <c r="J172" s="1370"/>
      <c r="K172" s="1370"/>
      <c r="L172" s="1370"/>
      <c r="M172" s="1370"/>
      <c r="N172" s="31"/>
      <c r="O172" s="1465"/>
      <c r="P172" s="1370"/>
      <c r="Q172" s="31"/>
      <c r="R172" s="1465"/>
      <c r="S172" s="1370"/>
      <c r="T172" s="31"/>
      <c r="U172" s="1465"/>
      <c r="V172" s="1370"/>
      <c r="W172" s="31"/>
      <c r="X172" s="1465"/>
      <c r="Y172" s="1370"/>
      <c r="Z172" s="31"/>
      <c r="AA172" s="1465"/>
      <c r="AB172" s="1370"/>
      <c r="AC172" s="1371"/>
      <c r="AD172" s="1465"/>
      <c r="AE172" s="1370"/>
      <c r="AF172" s="1371"/>
      <c r="AG172" s="1465"/>
      <c r="AH172" s="1370"/>
      <c r="AI172" s="31"/>
      <c r="AJ172" s="1465"/>
      <c r="AK172" s="1370"/>
      <c r="AL172" s="31"/>
      <c r="AM172" s="1465"/>
      <c r="AN172" s="1370"/>
      <c r="AO172" s="31"/>
      <c r="AP172" s="1465"/>
      <c r="AQ172" s="1324"/>
      <c r="AR172" s="1325" t="s">
        <v>2539</v>
      </c>
      <c r="AS172" s="1465"/>
      <c r="AT172" s="1370"/>
      <c r="AU172" s="1371"/>
      <c r="AV172" s="1465"/>
      <c r="AW172" s="1370"/>
      <c r="AX172" s="31"/>
      <c r="AY172" s="1465"/>
      <c r="AZ172" s="1370"/>
      <c r="BA172" s="31"/>
      <c r="BB172" s="1465"/>
      <c r="BC172" s="1370"/>
      <c r="BD172" s="31"/>
      <c r="BE172" s="1465"/>
      <c r="BF172" s="1370"/>
      <c r="BG172" s="31"/>
      <c r="BH172" s="1465"/>
      <c r="BI172" s="1370"/>
      <c r="BJ172" s="31"/>
      <c r="BK172" s="1465"/>
      <c r="BL172" s="1370"/>
      <c r="BM172" s="31"/>
      <c r="BN172" s="1465"/>
      <c r="BO172" s="1370"/>
      <c r="BP172" s="31"/>
      <c r="BQ172" s="1465"/>
      <c r="BR172" s="1370"/>
      <c r="BS172" s="31"/>
      <c r="BT172" s="1465"/>
      <c r="BU172" s="1370"/>
      <c r="BV172" s="31"/>
      <c r="BW172" s="1465"/>
      <c r="BX172" s="1370"/>
      <c r="BY172" s="31"/>
      <c r="BZ172" s="1465"/>
      <c r="CA172" s="1370"/>
      <c r="CB172" s="31"/>
      <c r="CC172" s="1465"/>
      <c r="CD172" s="1370"/>
      <c r="CE172" s="31"/>
      <c r="CF172" s="1465"/>
      <c r="CG172" s="1370"/>
      <c r="CH172" s="31"/>
      <c r="CI172" s="1465"/>
      <c r="CJ172" s="1370"/>
      <c r="CK172" s="31"/>
      <c r="CL172" s="1273"/>
    </row>
    <row r="173" ht="18.75" customHeight="1">
      <c r="A173" s="1238"/>
      <c r="B173" s="1238"/>
      <c r="C173" s="1370"/>
      <c r="D173" s="1370"/>
      <c r="E173" s="1370"/>
      <c r="F173" s="1370"/>
      <c r="G173" s="1370"/>
      <c r="H173" s="1370"/>
      <c r="I173" s="1370"/>
      <c r="J173" s="1370"/>
      <c r="K173" s="1370"/>
      <c r="L173" s="1370"/>
      <c r="M173" s="1370"/>
      <c r="N173" s="31"/>
      <c r="O173" s="1465"/>
      <c r="P173" s="1370"/>
      <c r="Q173" s="31"/>
      <c r="R173" s="1465"/>
      <c r="S173" s="1370"/>
      <c r="T173" s="31"/>
      <c r="U173" s="1465"/>
      <c r="V173" s="1370"/>
      <c r="W173" s="31"/>
      <c r="X173" s="1465"/>
      <c r="Y173" s="1370"/>
      <c r="Z173" s="31"/>
      <c r="AA173" s="1465"/>
      <c r="AB173" s="1370"/>
      <c r="AC173" s="1371"/>
      <c r="AD173" s="1465"/>
      <c r="AE173" s="1370"/>
      <c r="AF173" s="1371"/>
      <c r="AG173" s="1465"/>
      <c r="AH173" s="1370"/>
      <c r="AI173" s="31"/>
      <c r="AJ173" s="1465"/>
      <c r="AK173" s="1370"/>
      <c r="AL173" s="31"/>
      <c r="AM173" s="1465"/>
      <c r="AN173" s="1370"/>
      <c r="AO173" s="31"/>
      <c r="AP173" s="1465"/>
      <c r="AQ173" s="1346"/>
      <c r="AR173" s="1296" t="s">
        <v>2540</v>
      </c>
      <c r="AS173" s="1465"/>
      <c r="AT173" s="1370"/>
      <c r="AU173" s="1371"/>
      <c r="AV173" s="1465"/>
      <c r="AW173" s="1370"/>
      <c r="AX173" s="31"/>
      <c r="AY173" s="1465"/>
      <c r="AZ173" s="1370"/>
      <c r="BA173" s="31"/>
      <c r="BB173" s="1465"/>
      <c r="BC173" s="1370"/>
      <c r="BD173" s="31"/>
      <c r="BE173" s="1465"/>
      <c r="BF173" s="1370"/>
      <c r="BG173" s="31"/>
      <c r="BH173" s="1465"/>
      <c r="BI173" s="1370"/>
      <c r="BJ173" s="31"/>
      <c r="BK173" s="1465"/>
      <c r="BL173" s="1370"/>
      <c r="BM173" s="31"/>
      <c r="BN173" s="1465"/>
      <c r="BO173" s="1370"/>
      <c r="BP173" s="31"/>
      <c r="BQ173" s="1465"/>
      <c r="BR173" s="1370"/>
      <c r="BS173" s="31"/>
      <c r="BT173" s="1465"/>
      <c r="BU173" s="1370"/>
      <c r="BV173" s="31"/>
      <c r="BW173" s="1465"/>
      <c r="BX173" s="1370"/>
      <c r="BY173" s="31"/>
      <c r="BZ173" s="1465"/>
      <c r="CA173" s="1370"/>
      <c r="CB173" s="31"/>
      <c r="CC173" s="1465"/>
      <c r="CD173" s="1370"/>
      <c r="CE173" s="31"/>
      <c r="CF173" s="1465"/>
      <c r="CG173" s="1370"/>
      <c r="CH173" s="31"/>
      <c r="CI173" s="1465"/>
      <c r="CJ173" s="1370"/>
      <c r="CK173" s="31"/>
      <c r="CL173" s="1273"/>
    </row>
    <row r="174" ht="18.75" customHeight="1">
      <c r="A174" s="1238"/>
      <c r="B174" s="1238"/>
      <c r="C174" s="1370"/>
      <c r="D174" s="1370"/>
      <c r="E174" s="1370"/>
      <c r="F174" s="1370"/>
      <c r="G174" s="1370"/>
      <c r="H174" s="1370"/>
      <c r="I174" s="1370"/>
      <c r="J174" s="1370"/>
      <c r="K174" s="1370"/>
      <c r="L174" s="1370"/>
      <c r="M174" s="1370"/>
      <c r="N174" s="31"/>
      <c r="O174" s="1465"/>
      <c r="P174" s="1370"/>
      <c r="Q174" s="31"/>
      <c r="R174" s="1465"/>
      <c r="S174" s="1370"/>
      <c r="T174" s="31"/>
      <c r="U174" s="1465"/>
      <c r="V174" s="1370"/>
      <c r="W174" s="31"/>
      <c r="X174" s="1465"/>
      <c r="Y174" s="1370"/>
      <c r="Z174" s="31"/>
      <c r="AA174" s="1465"/>
      <c r="AB174" s="1370"/>
      <c r="AC174" s="1371"/>
      <c r="AD174" s="1465"/>
      <c r="AE174" s="1370"/>
      <c r="AF174" s="1371"/>
      <c r="AG174" s="1465"/>
      <c r="AH174" s="1370"/>
      <c r="AI174" s="31"/>
      <c r="AJ174" s="1465"/>
      <c r="AK174" s="1370"/>
      <c r="AL174" s="31"/>
      <c r="AM174" s="1465"/>
      <c r="AN174" s="1370"/>
      <c r="AO174" s="31"/>
      <c r="AP174" s="1465"/>
      <c r="AQ174" s="1324"/>
      <c r="AR174" s="1325" t="s">
        <v>2541</v>
      </c>
      <c r="AS174" s="1465"/>
      <c r="AT174" s="1370"/>
      <c r="AU174" s="1371"/>
      <c r="AV174" s="1465"/>
      <c r="AW174" s="1370"/>
      <c r="AX174" s="31"/>
      <c r="AY174" s="1465"/>
      <c r="AZ174" s="1370"/>
      <c r="BA174" s="31"/>
      <c r="BB174" s="1465"/>
      <c r="BC174" s="1370"/>
      <c r="BD174" s="31"/>
      <c r="BE174" s="1465"/>
      <c r="BF174" s="1370"/>
      <c r="BG174" s="31"/>
      <c r="BH174" s="1465"/>
      <c r="BI174" s="1370"/>
      <c r="BJ174" s="31"/>
      <c r="BK174" s="1465"/>
      <c r="BL174" s="1370"/>
      <c r="BM174" s="31"/>
      <c r="BN174" s="1465"/>
      <c r="BO174" s="1370"/>
      <c r="BP174" s="31"/>
      <c r="BQ174" s="1465"/>
      <c r="BR174" s="1370"/>
      <c r="BS174" s="31"/>
      <c r="BT174" s="1465"/>
      <c r="BU174" s="1370"/>
      <c r="BV174" s="31"/>
      <c r="BW174" s="1465"/>
      <c r="BX174" s="1370"/>
      <c r="BY174" s="31"/>
      <c r="BZ174" s="1465"/>
      <c r="CA174" s="1370"/>
      <c r="CB174" s="31"/>
      <c r="CC174" s="1465"/>
      <c r="CD174" s="1370"/>
      <c r="CE174" s="31"/>
      <c r="CF174" s="1465"/>
      <c r="CG174" s="1370"/>
      <c r="CH174" s="31"/>
      <c r="CI174" s="1465"/>
      <c r="CJ174" s="1370"/>
      <c r="CK174" s="31"/>
      <c r="CL174" s="1273"/>
    </row>
    <row r="175" ht="18.75" customHeight="1">
      <c r="A175" s="1238"/>
      <c r="B175" s="1238"/>
      <c r="C175" s="1370"/>
      <c r="D175" s="1370"/>
      <c r="E175" s="1370"/>
      <c r="F175" s="1370"/>
      <c r="G175" s="1370"/>
      <c r="H175" s="1370"/>
      <c r="I175" s="1370"/>
      <c r="J175" s="1370"/>
      <c r="K175" s="1370"/>
      <c r="L175" s="1370"/>
      <c r="M175" s="1370"/>
      <c r="N175" s="31"/>
      <c r="O175" s="1465"/>
      <c r="P175" s="1370"/>
      <c r="Q175" s="31"/>
      <c r="R175" s="1465"/>
      <c r="S175" s="1370"/>
      <c r="T175" s="31"/>
      <c r="U175" s="1465"/>
      <c r="V175" s="1370"/>
      <c r="W175" s="31"/>
      <c r="X175" s="1465"/>
      <c r="Y175" s="1370"/>
      <c r="Z175" s="31"/>
      <c r="AA175" s="1465"/>
      <c r="AB175" s="1370"/>
      <c r="AC175" s="1371"/>
      <c r="AD175" s="1465"/>
      <c r="AE175" s="1370"/>
      <c r="AF175" s="1371"/>
      <c r="AG175" s="1465"/>
      <c r="AH175" s="1370"/>
      <c r="AI175" s="31"/>
      <c r="AJ175" s="1465"/>
      <c r="AK175" s="1370"/>
      <c r="AL175" s="31"/>
      <c r="AM175" s="1465"/>
      <c r="AN175" s="1370"/>
      <c r="AO175" s="31"/>
      <c r="AP175" s="1465"/>
      <c r="AQ175" s="1346"/>
      <c r="AR175" s="1296" t="s">
        <v>2542</v>
      </c>
      <c r="AS175" s="1465"/>
      <c r="AT175" s="1370"/>
      <c r="AU175" s="1371"/>
      <c r="AV175" s="1465"/>
      <c r="AW175" s="1370"/>
      <c r="AX175" s="31"/>
      <c r="AY175" s="1465"/>
      <c r="AZ175" s="1370"/>
      <c r="BA175" s="31"/>
      <c r="BB175" s="1465"/>
      <c r="BC175" s="1370"/>
      <c r="BD175" s="31"/>
      <c r="BE175" s="1465"/>
      <c r="BF175" s="1370"/>
      <c r="BG175" s="31"/>
      <c r="BH175" s="1465"/>
      <c r="BI175" s="1370"/>
      <c r="BJ175" s="31"/>
      <c r="BK175" s="1465"/>
      <c r="BL175" s="1370"/>
      <c r="BM175" s="31"/>
      <c r="BN175" s="1465"/>
      <c r="BO175" s="1370"/>
      <c r="BP175" s="31"/>
      <c r="BQ175" s="1465"/>
      <c r="BR175" s="1370"/>
      <c r="BS175" s="31"/>
      <c r="BT175" s="1465"/>
      <c r="BU175" s="1370"/>
      <c r="BV175" s="31"/>
      <c r="BW175" s="1465"/>
      <c r="BX175" s="1370"/>
      <c r="BY175" s="31"/>
      <c r="BZ175" s="1465"/>
      <c r="CA175" s="1370"/>
      <c r="CB175" s="31"/>
      <c r="CC175" s="1465"/>
      <c r="CD175" s="1370"/>
      <c r="CE175" s="31"/>
      <c r="CF175" s="1465"/>
      <c r="CG175" s="1370"/>
      <c r="CH175" s="31"/>
      <c r="CI175" s="1465"/>
      <c r="CJ175" s="1370"/>
      <c r="CK175" s="31"/>
      <c r="CL175" s="1273"/>
    </row>
    <row r="176" ht="18.75" customHeight="1">
      <c r="A176" s="1238"/>
      <c r="B176" s="1238"/>
      <c r="C176" s="1370"/>
      <c r="D176" s="1370"/>
      <c r="E176" s="1370"/>
      <c r="F176" s="1370"/>
      <c r="G176" s="1370"/>
      <c r="H176" s="1370"/>
      <c r="I176" s="1370"/>
      <c r="J176" s="1370"/>
      <c r="K176" s="1370"/>
      <c r="L176" s="1370"/>
      <c r="M176" s="1370"/>
      <c r="N176" s="31"/>
      <c r="O176" s="1465"/>
      <c r="P176" s="1370"/>
      <c r="Q176" s="31"/>
      <c r="R176" s="1465"/>
      <c r="S176" s="1370"/>
      <c r="T176" s="31"/>
      <c r="U176" s="1465"/>
      <c r="V176" s="1370"/>
      <c r="W176" s="31"/>
      <c r="X176" s="1465"/>
      <c r="Y176" s="1370"/>
      <c r="Z176" s="31"/>
      <c r="AA176" s="1465"/>
      <c r="AB176" s="1370"/>
      <c r="AC176" s="1371"/>
      <c r="AD176" s="1465"/>
      <c r="AE176" s="1370"/>
      <c r="AF176" s="1371"/>
      <c r="AG176" s="1465"/>
      <c r="AH176" s="1370"/>
      <c r="AI176" s="31"/>
      <c r="AJ176" s="1465"/>
      <c r="AK176" s="1370"/>
      <c r="AL176" s="31"/>
      <c r="AM176" s="1465"/>
      <c r="AN176" s="1370"/>
      <c r="AO176" s="31"/>
      <c r="AP176" s="1465"/>
      <c r="AQ176" s="1324"/>
      <c r="AR176" s="1325" t="s">
        <v>2543</v>
      </c>
      <c r="AS176" s="1465"/>
      <c r="AT176" s="1370"/>
      <c r="AU176" s="1371"/>
      <c r="AV176" s="1465"/>
      <c r="AW176" s="1370"/>
      <c r="AX176" s="31"/>
      <c r="AY176" s="1465"/>
      <c r="AZ176" s="1370"/>
      <c r="BA176" s="31"/>
      <c r="BB176" s="1465"/>
      <c r="BC176" s="1370"/>
      <c r="BD176" s="31"/>
      <c r="BE176" s="1465"/>
      <c r="BF176" s="1370"/>
      <c r="BG176" s="31"/>
      <c r="BH176" s="1465"/>
      <c r="BI176" s="1370"/>
      <c r="BJ176" s="31"/>
      <c r="BK176" s="1465"/>
      <c r="BL176" s="1370"/>
      <c r="BM176" s="31"/>
      <c r="BN176" s="1465"/>
      <c r="BO176" s="1370"/>
      <c r="BP176" s="31"/>
      <c r="BQ176" s="1465"/>
      <c r="BR176" s="1370"/>
      <c r="BS176" s="31"/>
      <c r="BT176" s="1465"/>
      <c r="BU176" s="1370"/>
      <c r="BV176" s="31"/>
      <c r="BW176" s="1465"/>
      <c r="BX176" s="1370"/>
      <c r="BY176" s="31"/>
      <c r="BZ176" s="1465"/>
      <c r="CA176" s="1370"/>
      <c r="CB176" s="31"/>
      <c r="CC176" s="1465"/>
      <c r="CD176" s="1370"/>
      <c r="CE176" s="31"/>
      <c r="CF176" s="1465"/>
      <c r="CG176" s="1370"/>
      <c r="CH176" s="31"/>
      <c r="CI176" s="1465"/>
      <c r="CJ176" s="1370"/>
      <c r="CK176" s="31"/>
      <c r="CL176" s="1273"/>
    </row>
    <row r="177" ht="18.75" customHeight="1">
      <c r="A177" s="1238"/>
      <c r="B177" s="1238"/>
      <c r="C177" s="1370"/>
      <c r="D177" s="1370"/>
      <c r="E177" s="1370"/>
      <c r="F177" s="1370"/>
      <c r="G177" s="1370"/>
      <c r="H177" s="1370"/>
      <c r="I177" s="1370"/>
      <c r="J177" s="1370"/>
      <c r="K177" s="1370"/>
      <c r="L177" s="1370"/>
      <c r="M177" s="1370"/>
      <c r="N177" s="31"/>
      <c r="O177" s="1465"/>
      <c r="P177" s="1370"/>
      <c r="Q177" s="31"/>
      <c r="R177" s="1465"/>
      <c r="S177" s="1370"/>
      <c r="T177" s="31"/>
      <c r="U177" s="1465"/>
      <c r="V177" s="1370"/>
      <c r="W177" s="31"/>
      <c r="X177" s="1465"/>
      <c r="Y177" s="1370"/>
      <c r="Z177" s="31"/>
      <c r="AA177" s="1465"/>
      <c r="AB177" s="1370"/>
      <c r="AC177" s="1371"/>
      <c r="AD177" s="1465"/>
      <c r="AE177" s="1370"/>
      <c r="AF177" s="1371"/>
      <c r="AG177" s="1465"/>
      <c r="AH177" s="1370"/>
      <c r="AI177" s="31"/>
      <c r="AJ177" s="1465"/>
      <c r="AK177" s="1370"/>
      <c r="AL177" s="31"/>
      <c r="AM177" s="1465"/>
      <c r="AN177" s="1370"/>
      <c r="AO177" s="31"/>
      <c r="AP177" s="1465"/>
      <c r="AQ177" s="1346"/>
      <c r="AR177" s="1296" t="s">
        <v>2544</v>
      </c>
      <c r="AS177" s="1465"/>
      <c r="AT177" s="1370"/>
      <c r="AU177" s="1371"/>
      <c r="AV177" s="1465"/>
      <c r="AW177" s="1370"/>
      <c r="AX177" s="31"/>
      <c r="AY177" s="1465"/>
      <c r="AZ177" s="1370"/>
      <c r="BA177" s="31"/>
      <c r="BB177" s="1465"/>
      <c r="BC177" s="1370"/>
      <c r="BD177" s="31"/>
      <c r="BE177" s="1465"/>
      <c r="BF177" s="1370"/>
      <c r="BG177" s="31"/>
      <c r="BH177" s="1465"/>
      <c r="BI177" s="1370"/>
      <c r="BJ177" s="31"/>
      <c r="BK177" s="1465"/>
      <c r="BL177" s="1370"/>
      <c r="BM177" s="31"/>
      <c r="BN177" s="1465"/>
      <c r="BO177" s="1370"/>
      <c r="BP177" s="31"/>
      <c r="BQ177" s="1465"/>
      <c r="BR177" s="1370"/>
      <c r="BS177" s="31"/>
      <c r="BT177" s="1465"/>
      <c r="BU177" s="1370"/>
      <c r="BV177" s="31"/>
      <c r="BW177" s="1465"/>
      <c r="BX177" s="1370"/>
      <c r="BY177" s="31"/>
      <c r="BZ177" s="1465"/>
      <c r="CA177" s="1370"/>
      <c r="CB177" s="31"/>
      <c r="CC177" s="1465"/>
      <c r="CD177" s="1370"/>
      <c r="CE177" s="31"/>
      <c r="CF177" s="1465"/>
      <c r="CG177" s="1370"/>
      <c r="CH177" s="31"/>
      <c r="CI177" s="1465"/>
      <c r="CJ177" s="1370"/>
      <c r="CK177" s="31"/>
      <c r="CL177" s="1273"/>
    </row>
    <row r="178" ht="18.75" customHeight="1">
      <c r="A178" s="1238"/>
      <c r="B178" s="1238"/>
      <c r="C178" s="1370"/>
      <c r="D178" s="1370"/>
      <c r="E178" s="1370"/>
      <c r="F178" s="1370"/>
      <c r="G178" s="1370"/>
      <c r="H178" s="1370"/>
      <c r="I178" s="1370"/>
      <c r="J178" s="1370"/>
      <c r="K178" s="1370"/>
      <c r="L178" s="1370"/>
      <c r="M178" s="1370"/>
      <c r="N178" s="31"/>
      <c r="O178" s="1465"/>
      <c r="P178" s="1370"/>
      <c r="Q178" s="31"/>
      <c r="R178" s="1465"/>
      <c r="S178" s="1370"/>
      <c r="T178" s="31"/>
      <c r="U178" s="1465"/>
      <c r="V178" s="1370"/>
      <c r="W178" s="31"/>
      <c r="X178" s="1465"/>
      <c r="Y178" s="1370"/>
      <c r="Z178" s="31"/>
      <c r="AA178" s="1465"/>
      <c r="AB178" s="1370"/>
      <c r="AC178" s="1371"/>
      <c r="AD178" s="1465"/>
      <c r="AE178" s="1370"/>
      <c r="AF178" s="1371"/>
      <c r="AG178" s="1465"/>
      <c r="AH178" s="1370"/>
      <c r="AI178" s="31"/>
      <c r="AJ178" s="1465"/>
      <c r="AK178" s="1370"/>
      <c r="AL178" s="31"/>
      <c r="AM178" s="1465"/>
      <c r="AN178" s="1370"/>
      <c r="AO178" s="31"/>
      <c r="AP178" s="1465"/>
      <c r="AQ178" s="1324"/>
      <c r="AR178" s="1325" t="s">
        <v>2545</v>
      </c>
      <c r="AS178" s="1465"/>
      <c r="AT178" s="1370"/>
      <c r="AU178" s="1371"/>
      <c r="AV178" s="1465"/>
      <c r="AW178" s="1370"/>
      <c r="AX178" s="31"/>
      <c r="AY178" s="1465"/>
      <c r="AZ178" s="1370"/>
      <c r="BA178" s="31"/>
      <c r="BB178" s="1465"/>
      <c r="BC178" s="1370"/>
      <c r="BD178" s="31"/>
      <c r="BE178" s="1465"/>
      <c r="BF178" s="1370"/>
      <c r="BG178" s="31"/>
      <c r="BH178" s="1465"/>
      <c r="BI178" s="1370"/>
      <c r="BJ178" s="31"/>
      <c r="BK178" s="1465"/>
      <c r="BL178" s="1370"/>
      <c r="BM178" s="31"/>
      <c r="BN178" s="1465"/>
      <c r="BO178" s="1370"/>
      <c r="BP178" s="31"/>
      <c r="BQ178" s="1465"/>
      <c r="BR178" s="1370"/>
      <c r="BS178" s="31"/>
      <c r="BT178" s="1465"/>
      <c r="BU178" s="1370"/>
      <c r="BV178" s="31"/>
      <c r="BW178" s="1465"/>
      <c r="BX178" s="1370"/>
      <c r="BY178" s="31"/>
      <c r="BZ178" s="1465"/>
      <c r="CA178" s="1370"/>
      <c r="CB178" s="31"/>
      <c r="CC178" s="1465"/>
      <c r="CD178" s="1370"/>
      <c r="CE178" s="31"/>
      <c r="CF178" s="1465"/>
      <c r="CG178" s="1370"/>
      <c r="CH178" s="31"/>
      <c r="CI178" s="1465"/>
      <c r="CJ178" s="1370"/>
      <c r="CK178" s="31"/>
      <c r="CL178" s="1273"/>
    </row>
    <row r="179" ht="18.75" customHeight="1">
      <c r="A179" s="1238"/>
      <c r="B179" s="1238"/>
      <c r="C179" s="1370"/>
      <c r="D179" s="1370"/>
      <c r="E179" s="1370"/>
      <c r="F179" s="1370"/>
      <c r="G179" s="1370"/>
      <c r="H179" s="1370"/>
      <c r="I179" s="1370"/>
      <c r="J179" s="1370"/>
      <c r="K179" s="1370"/>
      <c r="L179" s="1370"/>
      <c r="M179" s="1370"/>
      <c r="N179" s="31"/>
      <c r="O179" s="1465"/>
      <c r="P179" s="1370"/>
      <c r="Q179" s="31"/>
      <c r="R179" s="1465"/>
      <c r="S179" s="1370"/>
      <c r="T179" s="31"/>
      <c r="U179" s="1465"/>
      <c r="V179" s="1370"/>
      <c r="W179" s="31"/>
      <c r="X179" s="1465"/>
      <c r="Y179" s="1370"/>
      <c r="Z179" s="31"/>
      <c r="AA179" s="1465"/>
      <c r="AB179" s="1370"/>
      <c r="AC179" s="1371"/>
      <c r="AD179" s="1465"/>
      <c r="AE179" s="1370"/>
      <c r="AF179" s="1371"/>
      <c r="AG179" s="1465"/>
      <c r="AH179" s="1370"/>
      <c r="AI179" s="31"/>
      <c r="AJ179" s="1465"/>
      <c r="AK179" s="1370"/>
      <c r="AL179" s="31"/>
      <c r="AM179" s="1465"/>
      <c r="AN179" s="1370"/>
      <c r="AO179" s="31"/>
      <c r="AP179" s="1465"/>
      <c r="AQ179" s="1346"/>
      <c r="AR179" s="1296" t="s">
        <v>2546</v>
      </c>
      <c r="AS179" s="1465"/>
      <c r="AT179" s="1370"/>
      <c r="AU179" s="1371"/>
      <c r="AV179" s="1465"/>
      <c r="AW179" s="1370"/>
      <c r="AX179" s="31"/>
      <c r="AY179" s="1465"/>
      <c r="AZ179" s="1370"/>
      <c r="BA179" s="31"/>
      <c r="BB179" s="1465"/>
      <c r="BC179" s="1370"/>
      <c r="BD179" s="31"/>
      <c r="BE179" s="1465"/>
      <c r="BF179" s="1370"/>
      <c r="BG179" s="31"/>
      <c r="BH179" s="1465"/>
      <c r="BI179" s="1370"/>
      <c r="BJ179" s="31"/>
      <c r="BK179" s="1465"/>
      <c r="BL179" s="1370"/>
      <c r="BM179" s="31"/>
      <c r="BN179" s="1465"/>
      <c r="BO179" s="1370"/>
      <c r="BP179" s="31"/>
      <c r="BQ179" s="1465"/>
      <c r="BR179" s="1370"/>
      <c r="BS179" s="31"/>
      <c r="BT179" s="1465"/>
      <c r="BU179" s="1370"/>
      <c r="BV179" s="31"/>
      <c r="BW179" s="1465"/>
      <c r="BX179" s="1370"/>
      <c r="BY179" s="31"/>
      <c r="BZ179" s="1465"/>
      <c r="CA179" s="1370"/>
      <c r="CB179" s="31"/>
      <c r="CC179" s="1465"/>
      <c r="CD179" s="1370"/>
      <c r="CE179" s="31"/>
      <c r="CF179" s="1465"/>
      <c r="CG179" s="1370"/>
      <c r="CH179" s="31"/>
      <c r="CI179" s="1465"/>
      <c r="CJ179" s="1370"/>
      <c r="CK179" s="31"/>
      <c r="CL179" s="1273"/>
    </row>
    <row r="180" ht="18.75" customHeight="1">
      <c r="A180" s="1238"/>
      <c r="B180" s="1238"/>
      <c r="C180" s="1370"/>
      <c r="D180" s="1370"/>
      <c r="E180" s="1370"/>
      <c r="F180" s="1370"/>
      <c r="G180" s="1370"/>
      <c r="H180" s="1370"/>
      <c r="I180" s="1370"/>
      <c r="J180" s="1370"/>
      <c r="K180" s="1370"/>
      <c r="L180" s="1370"/>
      <c r="M180" s="1370"/>
      <c r="N180" s="31"/>
      <c r="O180" s="1465"/>
      <c r="P180" s="1370"/>
      <c r="Q180" s="31"/>
      <c r="R180" s="1465"/>
      <c r="S180" s="1370"/>
      <c r="T180" s="31"/>
      <c r="U180" s="1465"/>
      <c r="V180" s="1370"/>
      <c r="W180" s="31"/>
      <c r="X180" s="1465"/>
      <c r="Y180" s="1370"/>
      <c r="Z180" s="31"/>
      <c r="AA180" s="1465"/>
      <c r="AB180" s="1370"/>
      <c r="AC180" s="1371"/>
      <c r="AD180" s="1465"/>
      <c r="AE180" s="1370"/>
      <c r="AF180" s="1371"/>
      <c r="AG180" s="1465"/>
      <c r="AH180" s="1370"/>
      <c r="AI180" s="31"/>
      <c r="AJ180" s="1465"/>
      <c r="AK180" s="1370"/>
      <c r="AL180" s="31"/>
      <c r="AM180" s="1465"/>
      <c r="AN180" s="1370"/>
      <c r="AO180" s="31"/>
      <c r="AP180" s="1465"/>
      <c r="AQ180" s="1324"/>
      <c r="AR180" s="1325" t="s">
        <v>2547</v>
      </c>
      <c r="AS180" s="1465"/>
      <c r="AT180" s="1370"/>
      <c r="AU180" s="1371"/>
      <c r="AV180" s="1465"/>
      <c r="AW180" s="1370"/>
      <c r="AX180" s="31"/>
      <c r="AY180" s="1465"/>
      <c r="AZ180" s="1370"/>
      <c r="BA180" s="31"/>
      <c r="BB180" s="1465"/>
      <c r="BC180" s="1370"/>
      <c r="BD180" s="31"/>
      <c r="BE180" s="1465"/>
      <c r="BF180" s="1370"/>
      <c r="BG180" s="31"/>
      <c r="BH180" s="1465"/>
      <c r="BI180" s="1370"/>
      <c r="BJ180" s="31"/>
      <c r="BK180" s="1465"/>
      <c r="BL180" s="1370"/>
      <c r="BM180" s="31"/>
      <c r="BN180" s="1465"/>
      <c r="BO180" s="1370"/>
      <c r="BP180" s="31"/>
      <c r="BQ180" s="1465"/>
      <c r="BR180" s="1370"/>
      <c r="BS180" s="31"/>
      <c r="BT180" s="1465"/>
      <c r="BU180" s="1370"/>
      <c r="BV180" s="31"/>
      <c r="BW180" s="1465"/>
      <c r="BX180" s="1370"/>
      <c r="BY180" s="31"/>
      <c r="BZ180" s="1465"/>
      <c r="CA180" s="1370"/>
      <c r="CB180" s="31"/>
      <c r="CC180" s="1465"/>
      <c r="CD180" s="1370"/>
      <c r="CE180" s="31"/>
      <c r="CF180" s="1465"/>
      <c r="CG180" s="1370"/>
      <c r="CH180" s="31"/>
      <c r="CI180" s="1465"/>
      <c r="CJ180" s="1370"/>
      <c r="CK180" s="31"/>
      <c r="CL180" s="1273"/>
    </row>
    <row r="181" ht="18.75" customHeight="1">
      <c r="A181" s="1238"/>
      <c r="B181" s="1238"/>
      <c r="C181" s="1370"/>
      <c r="D181" s="1370"/>
      <c r="E181" s="1370"/>
      <c r="F181" s="1370"/>
      <c r="G181" s="1370"/>
      <c r="H181" s="1370"/>
      <c r="I181" s="1370"/>
      <c r="J181" s="1370"/>
      <c r="K181" s="1370"/>
      <c r="L181" s="1370"/>
      <c r="M181" s="1370"/>
      <c r="N181" s="31"/>
      <c r="O181" s="1465"/>
      <c r="P181" s="1370"/>
      <c r="Q181" s="31"/>
      <c r="R181" s="1465"/>
      <c r="S181" s="1370"/>
      <c r="T181" s="31"/>
      <c r="U181" s="1465"/>
      <c r="V181" s="1370"/>
      <c r="W181" s="31"/>
      <c r="X181" s="1465"/>
      <c r="Y181" s="1370"/>
      <c r="Z181" s="31"/>
      <c r="AA181" s="1465"/>
      <c r="AB181" s="1370"/>
      <c r="AC181" s="1371"/>
      <c r="AD181" s="1465"/>
      <c r="AE181" s="1370"/>
      <c r="AF181" s="1371"/>
      <c r="AG181" s="1465"/>
      <c r="AH181" s="1370"/>
      <c r="AI181" s="31"/>
      <c r="AJ181" s="1465"/>
      <c r="AK181" s="1370"/>
      <c r="AL181" s="31"/>
      <c r="AM181" s="1465"/>
      <c r="AN181" s="1370"/>
      <c r="AO181" s="31"/>
      <c r="AP181" s="1465"/>
      <c r="AQ181" s="1346"/>
      <c r="AR181" s="1296" t="s">
        <v>2548</v>
      </c>
      <c r="AS181" s="1465"/>
      <c r="AT181" s="1370"/>
      <c r="AU181" s="1371"/>
      <c r="AV181" s="1465"/>
      <c r="AW181" s="1370"/>
      <c r="AX181" s="31"/>
      <c r="AY181" s="1465"/>
      <c r="AZ181" s="1370"/>
      <c r="BA181" s="31"/>
      <c r="BB181" s="1465"/>
      <c r="BC181" s="1370"/>
      <c r="BD181" s="31"/>
      <c r="BE181" s="1465"/>
      <c r="BF181" s="1370"/>
      <c r="BG181" s="31"/>
      <c r="BH181" s="1465"/>
      <c r="BI181" s="1370"/>
      <c r="BJ181" s="31"/>
      <c r="BK181" s="1465"/>
      <c r="BL181" s="1370"/>
      <c r="BM181" s="31"/>
      <c r="BN181" s="1465"/>
      <c r="BO181" s="1370"/>
      <c r="BP181" s="31"/>
      <c r="BQ181" s="1465"/>
      <c r="BR181" s="1370"/>
      <c r="BS181" s="31"/>
      <c r="BT181" s="1465"/>
      <c r="BU181" s="1370"/>
      <c r="BV181" s="31"/>
      <c r="BW181" s="1465"/>
      <c r="BX181" s="1370"/>
      <c r="BY181" s="31"/>
      <c r="BZ181" s="1465"/>
      <c r="CA181" s="1370"/>
      <c r="CB181" s="31"/>
      <c r="CC181" s="1465"/>
      <c r="CD181" s="1370"/>
      <c r="CE181" s="31"/>
      <c r="CF181" s="1465"/>
      <c r="CG181" s="1370"/>
      <c r="CH181" s="31"/>
      <c r="CI181" s="1465"/>
      <c r="CJ181" s="1370"/>
      <c r="CK181" s="31"/>
      <c r="CL181" s="1273"/>
    </row>
    <row r="182" ht="18.75" customHeight="1">
      <c r="A182" s="1238"/>
      <c r="B182" s="1238"/>
      <c r="C182" s="1370"/>
      <c r="D182" s="1370"/>
      <c r="E182" s="1370"/>
      <c r="F182" s="1370"/>
      <c r="G182" s="1370"/>
      <c r="H182" s="1370"/>
      <c r="I182" s="1370"/>
      <c r="J182" s="1370"/>
      <c r="K182" s="1370"/>
      <c r="L182" s="1370"/>
      <c r="M182" s="1370"/>
      <c r="N182" s="31"/>
      <c r="O182" s="1465"/>
      <c r="P182" s="1370"/>
      <c r="Q182" s="31"/>
      <c r="R182" s="1465"/>
      <c r="S182" s="1370"/>
      <c r="T182" s="31"/>
      <c r="U182" s="1465"/>
      <c r="V182" s="1370"/>
      <c r="W182" s="31"/>
      <c r="X182" s="1465"/>
      <c r="Y182" s="1370"/>
      <c r="Z182" s="31"/>
      <c r="AA182" s="1465"/>
      <c r="AB182" s="1370"/>
      <c r="AC182" s="1371"/>
      <c r="AD182" s="1465"/>
      <c r="AE182" s="1370"/>
      <c r="AF182" s="1371"/>
      <c r="AG182" s="1465"/>
      <c r="AH182" s="1370"/>
      <c r="AI182" s="31"/>
      <c r="AJ182" s="1465"/>
      <c r="AK182" s="1370"/>
      <c r="AL182" s="31"/>
      <c r="AM182" s="1465"/>
      <c r="AN182" s="1370"/>
      <c r="AO182" s="31"/>
      <c r="AP182" s="1465"/>
      <c r="AQ182" s="1324"/>
      <c r="AR182" s="1325" t="s">
        <v>2549</v>
      </c>
      <c r="AS182" s="1465"/>
      <c r="AT182" s="1370"/>
      <c r="AU182" s="1371"/>
      <c r="AV182" s="1465"/>
      <c r="AW182" s="1370"/>
      <c r="AX182" s="31"/>
      <c r="AY182" s="1465"/>
      <c r="AZ182" s="1370"/>
      <c r="BA182" s="31"/>
      <c r="BB182" s="1465"/>
      <c r="BC182" s="1370"/>
      <c r="BD182" s="31"/>
      <c r="BE182" s="1465"/>
      <c r="BF182" s="1370"/>
      <c r="BG182" s="31"/>
      <c r="BH182" s="1465"/>
      <c r="BI182" s="1370"/>
      <c r="BJ182" s="31"/>
      <c r="BK182" s="1465"/>
      <c r="BL182" s="1370"/>
      <c r="BM182" s="31"/>
      <c r="BN182" s="1465"/>
      <c r="BO182" s="1370"/>
      <c r="BP182" s="31"/>
      <c r="BQ182" s="1465"/>
      <c r="BR182" s="1370"/>
      <c r="BS182" s="31"/>
      <c r="BT182" s="1465"/>
      <c r="BU182" s="1370"/>
      <c r="BV182" s="31"/>
      <c r="BW182" s="1465"/>
      <c r="BX182" s="1370"/>
      <c r="BY182" s="31"/>
      <c r="BZ182" s="1465"/>
      <c r="CA182" s="1370"/>
      <c r="CB182" s="31"/>
      <c r="CC182" s="1465"/>
      <c r="CD182" s="1370"/>
      <c r="CE182" s="31"/>
      <c r="CF182" s="1465"/>
      <c r="CG182" s="1370"/>
      <c r="CH182" s="31"/>
      <c r="CI182" s="1465"/>
      <c r="CJ182" s="1370"/>
      <c r="CK182" s="31"/>
      <c r="CL182" s="1273"/>
    </row>
    <row r="183" ht="18.75" customHeight="1">
      <c r="A183" s="1238"/>
      <c r="B183" s="1238"/>
      <c r="C183" s="1370"/>
      <c r="D183" s="1370"/>
      <c r="E183" s="1370"/>
      <c r="F183" s="1370"/>
      <c r="G183" s="1370"/>
      <c r="H183" s="1370"/>
      <c r="I183" s="1370"/>
      <c r="J183" s="1370"/>
      <c r="K183" s="1370"/>
      <c r="L183" s="1370"/>
      <c r="M183" s="1370"/>
      <c r="N183" s="31"/>
      <c r="O183" s="1465"/>
      <c r="P183" s="1370"/>
      <c r="Q183" s="31"/>
      <c r="R183" s="1465"/>
      <c r="S183" s="1370"/>
      <c r="T183" s="31"/>
      <c r="U183" s="1465"/>
      <c r="V183" s="1370"/>
      <c r="W183" s="31"/>
      <c r="X183" s="1465"/>
      <c r="Y183" s="1370"/>
      <c r="Z183" s="31"/>
      <c r="AA183" s="1465"/>
      <c r="AB183" s="1370"/>
      <c r="AC183" s="1371"/>
      <c r="AD183" s="1465"/>
      <c r="AE183" s="1370"/>
      <c r="AF183" s="1371"/>
      <c r="AG183" s="1465"/>
      <c r="AH183" s="1370"/>
      <c r="AI183" s="31"/>
      <c r="AJ183" s="1465"/>
      <c r="AK183" s="1370"/>
      <c r="AL183" s="31"/>
      <c r="AM183" s="1465"/>
      <c r="AN183" s="1370"/>
      <c r="AO183" s="31"/>
      <c r="AP183" s="1465"/>
      <c r="AQ183" s="1346"/>
      <c r="AR183" s="1296" t="s">
        <v>2550</v>
      </c>
      <c r="AS183" s="1465"/>
      <c r="AT183" s="1370"/>
      <c r="AU183" s="1371"/>
      <c r="AV183" s="1465"/>
      <c r="AW183" s="1370"/>
      <c r="AX183" s="31"/>
      <c r="AY183" s="1465"/>
      <c r="AZ183" s="1370"/>
      <c r="BA183" s="31"/>
      <c r="BB183" s="1465"/>
      <c r="BC183" s="1370"/>
      <c r="BD183" s="31"/>
      <c r="BE183" s="1465"/>
      <c r="BF183" s="1370"/>
      <c r="BG183" s="31"/>
      <c r="BH183" s="1465"/>
      <c r="BI183" s="1370"/>
      <c r="BJ183" s="31"/>
      <c r="BK183" s="1465"/>
      <c r="BL183" s="1370"/>
      <c r="BM183" s="31"/>
      <c r="BN183" s="1465"/>
      <c r="BO183" s="1370"/>
      <c r="BP183" s="31"/>
      <c r="BQ183" s="1465"/>
      <c r="BR183" s="1370"/>
      <c r="BS183" s="31"/>
      <c r="BT183" s="1465"/>
      <c r="BU183" s="1370"/>
      <c r="BV183" s="31"/>
      <c r="BW183" s="1465"/>
      <c r="BX183" s="1370"/>
      <c r="BY183" s="31"/>
      <c r="BZ183" s="1465"/>
      <c r="CA183" s="1370"/>
      <c r="CB183" s="31"/>
      <c r="CC183" s="1465"/>
      <c r="CD183" s="1370"/>
      <c r="CE183" s="31"/>
      <c r="CF183" s="1465"/>
      <c r="CG183" s="1370"/>
      <c r="CH183" s="31"/>
      <c r="CI183" s="1465"/>
      <c r="CJ183" s="1370"/>
      <c r="CK183" s="31"/>
      <c r="CL183" s="1273"/>
    </row>
    <row r="184" ht="18.75" customHeight="1">
      <c r="A184" s="1238"/>
      <c r="B184" s="1238"/>
      <c r="C184" s="1370"/>
      <c r="D184" s="1370"/>
      <c r="E184" s="1370"/>
      <c r="F184" s="1370"/>
      <c r="G184" s="1370"/>
      <c r="H184" s="1370"/>
      <c r="I184" s="1370"/>
      <c r="J184" s="1370"/>
      <c r="K184" s="1370"/>
      <c r="L184" s="1370"/>
      <c r="M184" s="1370"/>
      <c r="N184" s="31"/>
      <c r="O184" s="1465"/>
      <c r="P184" s="1370"/>
      <c r="Q184" s="31"/>
      <c r="R184" s="1465"/>
      <c r="S184" s="1370"/>
      <c r="T184" s="31"/>
      <c r="U184" s="1465"/>
      <c r="V184" s="1370"/>
      <c r="W184" s="31"/>
      <c r="X184" s="1465"/>
      <c r="Y184" s="1370"/>
      <c r="Z184" s="31"/>
      <c r="AA184" s="1465"/>
      <c r="AB184" s="1370"/>
      <c r="AC184" s="1371"/>
      <c r="AD184" s="1465"/>
      <c r="AE184" s="1370"/>
      <c r="AF184" s="1371"/>
      <c r="AG184" s="1465"/>
      <c r="AH184" s="1370"/>
      <c r="AI184" s="31"/>
      <c r="AJ184" s="1465"/>
      <c r="AK184" s="1370"/>
      <c r="AL184" s="31"/>
      <c r="AM184" s="1465"/>
      <c r="AN184" s="1370"/>
      <c r="AO184" s="31"/>
      <c r="AP184" s="1465"/>
      <c r="AQ184" s="1324"/>
      <c r="AR184" s="1325" t="s">
        <v>2551</v>
      </c>
      <c r="AS184" s="1465"/>
      <c r="AT184" s="1370"/>
      <c r="AU184" s="1371"/>
      <c r="AV184" s="1465"/>
      <c r="AW184" s="1370"/>
      <c r="AX184" s="31"/>
      <c r="AY184" s="1465"/>
      <c r="AZ184" s="1370"/>
      <c r="BA184" s="31"/>
      <c r="BB184" s="1465"/>
      <c r="BC184" s="1370"/>
      <c r="BD184" s="31"/>
      <c r="BE184" s="1465"/>
      <c r="BF184" s="1370"/>
      <c r="BG184" s="31"/>
      <c r="BH184" s="1465"/>
      <c r="BI184" s="1370"/>
      <c r="BJ184" s="31"/>
      <c r="BK184" s="1465"/>
      <c r="BL184" s="1370"/>
      <c r="BM184" s="31"/>
      <c r="BN184" s="1465"/>
      <c r="BO184" s="1370"/>
      <c r="BP184" s="31"/>
      <c r="BQ184" s="1465"/>
      <c r="BR184" s="1370"/>
      <c r="BS184" s="31"/>
      <c r="BT184" s="1465"/>
      <c r="BU184" s="1370"/>
      <c r="BV184" s="31"/>
      <c r="BW184" s="1465"/>
      <c r="BX184" s="1370"/>
      <c r="BY184" s="31"/>
      <c r="BZ184" s="1465"/>
      <c r="CA184" s="1370"/>
      <c r="CB184" s="31"/>
      <c r="CC184" s="1465"/>
      <c r="CD184" s="1370"/>
      <c r="CE184" s="31"/>
      <c r="CF184" s="1465"/>
      <c r="CG184" s="1370"/>
      <c r="CH184" s="31"/>
      <c r="CI184" s="1465"/>
      <c r="CJ184" s="1370"/>
      <c r="CK184" s="31"/>
      <c r="CL184" s="1273"/>
    </row>
    <row r="185" ht="18.75" customHeight="1">
      <c r="A185" s="1238"/>
      <c r="B185" s="1238"/>
      <c r="C185" s="1370"/>
      <c r="D185" s="1370"/>
      <c r="E185" s="1370"/>
      <c r="F185" s="1370"/>
      <c r="G185" s="1370"/>
      <c r="H185" s="1370"/>
      <c r="I185" s="1370"/>
      <c r="J185" s="1370"/>
      <c r="K185" s="1370"/>
      <c r="L185" s="1370"/>
      <c r="M185" s="1370"/>
      <c r="N185" s="31"/>
      <c r="O185" s="1465"/>
      <c r="P185" s="1370"/>
      <c r="Q185" s="31"/>
      <c r="R185" s="1465"/>
      <c r="S185" s="1370"/>
      <c r="T185" s="31"/>
      <c r="U185" s="1465"/>
      <c r="V185" s="1370"/>
      <c r="W185" s="31"/>
      <c r="X185" s="1465"/>
      <c r="Y185" s="1370"/>
      <c r="Z185" s="31"/>
      <c r="AA185" s="1465"/>
      <c r="AB185" s="1370"/>
      <c r="AC185" s="1371"/>
      <c r="AD185" s="1465"/>
      <c r="AE185" s="1370"/>
      <c r="AF185" s="1371"/>
      <c r="AG185" s="1465"/>
      <c r="AH185" s="1370"/>
      <c r="AI185" s="31"/>
      <c r="AJ185" s="1465"/>
      <c r="AK185" s="1370"/>
      <c r="AL185" s="31"/>
      <c r="AM185" s="1465"/>
      <c r="AN185" s="1370"/>
      <c r="AO185" s="31"/>
      <c r="AP185" s="1465"/>
      <c r="AQ185" s="1346"/>
      <c r="AR185" s="1296" t="s">
        <v>2552</v>
      </c>
      <c r="AS185" s="1465"/>
      <c r="AT185" s="1370"/>
      <c r="AU185" s="1371"/>
      <c r="AV185" s="1465"/>
      <c r="AW185" s="1370"/>
      <c r="AX185" s="31"/>
      <c r="AY185" s="1465"/>
      <c r="AZ185" s="1370"/>
      <c r="BA185" s="31"/>
      <c r="BB185" s="1465"/>
      <c r="BC185" s="1370"/>
      <c r="BD185" s="31"/>
      <c r="BE185" s="1465"/>
      <c r="BF185" s="1370"/>
      <c r="BG185" s="31"/>
      <c r="BH185" s="1465"/>
      <c r="BI185" s="1370"/>
      <c r="BJ185" s="31"/>
      <c r="BK185" s="1465"/>
      <c r="BL185" s="1370"/>
      <c r="BM185" s="31"/>
      <c r="BN185" s="1465"/>
      <c r="BO185" s="1370"/>
      <c r="BP185" s="31"/>
      <c r="BQ185" s="1465"/>
      <c r="BR185" s="1370"/>
      <c r="BS185" s="31"/>
      <c r="BT185" s="1465"/>
      <c r="BU185" s="1370"/>
      <c r="BV185" s="31"/>
      <c r="BW185" s="1465"/>
      <c r="BX185" s="1370"/>
      <c r="BY185" s="31"/>
      <c r="BZ185" s="1465"/>
      <c r="CA185" s="1370"/>
      <c r="CB185" s="31"/>
      <c r="CC185" s="1465"/>
      <c r="CD185" s="1370"/>
      <c r="CE185" s="31"/>
      <c r="CF185" s="1465"/>
      <c r="CG185" s="1370"/>
      <c r="CH185" s="31"/>
      <c r="CI185" s="1465"/>
      <c r="CJ185" s="1370"/>
      <c r="CK185" s="31"/>
      <c r="CL185" s="1273"/>
    </row>
    <row r="186" ht="18.75" customHeight="1">
      <c r="A186" s="1238"/>
      <c r="B186" s="1238"/>
      <c r="C186" s="1370"/>
      <c r="D186" s="1370"/>
      <c r="E186" s="1370"/>
      <c r="F186" s="1370"/>
      <c r="G186" s="1370"/>
      <c r="H186" s="1370"/>
      <c r="I186" s="1370"/>
      <c r="J186" s="1370"/>
      <c r="K186" s="1370"/>
      <c r="L186" s="1370"/>
      <c r="M186" s="1370"/>
      <c r="N186" s="31"/>
      <c r="O186" s="1465"/>
      <c r="P186" s="1370"/>
      <c r="Q186" s="31"/>
      <c r="R186" s="1465"/>
      <c r="S186" s="1370"/>
      <c r="T186" s="31"/>
      <c r="U186" s="1465"/>
      <c r="V186" s="1370"/>
      <c r="W186" s="31"/>
      <c r="X186" s="1465"/>
      <c r="Y186" s="1370"/>
      <c r="Z186" s="31"/>
      <c r="AA186" s="1465"/>
      <c r="AB186" s="1370"/>
      <c r="AC186" s="1371"/>
      <c r="AD186" s="1465"/>
      <c r="AE186" s="1370"/>
      <c r="AF186" s="1371"/>
      <c r="AG186" s="1465"/>
      <c r="AH186" s="1370"/>
      <c r="AI186" s="31"/>
      <c r="AJ186" s="1465"/>
      <c r="AK186" s="1370"/>
      <c r="AL186" s="31"/>
      <c r="AM186" s="1465"/>
      <c r="AN186" s="1370"/>
      <c r="AO186" s="31"/>
      <c r="AP186" s="1465"/>
      <c r="AQ186" s="1324"/>
      <c r="AR186" s="1325" t="s">
        <v>2553</v>
      </c>
      <c r="AS186" s="1465"/>
      <c r="AT186" s="1370"/>
      <c r="AU186" s="1371"/>
      <c r="AV186" s="1465"/>
      <c r="AW186" s="1370"/>
      <c r="AX186" s="31"/>
      <c r="AY186" s="1465"/>
      <c r="AZ186" s="1370"/>
      <c r="BA186" s="31"/>
      <c r="BB186" s="1465"/>
      <c r="BC186" s="1370"/>
      <c r="BD186" s="31"/>
      <c r="BE186" s="1465"/>
      <c r="BF186" s="1370"/>
      <c r="BG186" s="31"/>
      <c r="BH186" s="1465"/>
      <c r="BI186" s="1370"/>
      <c r="BJ186" s="31"/>
      <c r="BK186" s="1465"/>
      <c r="BL186" s="1370"/>
      <c r="BM186" s="31"/>
      <c r="BN186" s="1465"/>
      <c r="BO186" s="1370"/>
      <c r="BP186" s="31"/>
      <c r="BQ186" s="1465"/>
      <c r="BR186" s="1370"/>
      <c r="BS186" s="31"/>
      <c r="BT186" s="1465"/>
      <c r="BU186" s="1370"/>
      <c r="BV186" s="31"/>
      <c r="BW186" s="1465"/>
      <c r="BX186" s="1370"/>
      <c r="BY186" s="31"/>
      <c r="BZ186" s="1465"/>
      <c r="CA186" s="1370"/>
      <c r="CB186" s="31"/>
      <c r="CC186" s="1465"/>
      <c r="CD186" s="1370"/>
      <c r="CE186" s="31"/>
      <c r="CF186" s="1465"/>
      <c r="CG186" s="1370"/>
      <c r="CH186" s="31"/>
      <c r="CI186" s="1465"/>
      <c r="CJ186" s="1370"/>
      <c r="CK186" s="31"/>
      <c r="CL186" s="1273"/>
    </row>
    <row r="187" ht="18.75" customHeight="1">
      <c r="A187" s="1238"/>
      <c r="B187" s="1238"/>
      <c r="C187" s="1370"/>
      <c r="D187" s="1370"/>
      <c r="E187" s="1370"/>
      <c r="F187" s="1370"/>
      <c r="G187" s="1370"/>
      <c r="H187" s="1370"/>
      <c r="I187" s="1370"/>
      <c r="J187" s="1370"/>
      <c r="K187" s="1370"/>
      <c r="L187" s="1370"/>
      <c r="M187" s="1370"/>
      <c r="N187" s="31"/>
      <c r="O187" s="1465"/>
      <c r="P187" s="1370"/>
      <c r="Q187" s="31"/>
      <c r="R187" s="1465"/>
      <c r="S187" s="1370"/>
      <c r="T187" s="31"/>
      <c r="U187" s="1465"/>
      <c r="V187" s="1370"/>
      <c r="W187" s="31"/>
      <c r="X187" s="1465"/>
      <c r="Y187" s="1370"/>
      <c r="Z187" s="31"/>
      <c r="AA187" s="1465"/>
      <c r="AB187" s="1370"/>
      <c r="AC187" s="1371"/>
      <c r="AD187" s="1465"/>
      <c r="AE187" s="1370"/>
      <c r="AF187" s="1371"/>
      <c r="AG187" s="1465"/>
      <c r="AH187" s="1370"/>
      <c r="AI187" s="31"/>
      <c r="AJ187" s="1465"/>
      <c r="AK187" s="1370"/>
      <c r="AL187" s="31"/>
      <c r="AM187" s="1465"/>
      <c r="AN187" s="1370"/>
      <c r="AO187" s="31"/>
      <c r="AP187" s="1465"/>
      <c r="AQ187" s="1346"/>
      <c r="AR187" s="1296" t="s">
        <v>2554</v>
      </c>
      <c r="AS187" s="1465"/>
      <c r="AT187" s="1370"/>
      <c r="AU187" s="1371"/>
      <c r="AV187" s="1465"/>
      <c r="AW187" s="1370"/>
      <c r="AX187" s="31"/>
      <c r="AY187" s="1465"/>
      <c r="AZ187" s="1370"/>
      <c r="BA187" s="31"/>
      <c r="BB187" s="1465"/>
      <c r="BC187" s="1370"/>
      <c r="BD187" s="31"/>
      <c r="BE187" s="1465"/>
      <c r="BF187" s="1370"/>
      <c r="BG187" s="31"/>
      <c r="BH187" s="1465"/>
      <c r="BI187" s="1370"/>
      <c r="BJ187" s="31"/>
      <c r="BK187" s="1465"/>
      <c r="BL187" s="1370"/>
      <c r="BM187" s="31"/>
      <c r="BN187" s="1465"/>
      <c r="BO187" s="1370"/>
      <c r="BP187" s="31"/>
      <c r="BQ187" s="1465"/>
      <c r="BR187" s="1370"/>
      <c r="BS187" s="31"/>
      <c r="BT187" s="1465"/>
      <c r="BU187" s="1370"/>
      <c r="BV187" s="31"/>
      <c r="BW187" s="1465"/>
      <c r="BX187" s="1370"/>
      <c r="BY187" s="31"/>
      <c r="BZ187" s="1465"/>
      <c r="CA187" s="1370"/>
      <c r="CB187" s="31"/>
      <c r="CC187" s="1465"/>
      <c r="CD187" s="1370"/>
      <c r="CE187" s="31"/>
      <c r="CF187" s="1465"/>
      <c r="CG187" s="1370"/>
      <c r="CH187" s="31"/>
      <c r="CI187" s="1465"/>
      <c r="CJ187" s="1370"/>
      <c r="CK187" s="31"/>
      <c r="CL187" s="1273"/>
    </row>
    <row r="188" ht="18.75" customHeight="1">
      <c r="A188" s="1238"/>
      <c r="B188" s="1238"/>
      <c r="C188" s="1370"/>
      <c r="D188" s="1370"/>
      <c r="E188" s="1370"/>
      <c r="F188" s="1370"/>
      <c r="G188" s="1370"/>
      <c r="H188" s="1370"/>
      <c r="I188" s="1370"/>
      <c r="J188" s="1370"/>
      <c r="K188" s="1370"/>
      <c r="L188" s="1370"/>
      <c r="M188" s="1370"/>
      <c r="N188" s="31"/>
      <c r="O188" s="1465"/>
      <c r="P188" s="1370"/>
      <c r="Q188" s="31"/>
      <c r="R188" s="1465"/>
      <c r="S188" s="1370"/>
      <c r="T188" s="31"/>
      <c r="U188" s="1465"/>
      <c r="V188" s="1370"/>
      <c r="W188" s="31"/>
      <c r="X188" s="1465"/>
      <c r="Y188" s="1370"/>
      <c r="Z188" s="31"/>
      <c r="AA188" s="1465"/>
      <c r="AB188" s="1370"/>
      <c r="AC188" s="1371"/>
      <c r="AD188" s="1465"/>
      <c r="AE188" s="1370"/>
      <c r="AF188" s="1371"/>
      <c r="AG188" s="1465"/>
      <c r="AH188" s="1370"/>
      <c r="AI188" s="31"/>
      <c r="AJ188" s="1465"/>
      <c r="AK188" s="1370"/>
      <c r="AL188" s="31"/>
      <c r="AM188" s="1465"/>
      <c r="AN188" s="1370"/>
      <c r="AO188" s="31"/>
      <c r="AP188" s="1465"/>
      <c r="AQ188" s="1324"/>
      <c r="AR188" s="1325" t="s">
        <v>2555</v>
      </c>
      <c r="AS188" s="1465"/>
      <c r="AT188" s="1370"/>
      <c r="AU188" s="1371"/>
      <c r="AV188" s="1465"/>
      <c r="AW188" s="1370"/>
      <c r="AX188" s="31"/>
      <c r="AY188" s="1465"/>
      <c r="AZ188" s="1370"/>
      <c r="BA188" s="31"/>
      <c r="BB188" s="1465"/>
      <c r="BC188" s="1370"/>
      <c r="BD188" s="31"/>
      <c r="BE188" s="1465"/>
      <c r="BF188" s="1370"/>
      <c r="BG188" s="31"/>
      <c r="BH188" s="1465"/>
      <c r="BI188" s="1370"/>
      <c r="BJ188" s="31"/>
      <c r="BK188" s="1465"/>
      <c r="BL188" s="1370"/>
      <c r="BM188" s="31"/>
      <c r="BN188" s="1465"/>
      <c r="BO188" s="1370"/>
      <c r="BP188" s="31"/>
      <c r="BQ188" s="1465"/>
      <c r="BR188" s="1370"/>
      <c r="BS188" s="31"/>
      <c r="BT188" s="1465"/>
      <c r="BU188" s="1370"/>
      <c r="BV188" s="31"/>
      <c r="BW188" s="1465"/>
      <c r="BX188" s="1370"/>
      <c r="BY188" s="31"/>
      <c r="BZ188" s="1465"/>
      <c r="CA188" s="1370"/>
      <c r="CB188" s="31"/>
      <c r="CC188" s="1465"/>
      <c r="CD188" s="1370"/>
      <c r="CE188" s="31"/>
      <c r="CF188" s="1465"/>
      <c r="CG188" s="1370"/>
      <c r="CH188" s="31"/>
      <c r="CI188" s="1465"/>
      <c r="CJ188" s="1370"/>
      <c r="CK188" s="31"/>
      <c r="CL188" s="1273"/>
    </row>
    <row r="189" ht="18.75" customHeight="1">
      <c r="A189" s="1238"/>
      <c r="B189" s="1238"/>
      <c r="C189" s="1370"/>
      <c r="D189" s="1370"/>
      <c r="E189" s="1370"/>
      <c r="F189" s="1370"/>
      <c r="G189" s="1370"/>
      <c r="H189" s="1370"/>
      <c r="I189" s="1370"/>
      <c r="J189" s="1370"/>
      <c r="K189" s="1370"/>
      <c r="L189" s="1370"/>
      <c r="M189" s="1370"/>
      <c r="N189" s="31"/>
      <c r="O189" s="1465"/>
      <c r="P189" s="1370"/>
      <c r="Q189" s="31"/>
      <c r="R189" s="1465"/>
      <c r="S189" s="1370"/>
      <c r="T189" s="31"/>
      <c r="U189" s="1465"/>
      <c r="V189" s="1370"/>
      <c r="W189" s="31"/>
      <c r="X189" s="1465"/>
      <c r="Y189" s="1370"/>
      <c r="Z189" s="31"/>
      <c r="AA189" s="1465"/>
      <c r="AB189" s="1370"/>
      <c r="AC189" s="1371"/>
      <c r="AD189" s="1465"/>
      <c r="AE189" s="1370"/>
      <c r="AF189" s="1371"/>
      <c r="AG189" s="1465"/>
      <c r="AH189" s="1370"/>
      <c r="AI189" s="31"/>
      <c r="AJ189" s="1465"/>
      <c r="AK189" s="1370"/>
      <c r="AL189" s="31"/>
      <c r="AM189" s="1465"/>
      <c r="AN189" s="1370"/>
      <c r="AO189" s="31"/>
      <c r="AP189" s="1465"/>
      <c r="AQ189" s="1346"/>
      <c r="AR189" s="1296" t="s">
        <v>2556</v>
      </c>
      <c r="AS189" s="1465"/>
      <c r="AT189" s="1370"/>
      <c r="AU189" s="1371"/>
      <c r="AV189" s="1465"/>
      <c r="AW189" s="1370"/>
      <c r="AX189" s="31"/>
      <c r="AY189" s="1465"/>
      <c r="AZ189" s="1370"/>
      <c r="BA189" s="31"/>
      <c r="BB189" s="1465"/>
      <c r="BC189" s="1370"/>
      <c r="BD189" s="31"/>
      <c r="BE189" s="1465"/>
      <c r="BF189" s="1370"/>
      <c r="BG189" s="31"/>
      <c r="BH189" s="1465"/>
      <c r="BI189" s="1370"/>
      <c r="BJ189" s="31"/>
      <c r="BK189" s="1465"/>
      <c r="BL189" s="1370"/>
      <c r="BM189" s="31"/>
      <c r="BN189" s="1465"/>
      <c r="BO189" s="1370"/>
      <c r="BP189" s="31"/>
      <c r="BQ189" s="1465"/>
      <c r="BR189" s="1370"/>
      <c r="BS189" s="31"/>
      <c r="BT189" s="1465"/>
      <c r="BU189" s="1370"/>
      <c r="BV189" s="31"/>
      <c r="BW189" s="1465"/>
      <c r="BX189" s="1370"/>
      <c r="BY189" s="31"/>
      <c r="BZ189" s="1465"/>
      <c r="CA189" s="1370"/>
      <c r="CB189" s="31"/>
      <c r="CC189" s="1465"/>
      <c r="CD189" s="1370"/>
      <c r="CE189" s="31"/>
      <c r="CF189" s="1465"/>
      <c r="CG189" s="1370"/>
      <c r="CH189" s="31"/>
      <c r="CI189" s="1465"/>
      <c r="CJ189" s="1370"/>
      <c r="CK189" s="31"/>
      <c r="CL189" s="1273"/>
    </row>
    <row r="190" ht="18.75" customHeight="1">
      <c r="A190" s="1238"/>
      <c r="B190" s="1238"/>
      <c r="C190" s="1370"/>
      <c r="D190" s="1370"/>
      <c r="E190" s="1370"/>
      <c r="F190" s="1370"/>
      <c r="G190" s="1370"/>
      <c r="H190" s="1370"/>
      <c r="I190" s="1370"/>
      <c r="J190" s="1370"/>
      <c r="K190" s="1370"/>
      <c r="L190" s="1370"/>
      <c r="M190" s="1370"/>
      <c r="N190" s="31"/>
      <c r="O190" s="1465"/>
      <c r="P190" s="1370"/>
      <c r="Q190" s="31"/>
      <c r="R190" s="1465"/>
      <c r="S190" s="1370"/>
      <c r="T190" s="31"/>
      <c r="U190" s="1465"/>
      <c r="V190" s="1370"/>
      <c r="W190" s="31"/>
      <c r="X190" s="1465"/>
      <c r="Y190" s="1370"/>
      <c r="Z190" s="31"/>
      <c r="AA190" s="1465"/>
      <c r="AB190" s="1370"/>
      <c r="AC190" s="1371"/>
      <c r="AD190" s="1465"/>
      <c r="AE190" s="1370"/>
      <c r="AF190" s="1371"/>
      <c r="AG190" s="1465"/>
      <c r="AH190" s="1370"/>
      <c r="AI190" s="31"/>
      <c r="AJ190" s="1465"/>
      <c r="AK190" s="1370"/>
      <c r="AL190" s="31"/>
      <c r="AM190" s="1465"/>
      <c r="AN190" s="1370"/>
      <c r="AO190" s="31"/>
      <c r="AP190" s="1465"/>
      <c r="AQ190" s="1324"/>
      <c r="AR190" s="1325" t="s">
        <v>2557</v>
      </c>
      <c r="AS190" s="1465"/>
      <c r="AT190" s="1370"/>
      <c r="AU190" s="1371"/>
      <c r="AV190" s="1465"/>
      <c r="AW190" s="1370"/>
      <c r="AX190" s="31"/>
      <c r="AY190" s="1465"/>
      <c r="AZ190" s="1370"/>
      <c r="BA190" s="31"/>
      <c r="BB190" s="1465"/>
      <c r="BC190" s="1370"/>
      <c r="BD190" s="31"/>
      <c r="BE190" s="1465"/>
      <c r="BF190" s="1370"/>
      <c r="BG190" s="31"/>
      <c r="BH190" s="1465"/>
      <c r="BI190" s="1370"/>
      <c r="BJ190" s="31"/>
      <c r="BK190" s="1465"/>
      <c r="BL190" s="1370"/>
      <c r="BM190" s="31"/>
      <c r="BN190" s="1465"/>
      <c r="BO190" s="1370"/>
      <c r="BP190" s="31"/>
      <c r="BQ190" s="1465"/>
      <c r="BR190" s="1370"/>
      <c r="BS190" s="31"/>
      <c r="BT190" s="1465"/>
      <c r="BU190" s="1370"/>
      <c r="BV190" s="31"/>
      <c r="BW190" s="1465"/>
      <c r="BX190" s="1370"/>
      <c r="BY190" s="31"/>
      <c r="BZ190" s="1465"/>
      <c r="CA190" s="1370"/>
      <c r="CB190" s="31"/>
      <c r="CC190" s="1465"/>
      <c r="CD190" s="1370"/>
      <c r="CE190" s="31"/>
      <c r="CF190" s="1465"/>
      <c r="CG190" s="1370"/>
      <c r="CH190" s="31"/>
      <c r="CI190" s="1465"/>
      <c r="CJ190" s="1370"/>
      <c r="CK190" s="31"/>
      <c r="CL190" s="1273"/>
    </row>
    <row r="191" ht="18.75" customHeight="1">
      <c r="A191" s="1238"/>
      <c r="B191" s="1238"/>
      <c r="C191" s="1370"/>
      <c r="D191" s="1370"/>
      <c r="E191" s="1370"/>
      <c r="F191" s="1370"/>
      <c r="G191" s="1370"/>
      <c r="H191" s="1370"/>
      <c r="I191" s="1370"/>
      <c r="J191" s="1370"/>
      <c r="K191" s="1370"/>
      <c r="L191" s="1370"/>
      <c r="M191" s="1370"/>
      <c r="N191" s="31"/>
      <c r="O191" s="1465"/>
      <c r="P191" s="1370"/>
      <c r="Q191" s="31"/>
      <c r="R191" s="1465"/>
      <c r="S191" s="1370"/>
      <c r="T191" s="31"/>
      <c r="U191" s="1465"/>
      <c r="V191" s="1370"/>
      <c r="W191" s="31"/>
      <c r="X191" s="1465"/>
      <c r="Y191" s="1370"/>
      <c r="Z191" s="31"/>
      <c r="AA191" s="1465"/>
      <c r="AB191" s="1370"/>
      <c r="AC191" s="1371"/>
      <c r="AD191" s="1465"/>
      <c r="AE191" s="1370"/>
      <c r="AF191" s="1371"/>
      <c r="AG191" s="1465"/>
      <c r="AH191" s="1370"/>
      <c r="AI191" s="31"/>
      <c r="AJ191" s="1465"/>
      <c r="AK191" s="1370"/>
      <c r="AL191" s="31"/>
      <c r="AM191" s="1465"/>
      <c r="AN191" s="1370"/>
      <c r="AO191" s="31"/>
      <c r="AP191" s="1465"/>
      <c r="AQ191" s="1346"/>
      <c r="AR191" s="1296" t="s">
        <v>2558</v>
      </c>
      <c r="AS191" s="1465"/>
      <c r="AT191" s="1370"/>
      <c r="AU191" s="1371"/>
      <c r="AV191" s="1465"/>
      <c r="AW191" s="1370"/>
      <c r="AX191" s="31"/>
      <c r="AY191" s="1465"/>
      <c r="AZ191" s="1370"/>
      <c r="BA191" s="31"/>
      <c r="BB191" s="1465"/>
      <c r="BC191" s="1370"/>
      <c r="BD191" s="31"/>
      <c r="BE191" s="1465"/>
      <c r="BF191" s="1370"/>
      <c r="BG191" s="31"/>
      <c r="BH191" s="1465"/>
      <c r="BI191" s="1370"/>
      <c r="BJ191" s="31"/>
      <c r="BK191" s="1465"/>
      <c r="BL191" s="1370"/>
      <c r="BM191" s="31"/>
      <c r="BN191" s="1465"/>
      <c r="BO191" s="1370"/>
      <c r="BP191" s="31"/>
      <c r="BQ191" s="1465"/>
      <c r="BR191" s="1370"/>
      <c r="BS191" s="31"/>
      <c r="BT191" s="1465"/>
      <c r="BU191" s="1370"/>
      <c r="BV191" s="31"/>
      <c r="BW191" s="1465"/>
      <c r="BX191" s="1370"/>
      <c r="BY191" s="31"/>
      <c r="BZ191" s="1465"/>
      <c r="CA191" s="1370"/>
      <c r="CB191" s="31"/>
      <c r="CC191" s="1465"/>
      <c r="CD191" s="1370"/>
      <c r="CE191" s="31"/>
      <c r="CF191" s="1465"/>
      <c r="CG191" s="1370"/>
      <c r="CH191" s="31"/>
      <c r="CI191" s="1465"/>
      <c r="CJ191" s="1370"/>
      <c r="CK191" s="31"/>
      <c r="CL191" s="1273"/>
    </row>
    <row r="192" ht="18.75" customHeight="1">
      <c r="A192" s="1238"/>
      <c r="B192" s="1238"/>
      <c r="C192" s="1370"/>
      <c r="D192" s="1370"/>
      <c r="E192" s="1370"/>
      <c r="F192" s="1370"/>
      <c r="G192" s="1370"/>
      <c r="H192" s="1370"/>
      <c r="I192" s="1370"/>
      <c r="J192" s="1370"/>
      <c r="K192" s="1370"/>
      <c r="L192" s="1370"/>
      <c r="M192" s="1370"/>
      <c r="N192" s="31"/>
      <c r="O192" s="1465"/>
      <c r="P192" s="1370"/>
      <c r="Q192" s="31"/>
      <c r="R192" s="1465"/>
      <c r="S192" s="1370"/>
      <c r="T192" s="31"/>
      <c r="U192" s="1465"/>
      <c r="V192" s="1370"/>
      <c r="W192" s="31"/>
      <c r="X192" s="1465"/>
      <c r="Y192" s="1370"/>
      <c r="Z192" s="31"/>
      <c r="AA192" s="1465"/>
      <c r="AB192" s="1370"/>
      <c r="AC192" s="1371"/>
      <c r="AD192" s="1465"/>
      <c r="AE192" s="1370"/>
      <c r="AF192" s="1371"/>
      <c r="AG192" s="1465"/>
      <c r="AH192" s="1370"/>
      <c r="AI192" s="31"/>
      <c r="AJ192" s="1465"/>
      <c r="AK192" s="1370"/>
      <c r="AL192" s="31"/>
      <c r="AM192" s="1465"/>
      <c r="AN192" s="1370"/>
      <c r="AO192" s="31"/>
      <c r="AP192" s="1465"/>
      <c r="AQ192" s="1324"/>
      <c r="AR192" s="1325" t="s">
        <v>2559</v>
      </c>
      <c r="AS192" s="1465"/>
      <c r="AT192" s="1370"/>
      <c r="AU192" s="1371"/>
      <c r="AV192" s="1465"/>
      <c r="AW192" s="1370"/>
      <c r="AX192" s="31"/>
      <c r="AY192" s="1465"/>
      <c r="AZ192" s="1370"/>
      <c r="BA192" s="31"/>
      <c r="BB192" s="1465"/>
      <c r="BC192" s="1370"/>
      <c r="BD192" s="31"/>
      <c r="BE192" s="1465"/>
      <c r="BF192" s="1370"/>
      <c r="BG192" s="31"/>
      <c r="BH192" s="1465"/>
      <c r="BI192" s="1370"/>
      <c r="BJ192" s="31"/>
      <c r="BK192" s="1465"/>
      <c r="BL192" s="1370"/>
      <c r="BM192" s="31"/>
      <c r="BN192" s="1465"/>
      <c r="BO192" s="1370"/>
      <c r="BP192" s="31"/>
      <c r="BQ192" s="1465"/>
      <c r="BR192" s="1370"/>
      <c r="BS192" s="31"/>
      <c r="BT192" s="1465"/>
      <c r="BU192" s="1370"/>
      <c r="BV192" s="31"/>
      <c r="BW192" s="1465"/>
      <c r="BX192" s="1370"/>
      <c r="BY192" s="31"/>
      <c r="BZ192" s="1465"/>
      <c r="CA192" s="1370"/>
      <c r="CB192" s="31"/>
      <c r="CC192" s="1465"/>
      <c r="CD192" s="1370"/>
      <c r="CE192" s="31"/>
      <c r="CF192" s="1465"/>
      <c r="CG192" s="1370"/>
      <c r="CH192" s="31"/>
      <c r="CI192" s="1465"/>
      <c r="CJ192" s="1370"/>
      <c r="CK192" s="31"/>
      <c r="CL192" s="1273"/>
    </row>
    <row r="193" ht="18.75" customHeight="1">
      <c r="A193" s="1238"/>
      <c r="B193" s="1238"/>
      <c r="C193" s="1370"/>
      <c r="D193" s="1370"/>
      <c r="E193" s="1370"/>
      <c r="F193" s="1370"/>
      <c r="G193" s="1370"/>
      <c r="H193" s="1370"/>
      <c r="I193" s="1370"/>
      <c r="J193" s="1370"/>
      <c r="K193" s="1370"/>
      <c r="L193" s="1370"/>
      <c r="M193" s="1370"/>
      <c r="N193" s="31"/>
      <c r="O193" s="1465"/>
      <c r="P193" s="1370"/>
      <c r="Q193" s="31"/>
      <c r="R193" s="1465"/>
      <c r="S193" s="1370"/>
      <c r="T193" s="31"/>
      <c r="U193" s="1465"/>
      <c r="V193" s="1370"/>
      <c r="W193" s="31"/>
      <c r="X193" s="1465"/>
      <c r="Y193" s="1370"/>
      <c r="Z193" s="31"/>
      <c r="AA193" s="1465"/>
      <c r="AB193" s="1370"/>
      <c r="AC193" s="1371"/>
      <c r="AD193" s="1465"/>
      <c r="AE193" s="1370"/>
      <c r="AF193" s="1371"/>
      <c r="AG193" s="1465"/>
      <c r="AH193" s="1370"/>
      <c r="AI193" s="31"/>
      <c r="AJ193" s="1465"/>
      <c r="AK193" s="1370"/>
      <c r="AL193" s="31"/>
      <c r="AM193" s="1465"/>
      <c r="AN193" s="1370"/>
      <c r="AO193" s="31"/>
      <c r="AP193" s="1465"/>
      <c r="AQ193" s="1324"/>
      <c r="AR193" s="1325" t="s">
        <v>2560</v>
      </c>
      <c r="AS193" s="1465"/>
      <c r="AT193" s="1370"/>
      <c r="AU193" s="1371"/>
      <c r="AV193" s="1465"/>
      <c r="AW193" s="1370"/>
      <c r="AX193" s="31"/>
      <c r="AY193" s="1465"/>
      <c r="AZ193" s="1370"/>
      <c r="BA193" s="31"/>
      <c r="BB193" s="1465"/>
      <c r="BC193" s="1370"/>
      <c r="BD193" s="31"/>
      <c r="BE193" s="1465"/>
      <c r="BF193" s="1370"/>
      <c r="BG193" s="31"/>
      <c r="BH193" s="1465"/>
      <c r="BI193" s="1370"/>
      <c r="BJ193" s="31"/>
      <c r="BK193" s="1465"/>
      <c r="BL193" s="1370"/>
      <c r="BM193" s="31"/>
      <c r="BN193" s="1465"/>
      <c r="BO193" s="1370"/>
      <c r="BP193" s="31"/>
      <c r="BQ193" s="1465"/>
      <c r="BR193" s="1370"/>
      <c r="BS193" s="31"/>
      <c r="BT193" s="1465"/>
      <c r="BU193" s="1370"/>
      <c r="BV193" s="31"/>
      <c r="BW193" s="1465"/>
      <c r="BX193" s="1370"/>
      <c r="BY193" s="31"/>
      <c r="BZ193" s="1465"/>
      <c r="CA193" s="1370"/>
      <c r="CB193" s="31"/>
      <c r="CC193" s="1465"/>
      <c r="CD193" s="1370"/>
      <c r="CE193" s="31"/>
      <c r="CF193" s="1465"/>
      <c r="CG193" s="1370"/>
      <c r="CH193" s="31"/>
      <c r="CI193" s="1465"/>
      <c r="CJ193" s="1370"/>
      <c r="CK193" s="31"/>
      <c r="CL193" s="1273"/>
    </row>
    <row r="194" ht="18.75" customHeight="1">
      <c r="A194" s="1238"/>
      <c r="B194" s="1238"/>
      <c r="C194" s="1370"/>
      <c r="D194" s="1370"/>
      <c r="E194" s="1370"/>
      <c r="F194" s="1370"/>
      <c r="G194" s="1370"/>
      <c r="H194" s="1370"/>
      <c r="I194" s="1370"/>
      <c r="J194" s="1370"/>
      <c r="K194" s="1370"/>
      <c r="L194" s="1370"/>
      <c r="M194" s="1370"/>
      <c r="N194" s="31"/>
      <c r="O194" s="1465"/>
      <c r="P194" s="1370"/>
      <c r="Q194" s="31"/>
      <c r="R194" s="1465"/>
      <c r="S194" s="1370"/>
      <c r="T194" s="31"/>
      <c r="U194" s="1465"/>
      <c r="V194" s="1370"/>
      <c r="W194" s="31"/>
      <c r="X194" s="1465"/>
      <c r="Y194" s="1370"/>
      <c r="Z194" s="31"/>
      <c r="AA194" s="1465"/>
      <c r="AB194" s="1370"/>
      <c r="AC194" s="1371"/>
      <c r="AD194" s="1465"/>
      <c r="AE194" s="1370"/>
      <c r="AF194" s="1371"/>
      <c r="AG194" s="1465"/>
      <c r="AH194" s="1370"/>
      <c r="AI194" s="31"/>
      <c r="AJ194" s="1465"/>
      <c r="AK194" s="1370"/>
      <c r="AL194" s="31"/>
      <c r="AM194" s="1465"/>
      <c r="AN194" s="1370"/>
      <c r="AO194" s="31"/>
      <c r="AP194" s="1465"/>
      <c r="AQ194" s="1346"/>
      <c r="AR194" s="1296" t="s">
        <v>2561</v>
      </c>
      <c r="AS194" s="1465"/>
      <c r="AT194" s="1370"/>
      <c r="AU194" s="1371"/>
      <c r="AV194" s="1465"/>
      <c r="AW194" s="1370"/>
      <c r="AX194" s="31"/>
      <c r="AY194" s="1465"/>
      <c r="AZ194" s="1370"/>
      <c r="BA194" s="31"/>
      <c r="BB194" s="1465"/>
      <c r="BC194" s="1370"/>
      <c r="BD194" s="31"/>
      <c r="BE194" s="1465"/>
      <c r="BF194" s="1370"/>
      <c r="BG194" s="31"/>
      <c r="BH194" s="1465"/>
      <c r="BI194" s="1370"/>
      <c r="BJ194" s="31"/>
      <c r="BK194" s="1465"/>
      <c r="BL194" s="1370"/>
      <c r="BM194" s="31"/>
      <c r="BN194" s="1465"/>
      <c r="BO194" s="1370"/>
      <c r="BP194" s="31"/>
      <c r="BQ194" s="1465"/>
      <c r="BR194" s="1370"/>
      <c r="BS194" s="31"/>
      <c r="BT194" s="1465"/>
      <c r="BU194" s="1370"/>
      <c r="BV194" s="31"/>
      <c r="BW194" s="1465"/>
      <c r="BX194" s="1370"/>
      <c r="BY194" s="31"/>
      <c r="BZ194" s="1465"/>
      <c r="CA194" s="1370"/>
      <c r="CB194" s="31"/>
      <c r="CC194" s="1465"/>
      <c r="CD194" s="1370"/>
      <c r="CE194" s="31"/>
      <c r="CF194" s="1465"/>
      <c r="CG194" s="1370"/>
      <c r="CH194" s="31"/>
      <c r="CI194" s="1465"/>
      <c r="CJ194" s="1370"/>
      <c r="CK194" s="31"/>
      <c r="CL194" s="1273"/>
    </row>
    <row r="195" ht="18.75" customHeight="1">
      <c r="A195" s="1238"/>
      <c r="B195" s="1238"/>
      <c r="C195" s="1370"/>
      <c r="D195" s="1370"/>
      <c r="E195" s="1370"/>
      <c r="F195" s="1370"/>
      <c r="G195" s="1370"/>
      <c r="H195" s="1370"/>
      <c r="I195" s="1370"/>
      <c r="J195" s="1370"/>
      <c r="K195" s="1370"/>
      <c r="L195" s="1370"/>
      <c r="M195" s="1370"/>
      <c r="N195" s="31"/>
      <c r="O195" s="1465"/>
      <c r="P195" s="1370"/>
      <c r="Q195" s="31"/>
      <c r="R195" s="1465"/>
      <c r="S195" s="1370"/>
      <c r="T195" s="31"/>
      <c r="U195" s="1465"/>
      <c r="V195" s="1370"/>
      <c r="W195" s="31"/>
      <c r="X195" s="1465"/>
      <c r="Y195" s="1370"/>
      <c r="Z195" s="31"/>
      <c r="AA195" s="1465"/>
      <c r="AB195" s="1370"/>
      <c r="AC195" s="1371"/>
      <c r="AD195" s="1465"/>
      <c r="AE195" s="1370"/>
      <c r="AF195" s="1371"/>
      <c r="AG195" s="1465"/>
      <c r="AH195" s="1370"/>
      <c r="AI195" s="31"/>
      <c r="AJ195" s="1465"/>
      <c r="AK195" s="1370"/>
      <c r="AL195" s="31"/>
      <c r="AM195" s="1465"/>
      <c r="AN195" s="1370"/>
      <c r="AO195" s="31"/>
      <c r="AP195" s="1465"/>
      <c r="AQ195" s="1324"/>
      <c r="AR195" s="1325" t="s">
        <v>2561</v>
      </c>
      <c r="AS195" s="1465"/>
      <c r="AT195" s="1370"/>
      <c r="AU195" s="1371"/>
      <c r="AV195" s="1465"/>
      <c r="AW195" s="1370"/>
      <c r="AX195" s="31"/>
      <c r="AY195" s="1465"/>
      <c r="AZ195" s="1370"/>
      <c r="BA195" s="31"/>
      <c r="BB195" s="1465"/>
      <c r="BC195" s="1370"/>
      <c r="BD195" s="31"/>
      <c r="BE195" s="1465"/>
      <c r="BF195" s="1370"/>
      <c r="BG195" s="31"/>
      <c r="BH195" s="1465"/>
      <c r="BI195" s="1370"/>
      <c r="BJ195" s="31"/>
      <c r="BK195" s="1465"/>
      <c r="BL195" s="1370"/>
      <c r="BM195" s="31"/>
      <c r="BN195" s="1465"/>
      <c r="BO195" s="1370"/>
      <c r="BP195" s="31"/>
      <c r="BQ195" s="1465"/>
      <c r="BR195" s="1370"/>
      <c r="BS195" s="31"/>
      <c r="BT195" s="1465"/>
      <c r="BU195" s="1370"/>
      <c r="BV195" s="31"/>
      <c r="BW195" s="1465"/>
      <c r="BX195" s="1370"/>
      <c r="BY195" s="31"/>
      <c r="BZ195" s="1465"/>
      <c r="CA195" s="1370"/>
      <c r="CB195" s="31"/>
      <c r="CC195" s="1465"/>
      <c r="CD195" s="1370"/>
      <c r="CE195" s="31"/>
      <c r="CF195" s="1465"/>
      <c r="CG195" s="1370"/>
      <c r="CH195" s="31"/>
      <c r="CI195" s="1465"/>
      <c r="CJ195" s="1370"/>
      <c r="CK195" s="31"/>
      <c r="CL195" s="1273"/>
    </row>
    <row r="196" ht="18.75" customHeight="1">
      <c r="A196" s="1238"/>
      <c r="B196" s="1238"/>
      <c r="C196" s="1370"/>
      <c r="D196" s="1370"/>
      <c r="E196" s="1370"/>
      <c r="F196" s="1370"/>
      <c r="G196" s="1370"/>
      <c r="H196" s="1370"/>
      <c r="I196" s="1370"/>
      <c r="J196" s="1370"/>
      <c r="K196" s="1370"/>
      <c r="L196" s="1370"/>
      <c r="M196" s="1370"/>
      <c r="N196" s="31"/>
      <c r="O196" s="1465"/>
      <c r="P196" s="1370"/>
      <c r="Q196" s="31"/>
      <c r="R196" s="1465"/>
      <c r="S196" s="1370"/>
      <c r="T196" s="31"/>
      <c r="U196" s="1465"/>
      <c r="V196" s="1370"/>
      <c r="W196" s="31"/>
      <c r="X196" s="1465"/>
      <c r="Y196" s="1370"/>
      <c r="Z196" s="31"/>
      <c r="AA196" s="1465"/>
      <c r="AB196" s="1370"/>
      <c r="AC196" s="1371"/>
      <c r="AD196" s="1465"/>
      <c r="AE196" s="1370"/>
      <c r="AF196" s="1371"/>
      <c r="AG196" s="1465"/>
      <c r="AH196" s="1370"/>
      <c r="AI196" s="31"/>
      <c r="AJ196" s="1465"/>
      <c r="AK196" s="1370"/>
      <c r="AL196" s="31"/>
      <c r="AM196" s="1465"/>
      <c r="AN196" s="1370"/>
      <c r="AO196" s="31"/>
      <c r="AP196" s="1465"/>
      <c r="AQ196" s="1346"/>
      <c r="AR196" s="1296" t="s">
        <v>2562</v>
      </c>
      <c r="AS196" s="1465"/>
      <c r="AT196" s="1370"/>
      <c r="AU196" s="1371"/>
      <c r="AV196" s="1465"/>
      <c r="AW196" s="1370"/>
      <c r="AX196" s="31"/>
      <c r="AY196" s="1465"/>
      <c r="AZ196" s="1370"/>
      <c r="BA196" s="31"/>
      <c r="BB196" s="1465"/>
      <c r="BC196" s="1370"/>
      <c r="BD196" s="31"/>
      <c r="BE196" s="1465"/>
      <c r="BF196" s="1370"/>
      <c r="BG196" s="31"/>
      <c r="BH196" s="1465"/>
      <c r="BI196" s="1370"/>
      <c r="BJ196" s="31"/>
      <c r="BK196" s="1465"/>
      <c r="BL196" s="1370"/>
      <c r="BM196" s="31"/>
      <c r="BN196" s="1465"/>
      <c r="BO196" s="1370"/>
      <c r="BP196" s="31"/>
      <c r="BQ196" s="1465"/>
      <c r="BR196" s="1370"/>
      <c r="BS196" s="31"/>
      <c r="BT196" s="1465"/>
      <c r="BU196" s="1370"/>
      <c r="BV196" s="31"/>
      <c r="BW196" s="1465"/>
      <c r="BX196" s="1370"/>
      <c r="BY196" s="31"/>
      <c r="BZ196" s="1465"/>
      <c r="CA196" s="1370"/>
      <c r="CB196" s="31"/>
      <c r="CC196" s="1465"/>
      <c r="CD196" s="1370"/>
      <c r="CE196" s="31"/>
      <c r="CF196" s="1465"/>
      <c r="CG196" s="1370"/>
      <c r="CH196" s="31"/>
      <c r="CI196" s="1465"/>
      <c r="CJ196" s="1370"/>
      <c r="CK196" s="31"/>
      <c r="CL196" s="1273"/>
    </row>
    <row r="197" ht="18.75" customHeight="1">
      <c r="A197" s="1238"/>
      <c r="B197" s="1238"/>
      <c r="C197" s="1370"/>
      <c r="D197" s="1370"/>
      <c r="E197" s="1370"/>
      <c r="F197" s="1370"/>
      <c r="G197" s="1370"/>
      <c r="H197" s="1370"/>
      <c r="I197" s="1370"/>
      <c r="J197" s="1370"/>
      <c r="K197" s="1370"/>
      <c r="L197" s="1370"/>
      <c r="M197" s="1370"/>
      <c r="N197" s="31"/>
      <c r="O197" s="1465"/>
      <c r="P197" s="1370"/>
      <c r="Q197" s="31"/>
      <c r="R197" s="1465"/>
      <c r="S197" s="1370"/>
      <c r="T197" s="31"/>
      <c r="U197" s="1465"/>
      <c r="V197" s="1370"/>
      <c r="W197" s="31"/>
      <c r="X197" s="1465"/>
      <c r="Y197" s="1370"/>
      <c r="Z197" s="31"/>
      <c r="AA197" s="1465"/>
      <c r="AB197" s="1370"/>
      <c r="AC197" s="1371"/>
      <c r="AD197" s="1465"/>
      <c r="AE197" s="1370"/>
      <c r="AF197" s="1371"/>
      <c r="AG197" s="1465"/>
      <c r="AH197" s="1370"/>
      <c r="AI197" s="31"/>
      <c r="AJ197" s="1465"/>
      <c r="AK197" s="1370"/>
      <c r="AL197" s="31"/>
      <c r="AM197" s="1465"/>
      <c r="AN197" s="1370"/>
      <c r="AO197" s="31"/>
      <c r="AP197" s="1465"/>
      <c r="AQ197" s="1324"/>
      <c r="AR197" s="1325" t="s">
        <v>2563</v>
      </c>
      <c r="AS197" s="1465"/>
      <c r="AT197" s="1370"/>
      <c r="AU197" s="1371"/>
      <c r="AV197" s="1465"/>
      <c r="AW197" s="1370"/>
      <c r="AX197" s="31"/>
      <c r="AY197" s="1465"/>
      <c r="AZ197" s="1370"/>
      <c r="BA197" s="31"/>
      <c r="BB197" s="1465"/>
      <c r="BC197" s="1370"/>
      <c r="BD197" s="31"/>
      <c r="BE197" s="1465"/>
      <c r="BF197" s="1370"/>
      <c r="BG197" s="31"/>
      <c r="BH197" s="1465"/>
      <c r="BI197" s="1370"/>
      <c r="BJ197" s="31"/>
      <c r="BK197" s="1465"/>
      <c r="BL197" s="1370"/>
      <c r="BM197" s="31"/>
      <c r="BN197" s="1465"/>
      <c r="BO197" s="1370"/>
      <c r="BP197" s="31"/>
      <c r="BQ197" s="1465"/>
      <c r="BR197" s="1370"/>
      <c r="BS197" s="31"/>
      <c r="BT197" s="1465"/>
      <c r="BU197" s="1370"/>
      <c r="BV197" s="31"/>
      <c r="BW197" s="1465"/>
      <c r="BX197" s="1370"/>
      <c r="BY197" s="31"/>
      <c r="BZ197" s="1465"/>
      <c r="CA197" s="1370"/>
      <c r="CB197" s="31"/>
      <c r="CC197" s="1465"/>
      <c r="CD197" s="1370"/>
      <c r="CE197" s="31"/>
      <c r="CF197" s="1465"/>
      <c r="CG197" s="1370"/>
      <c r="CH197" s="31"/>
      <c r="CI197" s="1465"/>
      <c r="CJ197" s="1370"/>
      <c r="CK197" s="31"/>
      <c r="CL197" s="1273"/>
    </row>
    <row r="198" ht="18.75" customHeight="1">
      <c r="A198" s="1238"/>
      <c r="B198" s="1238"/>
      <c r="C198" s="1370"/>
      <c r="D198" s="1370"/>
      <c r="E198" s="1370"/>
      <c r="F198" s="1370"/>
      <c r="G198" s="1370"/>
      <c r="H198" s="1370"/>
      <c r="I198" s="1370"/>
      <c r="J198" s="1370"/>
      <c r="K198" s="1370"/>
      <c r="L198" s="1370"/>
      <c r="M198" s="1370"/>
      <c r="N198" s="31"/>
      <c r="O198" s="1465"/>
      <c r="P198" s="1370"/>
      <c r="Q198" s="31"/>
      <c r="R198" s="1465"/>
      <c r="S198" s="1370"/>
      <c r="T198" s="31"/>
      <c r="U198" s="1465"/>
      <c r="V198" s="1370"/>
      <c r="W198" s="31"/>
      <c r="X198" s="1465"/>
      <c r="Y198" s="1370"/>
      <c r="Z198" s="31"/>
      <c r="AA198" s="1465"/>
      <c r="AB198" s="1370"/>
      <c r="AC198" s="1371"/>
      <c r="AD198" s="1465"/>
      <c r="AE198" s="1370"/>
      <c r="AF198" s="1371"/>
      <c r="AG198" s="1465"/>
      <c r="AH198" s="1370"/>
      <c r="AI198" s="31"/>
      <c r="AJ198" s="1465"/>
      <c r="AK198" s="1370"/>
      <c r="AL198" s="31"/>
      <c r="AM198" s="1465"/>
      <c r="AN198" s="1370"/>
      <c r="AO198" s="31"/>
      <c r="AP198" s="1465"/>
      <c r="AQ198" s="1346"/>
      <c r="AR198" s="1296" t="s">
        <v>2564</v>
      </c>
      <c r="AS198" s="1465"/>
      <c r="AT198" s="1370"/>
      <c r="AU198" s="1371"/>
      <c r="AV198" s="1465"/>
      <c r="AW198" s="1370"/>
      <c r="AX198" s="31"/>
      <c r="AY198" s="1465"/>
      <c r="AZ198" s="1370"/>
      <c r="BA198" s="31"/>
      <c r="BB198" s="1465"/>
      <c r="BC198" s="1370"/>
      <c r="BD198" s="31"/>
      <c r="BE198" s="1465"/>
      <c r="BF198" s="1370"/>
      <c r="BG198" s="31"/>
      <c r="BH198" s="1465"/>
      <c r="BI198" s="1370"/>
      <c r="BJ198" s="31"/>
      <c r="BK198" s="1465"/>
      <c r="BL198" s="1370"/>
      <c r="BM198" s="31"/>
      <c r="BN198" s="1465"/>
      <c r="BO198" s="1370"/>
      <c r="BP198" s="31"/>
      <c r="BQ198" s="1465"/>
      <c r="BR198" s="1370"/>
      <c r="BS198" s="31"/>
      <c r="BT198" s="1465"/>
      <c r="BU198" s="1370"/>
      <c r="BV198" s="31"/>
      <c r="BW198" s="1465"/>
      <c r="BX198" s="1370"/>
      <c r="BY198" s="31"/>
      <c r="BZ198" s="1465"/>
      <c r="CA198" s="1370"/>
      <c r="CB198" s="31"/>
      <c r="CC198" s="1465"/>
      <c r="CD198" s="1370"/>
      <c r="CE198" s="31"/>
      <c r="CF198" s="1465"/>
      <c r="CG198" s="1370"/>
      <c r="CH198" s="31"/>
      <c r="CI198" s="1465"/>
      <c r="CJ198" s="1370"/>
      <c r="CK198" s="31"/>
      <c r="CL198" s="1273"/>
    </row>
    <row r="199" ht="18.75" customHeight="1">
      <c r="A199" s="1238"/>
      <c r="B199" s="1238"/>
      <c r="C199" s="1370"/>
      <c r="D199" s="1370"/>
      <c r="E199" s="1370"/>
      <c r="F199" s="1370"/>
      <c r="G199" s="1370"/>
      <c r="H199" s="1370"/>
      <c r="I199" s="1370"/>
      <c r="J199" s="1370"/>
      <c r="K199" s="1370"/>
      <c r="L199" s="1370"/>
      <c r="M199" s="1370"/>
      <c r="N199" s="31"/>
      <c r="O199" s="1465"/>
      <c r="P199" s="1370"/>
      <c r="Q199" s="31"/>
      <c r="R199" s="1465"/>
      <c r="S199" s="1370"/>
      <c r="T199" s="31"/>
      <c r="U199" s="1465"/>
      <c r="V199" s="1370"/>
      <c r="W199" s="31"/>
      <c r="X199" s="1465"/>
      <c r="Y199" s="1370"/>
      <c r="Z199" s="31"/>
      <c r="AA199" s="1465"/>
      <c r="AB199" s="1370"/>
      <c r="AC199" s="1371"/>
      <c r="AD199" s="1465"/>
      <c r="AE199" s="1370"/>
      <c r="AF199" s="1371"/>
      <c r="AG199" s="1465"/>
      <c r="AH199" s="1370"/>
      <c r="AI199" s="31"/>
      <c r="AJ199" s="1465"/>
      <c r="AK199" s="1370"/>
      <c r="AL199" s="31"/>
      <c r="AM199" s="1465"/>
      <c r="AN199" s="1370"/>
      <c r="AO199" s="31"/>
      <c r="AP199" s="1465"/>
      <c r="AQ199" s="1324"/>
      <c r="AR199" s="1325" t="s">
        <v>2565</v>
      </c>
      <c r="AS199" s="1465"/>
      <c r="AT199" s="1370"/>
      <c r="AU199" s="1371"/>
      <c r="AV199" s="1465"/>
      <c r="AW199" s="1370"/>
      <c r="AX199" s="31"/>
      <c r="AY199" s="1465"/>
      <c r="AZ199" s="1370"/>
      <c r="BA199" s="31"/>
      <c r="BB199" s="1465"/>
      <c r="BC199" s="1370"/>
      <c r="BD199" s="31"/>
      <c r="BE199" s="1465"/>
      <c r="BF199" s="1370"/>
      <c r="BG199" s="31"/>
      <c r="BH199" s="1465"/>
      <c r="BI199" s="1370"/>
      <c r="BJ199" s="31"/>
      <c r="BK199" s="1465"/>
      <c r="BL199" s="1370"/>
      <c r="BM199" s="31"/>
      <c r="BN199" s="1465"/>
      <c r="BO199" s="1370"/>
      <c r="BP199" s="31"/>
      <c r="BQ199" s="1465"/>
      <c r="BR199" s="1370"/>
      <c r="BS199" s="31"/>
      <c r="BT199" s="1465"/>
      <c r="BU199" s="1370"/>
      <c r="BV199" s="31"/>
      <c r="BW199" s="1465"/>
      <c r="BX199" s="1370"/>
      <c r="BY199" s="31"/>
      <c r="BZ199" s="1465"/>
      <c r="CA199" s="1370"/>
      <c r="CB199" s="31"/>
      <c r="CC199" s="1465"/>
      <c r="CD199" s="1370"/>
      <c r="CE199" s="31"/>
      <c r="CF199" s="1465"/>
      <c r="CG199" s="1370"/>
      <c r="CH199" s="31"/>
      <c r="CI199" s="1465"/>
      <c r="CJ199" s="1370"/>
      <c r="CK199" s="31"/>
      <c r="CL199" s="1273"/>
    </row>
    <row r="200" ht="18.75" customHeight="1">
      <c r="A200" s="1238"/>
      <c r="B200" s="1238"/>
      <c r="C200" s="1370"/>
      <c r="D200" s="1370"/>
      <c r="E200" s="1370"/>
      <c r="F200" s="1370"/>
      <c r="G200" s="1370"/>
      <c r="H200" s="1370"/>
      <c r="I200" s="1370"/>
      <c r="J200" s="1370"/>
      <c r="K200" s="1370"/>
      <c r="L200" s="1370"/>
      <c r="M200" s="1370"/>
      <c r="N200" s="31"/>
      <c r="O200" s="1465"/>
      <c r="P200" s="1370"/>
      <c r="Q200" s="31"/>
      <c r="R200" s="1465"/>
      <c r="S200" s="1370"/>
      <c r="T200" s="31"/>
      <c r="U200" s="1465"/>
      <c r="V200" s="1370"/>
      <c r="W200" s="31"/>
      <c r="X200" s="1465"/>
      <c r="Y200" s="1370"/>
      <c r="Z200" s="31"/>
      <c r="AA200" s="1465"/>
      <c r="AB200" s="1370"/>
      <c r="AC200" s="1371"/>
      <c r="AD200" s="1465"/>
      <c r="AE200" s="1370"/>
      <c r="AF200" s="1371"/>
      <c r="AG200" s="1465"/>
      <c r="AH200" s="1370"/>
      <c r="AI200" s="31"/>
      <c r="AJ200" s="1465"/>
      <c r="AK200" s="1370"/>
      <c r="AL200" s="31"/>
      <c r="AM200" s="1465"/>
      <c r="AN200" s="1370"/>
      <c r="AO200" s="31"/>
      <c r="AP200" s="1465"/>
      <c r="AQ200" s="1346"/>
      <c r="AR200" s="1296" t="s">
        <v>2566</v>
      </c>
      <c r="AS200" s="1465"/>
      <c r="AT200" s="1370"/>
      <c r="AU200" s="1371"/>
      <c r="AV200" s="1465"/>
      <c r="AW200" s="1370"/>
      <c r="AX200" s="31"/>
      <c r="AY200" s="1465"/>
      <c r="AZ200" s="1370"/>
      <c r="BA200" s="31"/>
      <c r="BB200" s="1465"/>
      <c r="BC200" s="1370"/>
      <c r="BD200" s="31"/>
      <c r="BE200" s="1465"/>
      <c r="BF200" s="1370"/>
      <c r="BG200" s="31"/>
      <c r="BH200" s="1465"/>
      <c r="BI200" s="1370"/>
      <c r="BJ200" s="31"/>
      <c r="BK200" s="1465"/>
      <c r="BL200" s="1370"/>
      <c r="BM200" s="31"/>
      <c r="BN200" s="1465"/>
      <c r="BO200" s="1370"/>
      <c r="BP200" s="31"/>
      <c r="BQ200" s="1465"/>
      <c r="BR200" s="1370"/>
      <c r="BS200" s="31"/>
      <c r="BT200" s="1465"/>
      <c r="BU200" s="1370"/>
      <c r="BV200" s="31"/>
      <c r="BW200" s="1465"/>
      <c r="BX200" s="1370"/>
      <c r="BY200" s="31"/>
      <c r="BZ200" s="1465"/>
      <c r="CA200" s="1370"/>
      <c r="CB200" s="31"/>
      <c r="CC200" s="1465"/>
      <c r="CD200" s="1370"/>
      <c r="CE200" s="31"/>
      <c r="CF200" s="1465"/>
      <c r="CG200" s="1370"/>
      <c r="CH200" s="31"/>
      <c r="CI200" s="1465"/>
      <c r="CJ200" s="1370"/>
      <c r="CK200" s="31"/>
      <c r="CL200" s="1273"/>
    </row>
    <row r="201" ht="18.75" customHeight="1">
      <c r="A201" s="1238"/>
      <c r="B201" s="1238"/>
      <c r="C201" s="1370"/>
      <c r="D201" s="1370"/>
      <c r="E201" s="1370"/>
      <c r="F201" s="1370"/>
      <c r="G201" s="1370"/>
      <c r="H201" s="1370"/>
      <c r="I201" s="1370"/>
      <c r="J201" s="1370"/>
      <c r="K201" s="1370"/>
      <c r="L201" s="1370"/>
      <c r="M201" s="1370"/>
      <c r="N201" s="31"/>
      <c r="O201" s="1465"/>
      <c r="P201" s="1370"/>
      <c r="Q201" s="31"/>
      <c r="R201" s="1465"/>
      <c r="S201" s="1370"/>
      <c r="T201" s="31"/>
      <c r="U201" s="1465"/>
      <c r="V201" s="1370"/>
      <c r="W201" s="31"/>
      <c r="X201" s="1465"/>
      <c r="Y201" s="1370"/>
      <c r="Z201" s="31"/>
      <c r="AA201" s="1465"/>
      <c r="AB201" s="1370"/>
      <c r="AC201" s="1371"/>
      <c r="AD201" s="1465"/>
      <c r="AE201" s="1370"/>
      <c r="AF201" s="1371"/>
      <c r="AG201" s="1465"/>
      <c r="AH201" s="1370"/>
      <c r="AI201" s="31"/>
      <c r="AJ201" s="1465"/>
      <c r="AK201" s="1370"/>
      <c r="AL201" s="31"/>
      <c r="AM201" s="1465"/>
      <c r="AN201" s="1370"/>
      <c r="AO201" s="31"/>
      <c r="AP201" s="1465"/>
      <c r="AQ201" s="1324"/>
      <c r="AR201" s="1325" t="s">
        <v>2567</v>
      </c>
      <c r="AS201" s="1465"/>
      <c r="AT201" s="1370"/>
      <c r="AU201" s="1371"/>
      <c r="AV201" s="1465"/>
      <c r="AW201" s="1370"/>
      <c r="AX201" s="31"/>
      <c r="AY201" s="1465"/>
      <c r="AZ201" s="1370"/>
      <c r="BA201" s="31"/>
      <c r="BB201" s="1465"/>
      <c r="BC201" s="1370"/>
      <c r="BD201" s="31"/>
      <c r="BE201" s="1465"/>
      <c r="BF201" s="1370"/>
      <c r="BG201" s="31"/>
      <c r="BH201" s="1465"/>
      <c r="BI201" s="1370"/>
      <c r="BJ201" s="31"/>
      <c r="BK201" s="1465"/>
      <c r="BL201" s="1370"/>
      <c r="BM201" s="31"/>
      <c r="BN201" s="1465"/>
      <c r="BO201" s="1370"/>
      <c r="BP201" s="31"/>
      <c r="BQ201" s="1465"/>
      <c r="BR201" s="1370"/>
      <c r="BS201" s="31"/>
      <c r="BT201" s="1465"/>
      <c r="BU201" s="1370"/>
      <c r="BV201" s="31"/>
      <c r="BW201" s="1465"/>
      <c r="BX201" s="1370"/>
      <c r="BY201" s="31"/>
      <c r="BZ201" s="1465"/>
      <c r="CA201" s="1370"/>
      <c r="CB201" s="31"/>
      <c r="CC201" s="1465"/>
      <c r="CD201" s="1370"/>
      <c r="CE201" s="31"/>
      <c r="CF201" s="1465"/>
      <c r="CG201" s="1370"/>
      <c r="CH201" s="31"/>
      <c r="CI201" s="1465"/>
      <c r="CJ201" s="1370"/>
      <c r="CK201" s="31"/>
      <c r="CL201" s="1273"/>
    </row>
    <row r="202" ht="18.75" customHeight="1">
      <c r="A202" s="1238"/>
      <c r="B202" s="1238"/>
      <c r="C202" s="1370"/>
      <c r="D202" s="1370"/>
      <c r="E202" s="1370"/>
      <c r="F202" s="1370"/>
      <c r="G202" s="1370"/>
      <c r="H202" s="1370"/>
      <c r="I202" s="1370"/>
      <c r="J202" s="1370"/>
      <c r="K202" s="1370"/>
      <c r="L202" s="1370"/>
      <c r="M202" s="1370"/>
      <c r="N202" s="31"/>
      <c r="O202" s="1465"/>
      <c r="P202" s="1370"/>
      <c r="Q202" s="31"/>
      <c r="R202" s="1465"/>
      <c r="S202" s="1370"/>
      <c r="T202" s="31"/>
      <c r="U202" s="1465"/>
      <c r="V202" s="1370"/>
      <c r="W202" s="31"/>
      <c r="X202" s="1465"/>
      <c r="Y202" s="1370"/>
      <c r="Z202" s="31"/>
      <c r="AA202" s="1465"/>
      <c r="AB202" s="1370"/>
      <c r="AC202" s="1371"/>
      <c r="AD202" s="1465"/>
      <c r="AE202" s="1370"/>
      <c r="AF202" s="1371"/>
      <c r="AG202" s="1465"/>
      <c r="AH202" s="1370"/>
      <c r="AI202" s="31"/>
      <c r="AJ202" s="1465"/>
      <c r="AK202" s="1370"/>
      <c r="AL202" s="31"/>
      <c r="AM202" s="1465"/>
      <c r="AN202" s="1370"/>
      <c r="AO202" s="31"/>
      <c r="AP202" s="1465"/>
      <c r="AQ202" s="1346"/>
      <c r="AR202" s="1296" t="s">
        <v>2568</v>
      </c>
      <c r="AS202" s="1465"/>
      <c r="AT202" s="1370"/>
      <c r="AU202" s="1371"/>
      <c r="AV202" s="1465"/>
      <c r="AW202" s="1370"/>
      <c r="AX202" s="31"/>
      <c r="AY202" s="1465"/>
      <c r="AZ202" s="1370"/>
      <c r="BA202" s="31"/>
      <c r="BB202" s="1465"/>
      <c r="BC202" s="1370"/>
      <c r="BD202" s="31"/>
      <c r="BE202" s="1465"/>
      <c r="BF202" s="1370"/>
      <c r="BG202" s="31"/>
      <c r="BH202" s="1465"/>
      <c r="BI202" s="1370"/>
      <c r="BJ202" s="31"/>
      <c r="BK202" s="1465"/>
      <c r="BL202" s="1370"/>
      <c r="BM202" s="31"/>
      <c r="BN202" s="1465"/>
      <c r="BO202" s="1370"/>
      <c r="BP202" s="31"/>
      <c r="BQ202" s="1465"/>
      <c r="BR202" s="1370"/>
      <c r="BS202" s="31"/>
      <c r="BT202" s="1465"/>
      <c r="BU202" s="1370"/>
      <c r="BV202" s="31"/>
      <c r="BW202" s="1465"/>
      <c r="BX202" s="1370"/>
      <c r="BY202" s="31"/>
      <c r="BZ202" s="1465"/>
      <c r="CA202" s="1370"/>
      <c r="CB202" s="31"/>
      <c r="CC202" s="1465"/>
      <c r="CD202" s="1370"/>
      <c r="CE202" s="31"/>
      <c r="CF202" s="1465"/>
      <c r="CG202" s="1370"/>
      <c r="CH202" s="31"/>
      <c r="CI202" s="1465"/>
      <c r="CJ202" s="1370"/>
      <c r="CK202" s="31"/>
      <c r="CL202" s="1273"/>
    </row>
    <row r="203" ht="18.75" customHeight="1">
      <c r="A203" s="1238"/>
      <c r="B203" s="1238"/>
      <c r="C203" s="1370"/>
      <c r="D203" s="1370"/>
      <c r="E203" s="1370"/>
      <c r="F203" s="1370"/>
      <c r="G203" s="1370"/>
      <c r="H203" s="1370"/>
      <c r="I203" s="1370"/>
      <c r="J203" s="1370"/>
      <c r="K203" s="1370"/>
      <c r="L203" s="1370"/>
      <c r="M203" s="1370"/>
      <c r="N203" s="31"/>
      <c r="O203" s="1465"/>
      <c r="P203" s="1370"/>
      <c r="Q203" s="31"/>
      <c r="R203" s="1465"/>
      <c r="S203" s="1370"/>
      <c r="T203" s="31"/>
      <c r="U203" s="1465"/>
      <c r="V203" s="1370"/>
      <c r="W203" s="31"/>
      <c r="X203" s="1465"/>
      <c r="Y203" s="1370"/>
      <c r="Z203" s="31"/>
      <c r="AA203" s="1465"/>
      <c r="AB203" s="1370"/>
      <c r="AC203" s="1371"/>
      <c r="AD203" s="1465"/>
      <c r="AE203" s="1370"/>
      <c r="AF203" s="1371"/>
      <c r="AG203" s="1465"/>
      <c r="AH203" s="1370"/>
      <c r="AI203" s="31"/>
      <c r="AJ203" s="1465"/>
      <c r="AK203" s="1370"/>
      <c r="AL203" s="31"/>
      <c r="AM203" s="1465"/>
      <c r="AN203" s="1370"/>
      <c r="AO203" s="31"/>
      <c r="AP203" s="1465"/>
      <c r="AQ203" s="1324"/>
      <c r="AR203" s="1325" t="s">
        <v>2569</v>
      </c>
      <c r="AS203" s="1465"/>
      <c r="AT203" s="1370"/>
      <c r="AU203" s="1371"/>
      <c r="AV203" s="1465"/>
      <c r="AW203" s="1370"/>
      <c r="AX203" s="31"/>
      <c r="AY203" s="1465"/>
      <c r="AZ203" s="1370"/>
      <c r="BA203" s="31"/>
      <c r="BB203" s="1465"/>
      <c r="BC203" s="1370"/>
      <c r="BD203" s="31"/>
      <c r="BE203" s="1465"/>
      <c r="BF203" s="1370"/>
      <c r="BG203" s="31"/>
      <c r="BH203" s="1465"/>
      <c r="BI203" s="1370"/>
      <c r="BJ203" s="31"/>
      <c r="BK203" s="1465"/>
      <c r="BL203" s="1370"/>
      <c r="BM203" s="31"/>
      <c r="BN203" s="1465"/>
      <c r="BO203" s="1370"/>
      <c r="BP203" s="31"/>
      <c r="BQ203" s="1465"/>
      <c r="BR203" s="1370"/>
      <c r="BS203" s="31"/>
      <c r="BT203" s="1465"/>
      <c r="BU203" s="1370"/>
      <c r="BV203" s="31"/>
      <c r="BW203" s="1465"/>
      <c r="BX203" s="1370"/>
      <c r="BY203" s="31"/>
      <c r="BZ203" s="1465"/>
      <c r="CA203" s="1370"/>
      <c r="CB203" s="31"/>
      <c r="CC203" s="1465"/>
      <c r="CD203" s="1370"/>
      <c r="CE203" s="31"/>
      <c r="CF203" s="1465"/>
      <c r="CG203" s="1370"/>
      <c r="CH203" s="31"/>
      <c r="CI203" s="1465"/>
      <c r="CJ203" s="1370"/>
      <c r="CK203" s="31"/>
      <c r="CL203" s="1273"/>
    </row>
    <row r="204" ht="18.75" customHeight="1">
      <c r="A204" s="1238"/>
      <c r="B204" s="1238"/>
      <c r="C204" s="1370"/>
      <c r="D204" s="1370"/>
      <c r="E204" s="1370"/>
      <c r="F204" s="1370"/>
      <c r="G204" s="1370"/>
      <c r="H204" s="1370"/>
      <c r="I204" s="1370"/>
      <c r="J204" s="1370"/>
      <c r="K204" s="1370"/>
      <c r="L204" s="1370"/>
      <c r="M204" s="1370"/>
      <c r="N204" s="31"/>
      <c r="O204" s="1465"/>
      <c r="P204" s="1370"/>
      <c r="Q204" s="31"/>
      <c r="R204" s="1465"/>
      <c r="S204" s="1370"/>
      <c r="T204" s="31"/>
      <c r="U204" s="1465"/>
      <c r="V204" s="1370"/>
      <c r="W204" s="31"/>
      <c r="X204" s="1465"/>
      <c r="Y204" s="1370"/>
      <c r="Z204" s="31"/>
      <c r="AA204" s="1465"/>
      <c r="AB204" s="1370"/>
      <c r="AC204" s="1371"/>
      <c r="AD204" s="1465"/>
      <c r="AE204" s="1370"/>
      <c r="AF204" s="1371"/>
      <c r="AG204" s="1465"/>
      <c r="AH204" s="1370"/>
      <c r="AI204" s="31"/>
      <c r="AJ204" s="1465"/>
      <c r="AK204" s="1370"/>
      <c r="AL204" s="31"/>
      <c r="AM204" s="1465"/>
      <c r="AN204" s="1370"/>
      <c r="AO204" s="31"/>
      <c r="AP204" s="1465"/>
      <c r="AQ204" s="1346"/>
      <c r="AR204" s="1296" t="s">
        <v>2570</v>
      </c>
      <c r="AS204" s="1465"/>
      <c r="AT204" s="1370"/>
      <c r="AU204" s="1371"/>
      <c r="AV204" s="1465"/>
      <c r="AW204" s="1370"/>
      <c r="AX204" s="31"/>
      <c r="AY204" s="1465"/>
      <c r="AZ204" s="1370"/>
      <c r="BA204" s="31"/>
      <c r="BB204" s="1465"/>
      <c r="BC204" s="1370"/>
      <c r="BD204" s="31"/>
      <c r="BE204" s="1465"/>
      <c r="BF204" s="1370"/>
      <c r="BG204" s="31"/>
      <c r="BH204" s="1465"/>
      <c r="BI204" s="1370"/>
      <c r="BJ204" s="31"/>
      <c r="BK204" s="1465"/>
      <c r="BL204" s="1370"/>
      <c r="BM204" s="31"/>
      <c r="BN204" s="1465"/>
      <c r="BO204" s="1370"/>
      <c r="BP204" s="31"/>
      <c r="BQ204" s="1465"/>
      <c r="BR204" s="1370"/>
      <c r="BS204" s="31"/>
      <c r="BT204" s="1465"/>
      <c r="BU204" s="1370"/>
      <c r="BV204" s="31"/>
      <c r="BW204" s="1465"/>
      <c r="BX204" s="1370"/>
      <c r="BY204" s="31"/>
      <c r="BZ204" s="1465"/>
      <c r="CA204" s="1370"/>
      <c r="CB204" s="31"/>
      <c r="CC204" s="1465"/>
      <c r="CD204" s="1370"/>
      <c r="CE204" s="31"/>
      <c r="CF204" s="1465"/>
      <c r="CG204" s="1370"/>
      <c r="CH204" s="31"/>
      <c r="CI204" s="1465"/>
      <c r="CJ204" s="1370"/>
      <c r="CK204" s="31"/>
      <c r="CL204" s="1273"/>
    </row>
    <row r="205" ht="18.75" customHeight="1">
      <c r="A205" s="1238"/>
      <c r="B205" s="1238"/>
      <c r="C205" s="1370"/>
      <c r="D205" s="1370"/>
      <c r="E205" s="1370"/>
      <c r="F205" s="1370"/>
      <c r="G205" s="1370"/>
      <c r="H205" s="1370"/>
      <c r="I205" s="1370"/>
      <c r="J205" s="1370"/>
      <c r="K205" s="1370"/>
      <c r="L205" s="1370"/>
      <c r="M205" s="1370"/>
      <c r="N205" s="31"/>
      <c r="O205" s="1465"/>
      <c r="P205" s="1370"/>
      <c r="Q205" s="31"/>
      <c r="R205" s="1465"/>
      <c r="S205" s="1370"/>
      <c r="T205" s="31"/>
      <c r="U205" s="1465"/>
      <c r="V205" s="1370"/>
      <c r="W205" s="31"/>
      <c r="X205" s="1465"/>
      <c r="Y205" s="1370"/>
      <c r="Z205" s="31"/>
      <c r="AA205" s="1465"/>
      <c r="AB205" s="1370"/>
      <c r="AC205" s="1371"/>
      <c r="AD205" s="1465"/>
      <c r="AE205" s="1370"/>
      <c r="AF205" s="1371"/>
      <c r="AG205" s="1465"/>
      <c r="AH205" s="1370"/>
      <c r="AI205" s="31"/>
      <c r="AJ205" s="1465"/>
      <c r="AK205" s="1370"/>
      <c r="AL205" s="31"/>
      <c r="AM205" s="1465"/>
      <c r="AN205" s="1370"/>
      <c r="AO205" s="31"/>
      <c r="AP205" s="1465"/>
      <c r="AQ205" s="1324"/>
      <c r="AR205" s="1325" t="s">
        <v>2571</v>
      </c>
      <c r="AS205" s="1465"/>
      <c r="AT205" s="1370"/>
      <c r="AU205" s="1371"/>
      <c r="AV205" s="1465"/>
      <c r="AW205" s="1370"/>
      <c r="AX205" s="31"/>
      <c r="AY205" s="1465"/>
      <c r="AZ205" s="1370"/>
      <c r="BA205" s="31"/>
      <c r="BB205" s="1465"/>
      <c r="BC205" s="1370"/>
      <c r="BD205" s="31"/>
      <c r="BE205" s="1465"/>
      <c r="BF205" s="1370"/>
      <c r="BG205" s="31"/>
      <c r="BH205" s="1465"/>
      <c r="BI205" s="1370"/>
      <c r="BJ205" s="31"/>
      <c r="BK205" s="1465"/>
      <c r="BL205" s="1370"/>
      <c r="BM205" s="31"/>
      <c r="BN205" s="1465"/>
      <c r="BO205" s="1370"/>
      <c r="BP205" s="31"/>
      <c r="BQ205" s="1465"/>
      <c r="BR205" s="1370"/>
      <c r="BS205" s="31"/>
      <c r="BT205" s="1465"/>
      <c r="BU205" s="1370"/>
      <c r="BV205" s="31"/>
      <c r="BW205" s="1465"/>
      <c r="BX205" s="1370"/>
      <c r="BY205" s="31"/>
      <c r="BZ205" s="1465"/>
      <c r="CA205" s="1370"/>
      <c r="CB205" s="31"/>
      <c r="CC205" s="1465"/>
      <c r="CD205" s="1370"/>
      <c r="CE205" s="31"/>
      <c r="CF205" s="1465"/>
      <c r="CG205" s="1370"/>
      <c r="CH205" s="31"/>
      <c r="CI205" s="1465"/>
      <c r="CJ205" s="1370"/>
      <c r="CK205" s="31"/>
      <c r="CL205" s="1273"/>
    </row>
    <row r="206" ht="18.75" customHeight="1">
      <c r="A206" s="1238"/>
      <c r="B206" s="1238"/>
      <c r="C206" s="1370"/>
      <c r="D206" s="1370"/>
      <c r="E206" s="1370"/>
      <c r="F206" s="1370"/>
      <c r="G206" s="1370"/>
      <c r="H206" s="1370"/>
      <c r="I206" s="1370"/>
      <c r="J206" s="1370"/>
      <c r="K206" s="1370"/>
      <c r="L206" s="1370"/>
      <c r="M206" s="1370"/>
      <c r="N206" s="31"/>
      <c r="O206" s="1465"/>
      <c r="P206" s="1370"/>
      <c r="Q206" s="31"/>
      <c r="R206" s="1465"/>
      <c r="S206" s="1370"/>
      <c r="T206" s="31"/>
      <c r="U206" s="1465"/>
      <c r="V206" s="1370"/>
      <c r="W206" s="31"/>
      <c r="X206" s="1465"/>
      <c r="Y206" s="1370"/>
      <c r="Z206" s="31"/>
      <c r="AA206" s="1465"/>
      <c r="AB206" s="1370"/>
      <c r="AC206" s="1371"/>
      <c r="AD206" s="1465"/>
      <c r="AE206" s="1370"/>
      <c r="AF206" s="1371"/>
      <c r="AG206" s="1465"/>
      <c r="AH206" s="1370"/>
      <c r="AI206" s="31"/>
      <c r="AJ206" s="1465"/>
      <c r="AK206" s="1370"/>
      <c r="AL206" s="31"/>
      <c r="AM206" s="1465"/>
      <c r="AN206" s="1370"/>
      <c r="AO206" s="31"/>
      <c r="AP206" s="1465"/>
      <c r="AQ206" s="1346"/>
      <c r="AR206" s="1296" t="s">
        <v>2572</v>
      </c>
      <c r="AS206" s="1465"/>
      <c r="AT206" s="1370"/>
      <c r="AU206" s="1371"/>
      <c r="AV206" s="1465"/>
      <c r="AW206" s="1370"/>
      <c r="AX206" s="31"/>
      <c r="AY206" s="1465"/>
      <c r="AZ206" s="1370"/>
      <c r="BA206" s="31"/>
      <c r="BB206" s="1465"/>
      <c r="BC206" s="1370"/>
      <c r="BD206" s="31"/>
      <c r="BE206" s="1465"/>
      <c r="BF206" s="1370"/>
      <c r="BG206" s="31"/>
      <c r="BH206" s="1465"/>
      <c r="BI206" s="1370"/>
      <c r="BJ206" s="31"/>
      <c r="BK206" s="1465"/>
      <c r="BL206" s="1370"/>
      <c r="BM206" s="31"/>
      <c r="BN206" s="1465"/>
      <c r="BO206" s="1370"/>
      <c r="BP206" s="31"/>
      <c r="BQ206" s="1465"/>
      <c r="BR206" s="1370"/>
      <c r="BS206" s="31"/>
      <c r="BT206" s="1465"/>
      <c r="BU206" s="1370"/>
      <c r="BV206" s="31"/>
      <c r="BW206" s="1465"/>
      <c r="BX206" s="1370"/>
      <c r="BY206" s="31"/>
      <c r="BZ206" s="1465"/>
      <c r="CA206" s="1370"/>
      <c r="CB206" s="31"/>
      <c r="CC206" s="1465"/>
      <c r="CD206" s="1370"/>
      <c r="CE206" s="31"/>
      <c r="CF206" s="1465"/>
      <c r="CG206" s="1370"/>
      <c r="CH206" s="31"/>
      <c r="CI206" s="1465"/>
      <c r="CJ206" s="1370"/>
      <c r="CK206" s="31"/>
      <c r="CL206" s="1273"/>
    </row>
    <row r="207" ht="18.75" customHeight="1">
      <c r="A207" s="1238"/>
      <c r="B207" s="1238"/>
      <c r="C207" s="1370"/>
      <c r="D207" s="1370"/>
      <c r="E207" s="1370"/>
      <c r="F207" s="1370"/>
      <c r="G207" s="1370"/>
      <c r="H207" s="1370"/>
      <c r="I207" s="1370"/>
      <c r="J207" s="1370"/>
      <c r="K207" s="1370"/>
      <c r="L207" s="1370"/>
      <c r="M207" s="1370"/>
      <c r="N207" s="31"/>
      <c r="O207" s="1465"/>
      <c r="P207" s="1370"/>
      <c r="Q207" s="31"/>
      <c r="R207" s="1465"/>
      <c r="S207" s="1370"/>
      <c r="T207" s="31"/>
      <c r="U207" s="1465"/>
      <c r="V207" s="1370"/>
      <c r="W207" s="31"/>
      <c r="X207" s="1465"/>
      <c r="Y207" s="1370"/>
      <c r="Z207" s="31"/>
      <c r="AA207" s="1465"/>
      <c r="AB207" s="1370"/>
      <c r="AC207" s="1371"/>
      <c r="AD207" s="1465"/>
      <c r="AE207" s="1370"/>
      <c r="AF207" s="1371"/>
      <c r="AG207" s="1465"/>
      <c r="AH207" s="1370"/>
      <c r="AI207" s="31"/>
      <c r="AJ207" s="1465"/>
      <c r="AK207" s="1370"/>
      <c r="AL207" s="31"/>
      <c r="AM207" s="1465"/>
      <c r="AN207" s="1370"/>
      <c r="AO207" s="31"/>
      <c r="AP207" s="1465"/>
      <c r="AQ207" s="1324"/>
      <c r="AR207" s="1325" t="s">
        <v>2573</v>
      </c>
      <c r="AS207" s="1465"/>
      <c r="AT207" s="1370"/>
      <c r="AU207" s="1371"/>
      <c r="AV207" s="1465"/>
      <c r="AW207" s="1370"/>
      <c r="AX207" s="31"/>
      <c r="AY207" s="1465"/>
      <c r="AZ207" s="1370"/>
      <c r="BA207" s="31"/>
      <c r="BB207" s="1465"/>
      <c r="BC207" s="1370"/>
      <c r="BD207" s="31"/>
      <c r="BE207" s="1465"/>
      <c r="BF207" s="1370"/>
      <c r="BG207" s="31"/>
      <c r="BH207" s="1465"/>
      <c r="BI207" s="1370"/>
      <c r="BJ207" s="31"/>
      <c r="BK207" s="1465"/>
      <c r="BL207" s="1370"/>
      <c r="BM207" s="31"/>
      <c r="BN207" s="1465"/>
      <c r="BO207" s="1370"/>
      <c r="BP207" s="31"/>
      <c r="BQ207" s="1465"/>
      <c r="BR207" s="1370"/>
      <c r="BS207" s="31"/>
      <c r="BT207" s="1465"/>
      <c r="BU207" s="1370"/>
      <c r="BV207" s="31"/>
      <c r="BW207" s="1465"/>
      <c r="BX207" s="1370"/>
      <c r="BY207" s="31"/>
      <c r="BZ207" s="1465"/>
      <c r="CA207" s="1370"/>
      <c r="CB207" s="31"/>
      <c r="CC207" s="1465"/>
      <c r="CD207" s="1370"/>
      <c r="CE207" s="31"/>
      <c r="CF207" s="1465"/>
      <c r="CG207" s="1370"/>
      <c r="CH207" s="31"/>
      <c r="CI207" s="1465"/>
      <c r="CJ207" s="1370"/>
      <c r="CK207" s="31"/>
      <c r="CL207" s="1273"/>
    </row>
    <row r="208" ht="18.75" customHeight="1">
      <c r="A208" s="1238"/>
      <c r="B208" s="1238"/>
      <c r="C208" s="1370"/>
      <c r="D208" s="1370"/>
      <c r="E208" s="1370"/>
      <c r="F208" s="1370"/>
      <c r="G208" s="1370"/>
      <c r="H208" s="1370"/>
      <c r="I208" s="1370"/>
      <c r="J208" s="1370"/>
      <c r="K208" s="1370"/>
      <c r="L208" s="1370"/>
      <c r="M208" s="1370"/>
      <c r="N208" s="31"/>
      <c r="O208" s="1465"/>
      <c r="P208" s="1370"/>
      <c r="Q208" s="31"/>
      <c r="R208" s="1465"/>
      <c r="S208" s="1370"/>
      <c r="T208" s="31"/>
      <c r="U208" s="1465"/>
      <c r="V208" s="1370"/>
      <c r="W208" s="31"/>
      <c r="X208" s="1465"/>
      <c r="Y208" s="1370"/>
      <c r="Z208" s="31"/>
      <c r="AA208" s="1465"/>
      <c r="AB208" s="1370"/>
      <c r="AC208" s="1371"/>
      <c r="AD208" s="1465"/>
      <c r="AE208" s="1370"/>
      <c r="AF208" s="1371"/>
      <c r="AG208" s="1465"/>
      <c r="AH208" s="1370"/>
      <c r="AI208" s="31"/>
      <c r="AJ208" s="1465"/>
      <c r="AK208" s="1370"/>
      <c r="AL208" s="31"/>
      <c r="AM208" s="1465"/>
      <c r="AN208" s="1370"/>
      <c r="AO208" s="31"/>
      <c r="AP208" s="1465"/>
      <c r="AQ208" s="1346"/>
      <c r="AR208" s="1296" t="s">
        <v>2574</v>
      </c>
      <c r="AS208" s="1465"/>
      <c r="AT208" s="1370"/>
      <c r="AU208" s="1371"/>
      <c r="AV208" s="1465"/>
      <c r="AW208" s="1370"/>
      <c r="AX208" s="31"/>
      <c r="AY208" s="1465"/>
      <c r="AZ208" s="1370"/>
      <c r="BA208" s="31"/>
      <c r="BB208" s="1465"/>
      <c r="BC208" s="1370"/>
      <c r="BD208" s="31"/>
      <c r="BE208" s="1465"/>
      <c r="BF208" s="1370"/>
      <c r="BG208" s="31"/>
      <c r="BH208" s="1465"/>
      <c r="BI208" s="1370"/>
      <c r="BJ208" s="31"/>
      <c r="BK208" s="1465"/>
      <c r="BL208" s="1370"/>
      <c r="BM208" s="31"/>
      <c r="BN208" s="1465"/>
      <c r="BO208" s="1370"/>
      <c r="BP208" s="31"/>
      <c r="BQ208" s="1465"/>
      <c r="BR208" s="1370"/>
      <c r="BS208" s="31"/>
      <c r="BT208" s="1465"/>
      <c r="BU208" s="1370"/>
      <c r="BV208" s="31"/>
      <c r="BW208" s="1465"/>
      <c r="BX208" s="1370"/>
      <c r="BY208" s="31"/>
      <c r="BZ208" s="1465"/>
      <c r="CA208" s="1370"/>
      <c r="CB208" s="31"/>
      <c r="CC208" s="1465"/>
      <c r="CD208" s="1370"/>
      <c r="CE208" s="31"/>
      <c r="CF208" s="1465"/>
      <c r="CG208" s="1370"/>
      <c r="CH208" s="31"/>
      <c r="CI208" s="1465"/>
      <c r="CJ208" s="1370"/>
      <c r="CK208" s="31"/>
      <c r="CL208" s="1273"/>
    </row>
    <row r="209" ht="18.75" customHeight="1">
      <c r="A209" s="1238"/>
      <c r="B209" s="1238"/>
      <c r="C209" s="1370"/>
      <c r="D209" s="1370"/>
      <c r="E209" s="1370"/>
      <c r="F209" s="1370"/>
      <c r="G209" s="1370"/>
      <c r="H209" s="1370"/>
      <c r="I209" s="1370"/>
      <c r="J209" s="1370"/>
      <c r="K209" s="1370"/>
      <c r="L209" s="1370"/>
      <c r="M209" s="1370"/>
      <c r="N209" s="31"/>
      <c r="O209" s="1465"/>
      <c r="P209" s="1370"/>
      <c r="Q209" s="31"/>
      <c r="R209" s="1465"/>
      <c r="S209" s="1370"/>
      <c r="T209" s="31"/>
      <c r="U209" s="1465"/>
      <c r="V209" s="1370"/>
      <c r="W209" s="31"/>
      <c r="X209" s="1465"/>
      <c r="Y209" s="1370"/>
      <c r="Z209" s="31"/>
      <c r="AA209" s="1465"/>
      <c r="AB209" s="1370"/>
      <c r="AC209" s="1371"/>
      <c r="AD209" s="1465"/>
      <c r="AE209" s="1370"/>
      <c r="AF209" s="1371"/>
      <c r="AG209" s="1465"/>
      <c r="AH209" s="1370"/>
      <c r="AI209" s="31"/>
      <c r="AJ209" s="1465"/>
      <c r="AK209" s="1370"/>
      <c r="AL209" s="31"/>
      <c r="AM209" s="1465"/>
      <c r="AN209" s="1370"/>
      <c r="AO209" s="31"/>
      <c r="AP209" s="1465"/>
      <c r="AQ209" s="1324"/>
      <c r="AR209" s="1325" t="s">
        <v>2575</v>
      </c>
      <c r="AS209" s="1465"/>
      <c r="AT209" s="1370"/>
      <c r="AU209" s="1371"/>
      <c r="AV209" s="1465"/>
      <c r="AW209" s="1370"/>
      <c r="AX209" s="31"/>
      <c r="AY209" s="1465"/>
      <c r="AZ209" s="1370"/>
      <c r="BA209" s="31"/>
      <c r="BB209" s="1465"/>
      <c r="BC209" s="1370"/>
      <c r="BD209" s="31"/>
      <c r="BE209" s="1465"/>
      <c r="BF209" s="1370"/>
      <c r="BG209" s="31"/>
      <c r="BH209" s="1465"/>
      <c r="BI209" s="1370"/>
      <c r="BJ209" s="31"/>
      <c r="BK209" s="1465"/>
      <c r="BL209" s="1370"/>
      <c r="BM209" s="31"/>
      <c r="BN209" s="1465"/>
      <c r="BO209" s="1370"/>
      <c r="BP209" s="31"/>
      <c r="BQ209" s="1465"/>
      <c r="BR209" s="1370"/>
      <c r="BS209" s="31"/>
      <c r="BT209" s="1465"/>
      <c r="BU209" s="1370"/>
      <c r="BV209" s="31"/>
      <c r="BW209" s="1465"/>
      <c r="BX209" s="1370"/>
      <c r="BY209" s="31"/>
      <c r="BZ209" s="1465"/>
      <c r="CA209" s="1370"/>
      <c r="CB209" s="31"/>
      <c r="CC209" s="1465"/>
      <c r="CD209" s="1370"/>
      <c r="CE209" s="31"/>
      <c r="CF209" s="1465"/>
      <c r="CG209" s="1370"/>
      <c r="CH209" s="31"/>
      <c r="CI209" s="1465"/>
      <c r="CJ209" s="1370"/>
      <c r="CK209" s="31"/>
      <c r="CL209" s="1273"/>
    </row>
    <row r="210" ht="18.75" customHeight="1">
      <c r="A210" s="1238"/>
      <c r="B210" s="1238"/>
      <c r="C210" s="1370"/>
      <c r="D210" s="1370"/>
      <c r="E210" s="1370"/>
      <c r="F210" s="1370"/>
      <c r="G210" s="1370"/>
      <c r="H210" s="1370"/>
      <c r="I210" s="1370"/>
      <c r="J210" s="1370"/>
      <c r="K210" s="1370"/>
      <c r="L210" s="1370"/>
      <c r="M210" s="1370"/>
      <c r="N210" s="31"/>
      <c r="O210" s="1465"/>
      <c r="P210" s="1370"/>
      <c r="Q210" s="31"/>
      <c r="R210" s="1465"/>
      <c r="S210" s="1370"/>
      <c r="T210" s="31"/>
      <c r="U210" s="1465"/>
      <c r="V210" s="1370"/>
      <c r="W210" s="31"/>
      <c r="X210" s="1465"/>
      <c r="Y210" s="1370"/>
      <c r="Z210" s="31"/>
      <c r="AA210" s="1465"/>
      <c r="AB210" s="1370"/>
      <c r="AC210" s="1371"/>
      <c r="AD210" s="1465"/>
      <c r="AE210" s="1370"/>
      <c r="AF210" s="1371"/>
      <c r="AG210" s="1465"/>
      <c r="AH210" s="1370"/>
      <c r="AI210" s="31"/>
      <c r="AJ210" s="1465"/>
      <c r="AK210" s="1370"/>
      <c r="AL210" s="31"/>
      <c r="AM210" s="1465"/>
      <c r="AN210" s="1370"/>
      <c r="AO210" s="31"/>
      <c r="AP210" s="1465"/>
      <c r="AQ210" s="1346"/>
      <c r="AR210" s="1296" t="s">
        <v>2576</v>
      </c>
      <c r="AS210" s="1465"/>
      <c r="AT210" s="1370"/>
      <c r="AU210" s="1371"/>
      <c r="AV210" s="1465"/>
      <c r="AW210" s="1370"/>
      <c r="AX210" s="31"/>
      <c r="AY210" s="1465"/>
      <c r="AZ210" s="1370"/>
      <c r="BA210" s="31"/>
      <c r="BB210" s="1465"/>
      <c r="BC210" s="1370"/>
      <c r="BD210" s="31"/>
      <c r="BE210" s="1465"/>
      <c r="BF210" s="1370"/>
      <c r="BG210" s="31"/>
      <c r="BH210" s="1465"/>
      <c r="BI210" s="1370"/>
      <c r="BJ210" s="31"/>
      <c r="BK210" s="1465"/>
      <c r="BL210" s="1370"/>
      <c r="BM210" s="31"/>
      <c r="BN210" s="1465"/>
      <c r="BO210" s="1370"/>
      <c r="BP210" s="31"/>
      <c r="BQ210" s="1465"/>
      <c r="BR210" s="1370"/>
      <c r="BS210" s="31"/>
      <c r="BT210" s="1465"/>
      <c r="BU210" s="1370"/>
      <c r="BV210" s="31"/>
      <c r="BW210" s="1465"/>
      <c r="BX210" s="1370"/>
      <c r="BY210" s="31"/>
      <c r="BZ210" s="1465"/>
      <c r="CA210" s="1370"/>
      <c r="CB210" s="31"/>
      <c r="CC210" s="1465"/>
      <c r="CD210" s="1370"/>
      <c r="CE210" s="31"/>
      <c r="CF210" s="1465"/>
      <c r="CG210" s="1370"/>
      <c r="CH210" s="31"/>
      <c r="CI210" s="1465"/>
      <c r="CJ210" s="1370"/>
      <c r="CK210" s="31"/>
      <c r="CL210" s="1273"/>
    </row>
    <row r="211" ht="18.75" customHeight="1">
      <c r="A211" s="1238"/>
      <c r="B211" s="1238"/>
      <c r="C211" s="1370"/>
      <c r="D211" s="1370"/>
      <c r="E211" s="1370"/>
      <c r="F211" s="1370"/>
      <c r="G211" s="1370"/>
      <c r="H211" s="1370"/>
      <c r="I211" s="1370"/>
      <c r="J211" s="1370"/>
      <c r="K211" s="1370"/>
      <c r="L211" s="1370"/>
      <c r="M211" s="1370"/>
      <c r="N211" s="31"/>
      <c r="O211" s="1465"/>
      <c r="P211" s="1370"/>
      <c r="Q211" s="31"/>
      <c r="R211" s="1465"/>
      <c r="S211" s="1370"/>
      <c r="T211" s="31"/>
      <c r="U211" s="1465"/>
      <c r="V211" s="1370"/>
      <c r="W211" s="31"/>
      <c r="X211" s="1465"/>
      <c r="Y211" s="1370"/>
      <c r="Z211" s="31"/>
      <c r="AA211" s="1465"/>
      <c r="AB211" s="1370"/>
      <c r="AC211" s="1371"/>
      <c r="AD211" s="1465"/>
      <c r="AE211" s="1370"/>
      <c r="AF211" s="1371"/>
      <c r="AG211" s="1465"/>
      <c r="AH211" s="1370"/>
      <c r="AI211" s="31"/>
      <c r="AJ211" s="1465"/>
      <c r="AK211" s="1370"/>
      <c r="AL211" s="31"/>
      <c r="AM211" s="1465"/>
      <c r="AN211" s="1370"/>
      <c r="AO211" s="31"/>
      <c r="AP211" s="1465"/>
      <c r="AQ211" s="1324"/>
      <c r="AR211" s="1325" t="s">
        <v>2577</v>
      </c>
      <c r="AS211" s="1465"/>
      <c r="AT211" s="1370"/>
      <c r="AU211" s="1371"/>
      <c r="AV211" s="1465"/>
      <c r="AW211" s="1370"/>
      <c r="AX211" s="31"/>
      <c r="AY211" s="1465"/>
      <c r="AZ211" s="1370"/>
      <c r="BA211" s="31"/>
      <c r="BB211" s="1465"/>
      <c r="BC211" s="1370"/>
      <c r="BD211" s="31"/>
      <c r="BE211" s="1465"/>
      <c r="BF211" s="1370"/>
      <c r="BG211" s="31"/>
      <c r="BH211" s="1465"/>
      <c r="BI211" s="1370"/>
      <c r="BJ211" s="31"/>
      <c r="BK211" s="1465"/>
      <c r="BL211" s="1370"/>
      <c r="BM211" s="31"/>
      <c r="BN211" s="1465"/>
      <c r="BO211" s="1370"/>
      <c r="BP211" s="31"/>
      <c r="BQ211" s="1465"/>
      <c r="BR211" s="1370"/>
      <c r="BS211" s="31"/>
      <c r="BT211" s="1465"/>
      <c r="BU211" s="1370"/>
      <c r="BV211" s="31"/>
      <c r="BW211" s="1465"/>
      <c r="BX211" s="1370"/>
      <c r="BY211" s="31"/>
      <c r="BZ211" s="1465"/>
      <c r="CA211" s="1370"/>
      <c r="CB211" s="31"/>
      <c r="CC211" s="1465"/>
      <c r="CD211" s="1370"/>
      <c r="CE211" s="31"/>
      <c r="CF211" s="1465"/>
      <c r="CG211" s="1370"/>
      <c r="CH211" s="31"/>
      <c r="CI211" s="1465"/>
      <c r="CJ211" s="1370"/>
      <c r="CK211" s="31"/>
      <c r="CL211" s="1273"/>
    </row>
    <row r="212" ht="18.75" customHeight="1">
      <c r="A212" s="1238"/>
      <c r="B212" s="1238"/>
      <c r="C212" s="1370"/>
      <c r="D212" s="1370"/>
      <c r="E212" s="1370"/>
      <c r="F212" s="1370"/>
      <c r="G212" s="1370"/>
      <c r="H212" s="1370"/>
      <c r="I212" s="1370"/>
      <c r="J212" s="1370"/>
      <c r="K212" s="1370"/>
      <c r="L212" s="1370"/>
      <c r="M212" s="1370"/>
      <c r="N212" s="31"/>
      <c r="O212" s="1465"/>
      <c r="P212" s="1370"/>
      <c r="Q212" s="31"/>
      <c r="R212" s="1465"/>
      <c r="S212" s="1370"/>
      <c r="T212" s="31"/>
      <c r="U212" s="1465"/>
      <c r="V212" s="1370"/>
      <c r="W212" s="31"/>
      <c r="X212" s="1465"/>
      <c r="Y212" s="1370"/>
      <c r="Z212" s="31"/>
      <c r="AA212" s="1465"/>
      <c r="AB212" s="1370"/>
      <c r="AC212" s="1371"/>
      <c r="AD212" s="1465"/>
      <c r="AE212" s="1370"/>
      <c r="AF212" s="1371"/>
      <c r="AG212" s="1465"/>
      <c r="AH212" s="1370"/>
      <c r="AI212" s="31"/>
      <c r="AJ212" s="1465"/>
      <c r="AK212" s="1370"/>
      <c r="AL212" s="31"/>
      <c r="AM212" s="1465"/>
      <c r="AN212" s="1370"/>
      <c r="AO212" s="31"/>
      <c r="AP212" s="1465"/>
      <c r="AQ212" s="1346"/>
      <c r="AR212" s="1296" t="s">
        <v>2578</v>
      </c>
      <c r="AS212" s="1465"/>
      <c r="AT212" s="1370"/>
      <c r="AU212" s="1371"/>
      <c r="AV212" s="1465"/>
      <c r="AW212" s="1370"/>
      <c r="AX212" s="31"/>
      <c r="AY212" s="1465"/>
      <c r="AZ212" s="1370"/>
      <c r="BA212" s="31"/>
      <c r="BB212" s="1465"/>
      <c r="BC212" s="1370"/>
      <c r="BD212" s="31"/>
      <c r="BE212" s="1465"/>
      <c r="BF212" s="1370"/>
      <c r="BG212" s="31"/>
      <c r="BH212" s="1465"/>
      <c r="BI212" s="1370"/>
      <c r="BJ212" s="31"/>
      <c r="BK212" s="1465"/>
      <c r="BL212" s="1370"/>
      <c r="BM212" s="31"/>
      <c r="BN212" s="1465"/>
      <c r="BO212" s="1370"/>
      <c r="BP212" s="31"/>
      <c r="BQ212" s="1465"/>
      <c r="BR212" s="1370"/>
      <c r="BS212" s="31"/>
      <c r="BT212" s="1465"/>
      <c r="BU212" s="1370"/>
      <c r="BV212" s="31"/>
      <c r="BW212" s="1465"/>
      <c r="BX212" s="1370"/>
      <c r="BY212" s="31"/>
      <c r="BZ212" s="1465"/>
      <c r="CA212" s="1370"/>
      <c r="CB212" s="31"/>
      <c r="CC212" s="1465"/>
      <c r="CD212" s="1370"/>
      <c r="CE212" s="31"/>
      <c r="CF212" s="1465"/>
      <c r="CG212" s="1370"/>
      <c r="CH212" s="31"/>
      <c r="CI212" s="1465"/>
      <c r="CJ212" s="1370"/>
      <c r="CK212" s="31"/>
      <c r="CL212" s="1273"/>
    </row>
    <row r="213" ht="18.75" customHeight="1">
      <c r="A213" s="1238"/>
      <c r="B213" s="1238"/>
      <c r="C213" s="1370"/>
      <c r="D213" s="1370"/>
      <c r="E213" s="1370"/>
      <c r="F213" s="1370"/>
      <c r="G213" s="1370"/>
      <c r="H213" s="1370"/>
      <c r="I213" s="1370"/>
      <c r="J213" s="1370"/>
      <c r="K213" s="1370"/>
      <c r="L213" s="1370"/>
      <c r="M213" s="1370"/>
      <c r="N213" s="31"/>
      <c r="O213" s="1465"/>
      <c r="P213" s="1370"/>
      <c r="Q213" s="31"/>
      <c r="R213" s="1465"/>
      <c r="S213" s="1370"/>
      <c r="T213" s="31"/>
      <c r="U213" s="1465"/>
      <c r="V213" s="1370"/>
      <c r="W213" s="31"/>
      <c r="X213" s="1465"/>
      <c r="Y213" s="1370"/>
      <c r="Z213" s="31"/>
      <c r="AA213" s="1465"/>
      <c r="AB213" s="1370"/>
      <c r="AC213" s="1371"/>
      <c r="AD213" s="1465"/>
      <c r="AE213" s="1370"/>
      <c r="AF213" s="1371"/>
      <c r="AG213" s="1465"/>
      <c r="AH213" s="1370"/>
      <c r="AI213" s="31"/>
      <c r="AJ213" s="1465"/>
      <c r="AK213" s="1370"/>
      <c r="AL213" s="31"/>
      <c r="AM213" s="1465"/>
      <c r="AN213" s="1370"/>
      <c r="AO213" s="31"/>
      <c r="AP213" s="1465"/>
      <c r="AQ213" s="1324"/>
      <c r="AR213" s="1325" t="s">
        <v>2579</v>
      </c>
      <c r="AS213" s="1465"/>
      <c r="AT213" s="1370"/>
      <c r="AU213" s="1371"/>
      <c r="AV213" s="1465"/>
      <c r="AW213" s="1370"/>
      <c r="AX213" s="31"/>
      <c r="AY213" s="1465"/>
      <c r="AZ213" s="1370"/>
      <c r="BA213" s="31"/>
      <c r="BB213" s="1465"/>
      <c r="BC213" s="1370"/>
      <c r="BD213" s="31"/>
      <c r="BE213" s="1465"/>
      <c r="BF213" s="1370"/>
      <c r="BG213" s="31"/>
      <c r="BH213" s="1465"/>
      <c r="BI213" s="1370"/>
      <c r="BJ213" s="31"/>
      <c r="BK213" s="1465"/>
      <c r="BL213" s="1370"/>
      <c r="BM213" s="31"/>
      <c r="BN213" s="1465"/>
      <c r="BO213" s="1370"/>
      <c r="BP213" s="31"/>
      <c r="BQ213" s="1465"/>
      <c r="BR213" s="1370"/>
      <c r="BS213" s="31"/>
      <c r="BT213" s="1465"/>
      <c r="BU213" s="1370"/>
      <c r="BV213" s="31"/>
      <c r="BW213" s="1465"/>
      <c r="BX213" s="1370"/>
      <c r="BY213" s="31"/>
      <c r="BZ213" s="1465"/>
      <c r="CA213" s="1370"/>
      <c r="CB213" s="31"/>
      <c r="CC213" s="1465"/>
      <c r="CD213" s="1370"/>
      <c r="CE213" s="31"/>
      <c r="CF213" s="1465"/>
      <c r="CG213" s="1370"/>
      <c r="CH213" s="31"/>
      <c r="CI213" s="1465"/>
      <c r="CJ213" s="1370"/>
      <c r="CK213" s="31"/>
      <c r="CL213" s="1273"/>
    </row>
    <row r="214" ht="18.75" customHeight="1">
      <c r="A214" s="1238"/>
      <c r="B214" s="1238"/>
      <c r="C214" s="1370"/>
      <c r="D214" s="1370"/>
      <c r="E214" s="1370"/>
      <c r="F214" s="1370"/>
      <c r="G214" s="1370"/>
      <c r="H214" s="1370"/>
      <c r="I214" s="1370"/>
      <c r="J214" s="1370"/>
      <c r="K214" s="1370"/>
      <c r="L214" s="1370"/>
      <c r="M214" s="1370"/>
      <c r="N214" s="31"/>
      <c r="O214" s="1465"/>
      <c r="P214" s="1370"/>
      <c r="Q214" s="31"/>
      <c r="R214" s="1465"/>
      <c r="S214" s="1370"/>
      <c r="T214" s="31"/>
      <c r="U214" s="1465"/>
      <c r="V214" s="1370"/>
      <c r="W214" s="31"/>
      <c r="X214" s="1465"/>
      <c r="Y214" s="1370"/>
      <c r="Z214" s="31"/>
      <c r="AA214" s="1465"/>
      <c r="AB214" s="1370"/>
      <c r="AC214" s="1371"/>
      <c r="AD214" s="1465"/>
      <c r="AE214" s="1370"/>
      <c r="AF214" s="1371"/>
      <c r="AG214" s="1465"/>
      <c r="AH214" s="1370"/>
      <c r="AI214" s="31"/>
      <c r="AJ214" s="1465"/>
      <c r="AK214" s="1370"/>
      <c r="AL214" s="31"/>
      <c r="AM214" s="1465"/>
      <c r="AN214" s="1370"/>
      <c r="AO214" s="31"/>
      <c r="AP214" s="1465"/>
      <c r="AQ214" s="1346"/>
      <c r="AR214" s="1296" t="s">
        <v>2580</v>
      </c>
      <c r="AS214" s="1465"/>
      <c r="AT214" s="1370"/>
      <c r="AU214" s="1371"/>
      <c r="AV214" s="1465"/>
      <c r="AW214" s="1370"/>
      <c r="AX214" s="31"/>
      <c r="AY214" s="1465"/>
      <c r="AZ214" s="1370"/>
      <c r="BA214" s="31"/>
      <c r="BB214" s="1465"/>
      <c r="BC214" s="1370"/>
      <c r="BD214" s="31"/>
      <c r="BE214" s="1465"/>
      <c r="BF214" s="1370"/>
      <c r="BG214" s="31"/>
      <c r="BH214" s="1465"/>
      <c r="BI214" s="1370"/>
      <c r="BJ214" s="31"/>
      <c r="BK214" s="1465"/>
      <c r="BL214" s="1370"/>
      <c r="BM214" s="31"/>
      <c r="BN214" s="1465"/>
      <c r="BO214" s="1370"/>
      <c r="BP214" s="31"/>
      <c r="BQ214" s="1465"/>
      <c r="BR214" s="1370"/>
      <c r="BS214" s="31"/>
      <c r="BT214" s="1465"/>
      <c r="BU214" s="1370"/>
      <c r="BV214" s="31"/>
      <c r="BW214" s="1465"/>
      <c r="BX214" s="1370"/>
      <c r="BY214" s="31"/>
      <c r="BZ214" s="1465"/>
      <c r="CA214" s="1370"/>
      <c r="CB214" s="31"/>
      <c r="CC214" s="1465"/>
      <c r="CD214" s="1370"/>
      <c r="CE214" s="31"/>
      <c r="CF214" s="1465"/>
      <c r="CG214" s="1370"/>
      <c r="CH214" s="31"/>
      <c r="CI214" s="1465"/>
      <c r="CJ214" s="1370"/>
      <c r="CK214" s="31"/>
      <c r="CL214" s="1273"/>
    </row>
    <row r="215" ht="18.75" customHeight="1">
      <c r="A215" s="1238"/>
      <c r="B215" s="1238"/>
      <c r="C215" s="1370"/>
      <c r="D215" s="1370"/>
      <c r="E215" s="1370"/>
      <c r="F215" s="1370"/>
      <c r="G215" s="1370"/>
      <c r="H215" s="1370"/>
      <c r="I215" s="1370"/>
      <c r="J215" s="1370"/>
      <c r="K215" s="1370"/>
      <c r="L215" s="1370"/>
      <c r="M215" s="1370"/>
      <c r="N215" s="31"/>
      <c r="O215" s="1465"/>
      <c r="P215" s="1370"/>
      <c r="Q215" s="31"/>
      <c r="R215" s="1465"/>
      <c r="S215" s="1370"/>
      <c r="T215" s="31"/>
      <c r="U215" s="1465"/>
      <c r="V215" s="1370"/>
      <c r="W215" s="31"/>
      <c r="X215" s="1465"/>
      <c r="Y215" s="1370"/>
      <c r="Z215" s="31"/>
      <c r="AA215" s="1465"/>
      <c r="AB215" s="1370"/>
      <c r="AC215" s="1371"/>
      <c r="AD215" s="1465"/>
      <c r="AE215" s="1370"/>
      <c r="AF215" s="1371"/>
      <c r="AG215" s="1465"/>
      <c r="AH215" s="1370"/>
      <c r="AI215" s="31"/>
      <c r="AJ215" s="1465"/>
      <c r="AK215" s="1370"/>
      <c r="AL215" s="31"/>
      <c r="AM215" s="1465"/>
      <c r="AN215" s="1370"/>
      <c r="AO215" s="31"/>
      <c r="AP215" s="1465"/>
      <c r="AQ215" s="1324"/>
      <c r="AR215" s="1325" t="s">
        <v>2581</v>
      </c>
      <c r="AS215" s="1465"/>
      <c r="AT215" s="1370"/>
      <c r="AU215" s="1371"/>
      <c r="AV215" s="1465"/>
      <c r="AW215" s="1370"/>
      <c r="AX215" s="31"/>
      <c r="AY215" s="1465"/>
      <c r="AZ215" s="1370"/>
      <c r="BA215" s="31"/>
      <c r="BB215" s="1465"/>
      <c r="BC215" s="1370"/>
      <c r="BD215" s="31"/>
      <c r="BE215" s="1465"/>
      <c r="BF215" s="1370"/>
      <c r="BG215" s="31"/>
      <c r="BH215" s="1465"/>
      <c r="BI215" s="1370"/>
      <c r="BJ215" s="31"/>
      <c r="BK215" s="1465"/>
      <c r="BL215" s="1370"/>
      <c r="BM215" s="31"/>
      <c r="BN215" s="1465"/>
      <c r="BO215" s="1370"/>
      <c r="BP215" s="31"/>
      <c r="BQ215" s="1465"/>
      <c r="BR215" s="1370"/>
      <c r="BS215" s="31"/>
      <c r="BT215" s="1465"/>
      <c r="BU215" s="1370"/>
      <c r="BV215" s="31"/>
      <c r="BW215" s="1465"/>
      <c r="BX215" s="1370"/>
      <c r="BY215" s="31"/>
      <c r="BZ215" s="1465"/>
      <c r="CA215" s="1370"/>
      <c r="CB215" s="31"/>
      <c r="CC215" s="1465"/>
      <c r="CD215" s="1370"/>
      <c r="CE215" s="31"/>
      <c r="CF215" s="1465"/>
      <c r="CG215" s="1370"/>
      <c r="CH215" s="31"/>
      <c r="CI215" s="1465"/>
      <c r="CJ215" s="1370"/>
      <c r="CK215" s="31"/>
      <c r="CL215" s="1273"/>
    </row>
    <row r="216" ht="18.75" customHeight="1">
      <c r="A216" s="1238"/>
      <c r="B216" s="1238"/>
      <c r="C216" s="1370"/>
      <c r="D216" s="1370"/>
      <c r="E216" s="1370"/>
      <c r="F216" s="1370"/>
      <c r="G216" s="1370"/>
      <c r="H216" s="1370"/>
      <c r="I216" s="1370"/>
      <c r="J216" s="1370"/>
      <c r="K216" s="1370"/>
      <c r="L216" s="1370"/>
      <c r="M216" s="1370"/>
      <c r="N216" s="31"/>
      <c r="O216" s="1465"/>
      <c r="P216" s="1370"/>
      <c r="Q216" s="31"/>
      <c r="R216" s="1465"/>
      <c r="S216" s="1370"/>
      <c r="T216" s="31"/>
      <c r="U216" s="1465"/>
      <c r="V216" s="1370"/>
      <c r="W216" s="31"/>
      <c r="X216" s="1465"/>
      <c r="Y216" s="1370"/>
      <c r="Z216" s="31"/>
      <c r="AA216" s="1465"/>
      <c r="AB216" s="1370"/>
      <c r="AC216" s="1371"/>
      <c r="AD216" s="1465"/>
      <c r="AE216" s="1370"/>
      <c r="AF216" s="1371"/>
      <c r="AG216" s="1465"/>
      <c r="AH216" s="1370"/>
      <c r="AI216" s="31"/>
      <c r="AJ216" s="1465"/>
      <c r="AK216" s="1370"/>
      <c r="AL216" s="31"/>
      <c r="AM216" s="1465"/>
      <c r="AN216" s="1370"/>
      <c r="AO216" s="31"/>
      <c r="AP216" s="1465"/>
      <c r="AQ216" s="1346"/>
      <c r="AR216" s="1296" t="s">
        <v>2582</v>
      </c>
      <c r="AS216" s="1465"/>
      <c r="AT216" s="1370"/>
      <c r="AU216" s="1371"/>
      <c r="AV216" s="1465"/>
      <c r="AW216" s="1370"/>
      <c r="AX216" s="31"/>
      <c r="AY216" s="1465"/>
      <c r="AZ216" s="1370"/>
      <c r="BA216" s="31"/>
      <c r="BB216" s="1465"/>
      <c r="BC216" s="1370"/>
      <c r="BD216" s="31"/>
      <c r="BE216" s="1465"/>
      <c r="BF216" s="1370"/>
      <c r="BG216" s="31"/>
      <c r="BH216" s="1465"/>
      <c r="BI216" s="1370"/>
      <c r="BJ216" s="31"/>
      <c r="BK216" s="1465"/>
      <c r="BL216" s="1370"/>
      <c r="BM216" s="31"/>
      <c r="BN216" s="1465"/>
      <c r="BO216" s="1370"/>
      <c r="BP216" s="31"/>
      <c r="BQ216" s="1465"/>
      <c r="BR216" s="1370"/>
      <c r="BS216" s="31"/>
      <c r="BT216" s="1465"/>
      <c r="BU216" s="1370"/>
      <c r="BV216" s="31"/>
      <c r="BW216" s="1465"/>
      <c r="BX216" s="1370"/>
      <c r="BY216" s="31"/>
      <c r="BZ216" s="1465"/>
      <c r="CA216" s="1370"/>
      <c r="CB216" s="31"/>
      <c r="CC216" s="1465"/>
      <c r="CD216" s="1370"/>
      <c r="CE216" s="31"/>
      <c r="CF216" s="1465"/>
      <c r="CG216" s="1370"/>
      <c r="CH216" s="31"/>
      <c r="CI216" s="1465"/>
      <c r="CJ216" s="1370"/>
      <c r="CK216" s="31"/>
      <c r="CL216" s="1273"/>
    </row>
    <row r="217" ht="18.75" customHeight="1">
      <c r="A217" s="1238"/>
      <c r="B217" s="1238"/>
      <c r="C217" s="1370"/>
      <c r="D217" s="1370"/>
      <c r="E217" s="1370"/>
      <c r="F217" s="1370"/>
      <c r="G217" s="1370"/>
      <c r="H217" s="1370"/>
      <c r="I217" s="1370"/>
      <c r="J217" s="1370"/>
      <c r="K217" s="1370"/>
      <c r="L217" s="1370"/>
      <c r="M217" s="1370"/>
      <c r="N217" s="31"/>
      <c r="O217" s="1465"/>
      <c r="P217" s="1370"/>
      <c r="Q217" s="31"/>
      <c r="R217" s="1465"/>
      <c r="S217" s="1370"/>
      <c r="T217" s="31"/>
      <c r="U217" s="1465"/>
      <c r="V217" s="1370"/>
      <c r="W217" s="31"/>
      <c r="X217" s="1465"/>
      <c r="Y217" s="1370"/>
      <c r="Z217" s="31"/>
      <c r="AA217" s="1465"/>
      <c r="AB217" s="1370"/>
      <c r="AC217" s="1371"/>
      <c r="AD217" s="1465"/>
      <c r="AE217" s="1370"/>
      <c r="AF217" s="1371"/>
      <c r="AG217" s="1465"/>
      <c r="AH217" s="1370"/>
      <c r="AI217" s="31"/>
      <c r="AJ217" s="1465"/>
      <c r="AK217" s="1370"/>
      <c r="AL217" s="31"/>
      <c r="AM217" s="1465"/>
      <c r="AN217" s="1370"/>
      <c r="AO217" s="31"/>
      <c r="AP217" s="1465"/>
      <c r="AQ217" s="1324"/>
      <c r="AR217" s="1325" t="s">
        <v>2583</v>
      </c>
      <c r="AS217" s="1465"/>
      <c r="AT217" s="1370"/>
      <c r="AU217" s="1371"/>
      <c r="AV217" s="1465"/>
      <c r="AW217" s="1370"/>
      <c r="AX217" s="31"/>
      <c r="AY217" s="1465"/>
      <c r="AZ217" s="1370"/>
      <c r="BA217" s="31"/>
      <c r="BB217" s="1465"/>
      <c r="BC217" s="1370"/>
      <c r="BD217" s="31"/>
      <c r="BE217" s="1465"/>
      <c r="BF217" s="1370"/>
      <c r="BG217" s="31"/>
      <c r="BH217" s="1465"/>
      <c r="BI217" s="1370"/>
      <c r="BJ217" s="31"/>
      <c r="BK217" s="1465"/>
      <c r="BL217" s="1370"/>
      <c r="BM217" s="31"/>
      <c r="BN217" s="1465"/>
      <c r="BO217" s="1370"/>
      <c r="BP217" s="31"/>
      <c r="BQ217" s="1465"/>
      <c r="BR217" s="1370"/>
      <c r="BS217" s="31"/>
      <c r="BT217" s="1465"/>
      <c r="BU217" s="1370"/>
      <c r="BV217" s="31"/>
      <c r="BW217" s="1465"/>
      <c r="BX217" s="1370"/>
      <c r="BY217" s="31"/>
      <c r="BZ217" s="1465"/>
      <c r="CA217" s="1370"/>
      <c r="CB217" s="31"/>
      <c r="CC217" s="1465"/>
      <c r="CD217" s="1370"/>
      <c r="CE217" s="31"/>
      <c r="CF217" s="1465"/>
      <c r="CG217" s="1370"/>
      <c r="CH217" s="31"/>
      <c r="CI217" s="1465"/>
      <c r="CJ217" s="1370"/>
      <c r="CK217" s="31"/>
      <c r="CL217" s="1273"/>
    </row>
    <row r="218" ht="18.75" customHeight="1">
      <c r="A218" s="1238"/>
      <c r="B218" s="1238"/>
      <c r="C218" s="1370"/>
      <c r="D218" s="1370"/>
      <c r="E218" s="1370"/>
      <c r="F218" s="1370"/>
      <c r="G218" s="1370"/>
      <c r="H218" s="1370"/>
      <c r="I218" s="1370"/>
      <c r="J218" s="1370"/>
      <c r="K218" s="1370"/>
      <c r="L218" s="1370"/>
      <c r="M218" s="1370"/>
      <c r="N218" s="31"/>
      <c r="O218" s="1465"/>
      <c r="P218" s="1370"/>
      <c r="Q218" s="31"/>
      <c r="R218" s="1465"/>
      <c r="S218" s="1370"/>
      <c r="T218" s="31"/>
      <c r="U218" s="1465"/>
      <c r="V218" s="1370"/>
      <c r="W218" s="31"/>
      <c r="X218" s="1465"/>
      <c r="Y218" s="1370"/>
      <c r="Z218" s="31"/>
      <c r="AA218" s="1465"/>
      <c r="AB218" s="1370"/>
      <c r="AC218" s="1371"/>
      <c r="AD218" s="1465"/>
      <c r="AE218" s="1370"/>
      <c r="AF218" s="1371"/>
      <c r="AG218" s="1465"/>
      <c r="AH218" s="1370"/>
      <c r="AI218" s="31"/>
      <c r="AJ218" s="1465"/>
      <c r="AK218" s="1370"/>
      <c r="AL218" s="31"/>
      <c r="AM218" s="1465"/>
      <c r="AN218" s="1370"/>
      <c r="AO218" s="31"/>
      <c r="AP218" s="1465"/>
      <c r="AQ218" s="1346"/>
      <c r="AR218" s="1296" t="s">
        <v>2584</v>
      </c>
      <c r="AS218" s="1465"/>
      <c r="AT218" s="1370"/>
      <c r="AU218" s="1371"/>
      <c r="AV218" s="1465"/>
      <c r="AW218" s="1370"/>
      <c r="AX218" s="31"/>
      <c r="AY218" s="1465"/>
      <c r="AZ218" s="1370"/>
      <c r="BA218" s="31"/>
      <c r="BB218" s="1465"/>
      <c r="BC218" s="1370"/>
      <c r="BD218" s="31"/>
      <c r="BE218" s="1465"/>
      <c r="BF218" s="1370"/>
      <c r="BG218" s="31"/>
      <c r="BH218" s="1465"/>
      <c r="BI218" s="1370"/>
      <c r="BJ218" s="31"/>
      <c r="BK218" s="1465"/>
      <c r="BL218" s="1370"/>
      <c r="BM218" s="31"/>
      <c r="BN218" s="1465"/>
      <c r="BO218" s="1370"/>
      <c r="BP218" s="31"/>
      <c r="BQ218" s="1465"/>
      <c r="BR218" s="1370"/>
      <c r="BS218" s="31"/>
      <c r="BT218" s="1465"/>
      <c r="BU218" s="1370"/>
      <c r="BV218" s="31"/>
      <c r="BW218" s="1465"/>
      <c r="BX218" s="1370"/>
      <c r="BY218" s="31"/>
      <c r="BZ218" s="1465"/>
      <c r="CA218" s="1370"/>
      <c r="CB218" s="31"/>
      <c r="CC218" s="1465"/>
      <c r="CD218" s="1370"/>
      <c r="CE218" s="31"/>
      <c r="CF218" s="1465"/>
      <c r="CG218" s="1370"/>
      <c r="CH218" s="31"/>
      <c r="CI218" s="1465"/>
      <c r="CJ218" s="1370"/>
      <c r="CK218" s="31"/>
      <c r="CL218" s="1273"/>
    </row>
    <row r="219" ht="18.75" customHeight="1">
      <c r="A219" s="1238"/>
      <c r="B219" s="1238"/>
      <c r="C219" s="1370"/>
      <c r="D219" s="1370"/>
      <c r="E219" s="1370"/>
      <c r="F219" s="1370"/>
      <c r="G219" s="1370"/>
      <c r="H219" s="1370"/>
      <c r="I219" s="1370"/>
      <c r="J219" s="1370"/>
      <c r="K219" s="1370"/>
      <c r="L219" s="1370"/>
      <c r="M219" s="1370"/>
      <c r="N219" s="31"/>
      <c r="O219" s="1465"/>
      <c r="P219" s="1370"/>
      <c r="Q219" s="31"/>
      <c r="R219" s="1465"/>
      <c r="S219" s="1370"/>
      <c r="T219" s="31"/>
      <c r="U219" s="1465"/>
      <c r="V219" s="1370"/>
      <c r="W219" s="31"/>
      <c r="X219" s="1465"/>
      <c r="Y219" s="1370"/>
      <c r="Z219" s="31"/>
      <c r="AA219" s="1465"/>
      <c r="AB219" s="1370"/>
      <c r="AC219" s="1371"/>
      <c r="AD219" s="1465"/>
      <c r="AE219" s="1370"/>
      <c r="AF219" s="1371"/>
      <c r="AG219" s="1465"/>
      <c r="AH219" s="1370"/>
      <c r="AI219" s="31"/>
      <c r="AJ219" s="1465"/>
      <c r="AK219" s="1370"/>
      <c r="AL219" s="31"/>
      <c r="AM219" s="1465"/>
      <c r="AN219" s="1370"/>
      <c r="AO219" s="31"/>
      <c r="AP219" s="1465"/>
      <c r="AQ219" s="1324"/>
      <c r="AR219" s="1325" t="s">
        <v>2585</v>
      </c>
      <c r="AS219" s="1465"/>
      <c r="AT219" s="1370"/>
      <c r="AU219" s="1371"/>
      <c r="AV219" s="1465"/>
      <c r="AW219" s="1370"/>
      <c r="AX219" s="31"/>
      <c r="AY219" s="1465"/>
      <c r="AZ219" s="1370"/>
      <c r="BA219" s="31"/>
      <c r="BB219" s="1465"/>
      <c r="BC219" s="1370"/>
      <c r="BD219" s="31"/>
      <c r="BE219" s="1465"/>
      <c r="BF219" s="1370"/>
      <c r="BG219" s="31"/>
      <c r="BH219" s="1465"/>
      <c r="BI219" s="1370"/>
      <c r="BJ219" s="31"/>
      <c r="BK219" s="1465"/>
      <c r="BL219" s="1370"/>
      <c r="BM219" s="31"/>
      <c r="BN219" s="1465"/>
      <c r="BO219" s="1370"/>
      <c r="BP219" s="31"/>
      <c r="BQ219" s="1465"/>
      <c r="BR219" s="1370"/>
      <c r="BS219" s="31"/>
      <c r="BT219" s="1465"/>
      <c r="BU219" s="1370"/>
      <c r="BV219" s="31"/>
      <c r="BW219" s="1465"/>
      <c r="BX219" s="1370"/>
      <c r="BY219" s="31"/>
      <c r="BZ219" s="1465"/>
      <c r="CA219" s="1370"/>
      <c r="CB219" s="31"/>
      <c r="CC219" s="1465"/>
      <c r="CD219" s="1370"/>
      <c r="CE219" s="31"/>
      <c r="CF219" s="1465"/>
      <c r="CG219" s="1370"/>
      <c r="CH219" s="31"/>
      <c r="CI219" s="1465"/>
      <c r="CJ219" s="1370"/>
      <c r="CK219" s="31"/>
      <c r="CL219" s="1273"/>
    </row>
    <row r="220" ht="18.75" customHeight="1">
      <c r="A220" s="1238"/>
      <c r="B220" s="1238"/>
      <c r="C220" s="1370"/>
      <c r="D220" s="1370"/>
      <c r="E220" s="1370"/>
      <c r="F220" s="1370"/>
      <c r="G220" s="1370"/>
      <c r="H220" s="1370"/>
      <c r="I220" s="1370"/>
      <c r="J220" s="1370"/>
      <c r="K220" s="1370"/>
      <c r="L220" s="1370"/>
      <c r="M220" s="1370"/>
      <c r="N220" s="31"/>
      <c r="O220" s="1465"/>
      <c r="P220" s="1370"/>
      <c r="Q220" s="31"/>
      <c r="R220" s="1465"/>
      <c r="S220" s="1370"/>
      <c r="T220" s="31"/>
      <c r="U220" s="1465"/>
      <c r="V220" s="1370"/>
      <c r="W220" s="31"/>
      <c r="X220" s="1465"/>
      <c r="Y220" s="1370"/>
      <c r="Z220" s="31"/>
      <c r="AA220" s="1465"/>
      <c r="AB220" s="1370"/>
      <c r="AC220" s="1371"/>
      <c r="AD220" s="1465"/>
      <c r="AE220" s="1370"/>
      <c r="AF220" s="1371"/>
      <c r="AG220" s="1465"/>
      <c r="AH220" s="1370"/>
      <c r="AI220" s="31"/>
      <c r="AJ220" s="1465"/>
      <c r="AK220" s="1370"/>
      <c r="AL220" s="31"/>
      <c r="AM220" s="1465"/>
      <c r="AN220" s="1370"/>
      <c r="AO220" s="31"/>
      <c r="AP220" s="1465"/>
      <c r="AQ220" s="1346"/>
      <c r="AR220" s="1296" t="s">
        <v>2586</v>
      </c>
      <c r="AS220" s="1465"/>
      <c r="AT220" s="1370"/>
      <c r="AU220" s="1371"/>
      <c r="AV220" s="1465"/>
      <c r="AW220" s="1370"/>
      <c r="AX220" s="31"/>
      <c r="AY220" s="1465"/>
      <c r="AZ220" s="1370"/>
      <c r="BA220" s="31"/>
      <c r="BB220" s="1465"/>
      <c r="BC220" s="1370"/>
      <c r="BD220" s="31"/>
      <c r="BE220" s="1465"/>
      <c r="BF220" s="1370"/>
      <c r="BG220" s="31"/>
      <c r="BH220" s="1465"/>
      <c r="BI220" s="1370"/>
      <c r="BJ220" s="31"/>
      <c r="BK220" s="1465"/>
      <c r="BL220" s="1370"/>
      <c r="BM220" s="31"/>
      <c r="BN220" s="1465"/>
      <c r="BO220" s="1370"/>
      <c r="BP220" s="31"/>
      <c r="BQ220" s="1465"/>
      <c r="BR220" s="1370"/>
      <c r="BS220" s="31"/>
      <c r="BT220" s="1465"/>
      <c r="BU220" s="1370"/>
      <c r="BV220" s="31"/>
      <c r="BW220" s="1465"/>
      <c r="BX220" s="1370"/>
      <c r="BY220" s="31"/>
      <c r="BZ220" s="1465"/>
      <c r="CA220" s="1370"/>
      <c r="CB220" s="31"/>
      <c r="CC220" s="1465"/>
      <c r="CD220" s="1370"/>
      <c r="CE220" s="31"/>
      <c r="CF220" s="1465"/>
      <c r="CG220" s="1370"/>
      <c r="CH220" s="31"/>
      <c r="CI220" s="1465"/>
      <c r="CJ220" s="1370"/>
      <c r="CK220" s="31"/>
      <c r="CL220" s="1273"/>
    </row>
    <row r="221" ht="18.75" customHeight="1">
      <c r="A221" s="1238"/>
      <c r="B221" s="1238"/>
      <c r="C221" s="1370"/>
      <c r="D221" s="1370"/>
      <c r="E221" s="1370"/>
      <c r="F221" s="1370"/>
      <c r="G221" s="1370"/>
      <c r="H221" s="1370"/>
      <c r="I221" s="1370"/>
      <c r="J221" s="1370"/>
      <c r="K221" s="1370"/>
      <c r="L221" s="1370"/>
      <c r="M221" s="1370"/>
      <c r="N221" s="31"/>
      <c r="O221" s="1465"/>
      <c r="P221" s="1370"/>
      <c r="Q221" s="31"/>
      <c r="R221" s="1465"/>
      <c r="S221" s="1370"/>
      <c r="T221" s="31"/>
      <c r="U221" s="1465"/>
      <c r="V221" s="1370"/>
      <c r="W221" s="31"/>
      <c r="X221" s="1465"/>
      <c r="Y221" s="1370"/>
      <c r="Z221" s="31"/>
      <c r="AA221" s="1465"/>
      <c r="AB221" s="1370"/>
      <c r="AC221" s="1371"/>
      <c r="AD221" s="1465"/>
      <c r="AE221" s="1370"/>
      <c r="AF221" s="1371"/>
      <c r="AG221" s="1465"/>
      <c r="AH221" s="1370"/>
      <c r="AI221" s="31"/>
      <c r="AJ221" s="1465"/>
      <c r="AK221" s="1370"/>
      <c r="AL221" s="31"/>
      <c r="AM221" s="1465"/>
      <c r="AN221" s="1370"/>
      <c r="AO221" s="31"/>
      <c r="AP221" s="1465"/>
      <c r="AQ221" s="1324"/>
      <c r="AR221" s="1325" t="s">
        <v>2587</v>
      </c>
      <c r="AS221" s="1465"/>
      <c r="AT221" s="1370"/>
      <c r="AU221" s="1371"/>
      <c r="AV221" s="1465"/>
      <c r="AW221" s="1370"/>
      <c r="AX221" s="31"/>
      <c r="AY221" s="1465"/>
      <c r="AZ221" s="1370"/>
      <c r="BA221" s="31"/>
      <c r="BB221" s="1465"/>
      <c r="BC221" s="1370"/>
      <c r="BD221" s="31"/>
      <c r="BE221" s="1465"/>
      <c r="BF221" s="1370"/>
      <c r="BG221" s="31"/>
      <c r="BH221" s="1465"/>
      <c r="BI221" s="1370"/>
      <c r="BJ221" s="31"/>
      <c r="BK221" s="1465"/>
      <c r="BL221" s="1370"/>
      <c r="BM221" s="31"/>
      <c r="BN221" s="1465"/>
      <c r="BO221" s="1370"/>
      <c r="BP221" s="31"/>
      <c r="BQ221" s="1465"/>
      <c r="BR221" s="1370"/>
      <c r="BS221" s="31"/>
      <c r="BT221" s="1465"/>
      <c r="BU221" s="1370"/>
      <c r="BV221" s="31"/>
      <c r="BW221" s="1465"/>
      <c r="BX221" s="1370"/>
      <c r="BY221" s="31"/>
      <c r="BZ221" s="1465"/>
      <c r="CA221" s="1370"/>
      <c r="CB221" s="31"/>
      <c r="CC221" s="1465"/>
      <c r="CD221" s="1370"/>
      <c r="CE221" s="31"/>
      <c r="CF221" s="1465"/>
      <c r="CG221" s="1370"/>
      <c r="CH221" s="31"/>
      <c r="CI221" s="1465"/>
      <c r="CJ221" s="1370"/>
      <c r="CK221" s="31"/>
      <c r="CL221" s="1273"/>
    </row>
    <row r="222" ht="18.75" customHeight="1">
      <c r="A222" s="1238"/>
      <c r="B222" s="1238"/>
      <c r="C222" s="1370"/>
      <c r="D222" s="1370"/>
      <c r="E222" s="1370"/>
      <c r="F222" s="1370"/>
      <c r="G222" s="1370"/>
      <c r="H222" s="1370"/>
      <c r="I222" s="1370"/>
      <c r="J222" s="1370"/>
      <c r="K222" s="1370"/>
      <c r="L222" s="1370"/>
      <c r="M222" s="1370"/>
      <c r="N222" s="31"/>
      <c r="O222" s="1465"/>
      <c r="P222" s="1370"/>
      <c r="Q222" s="31"/>
      <c r="R222" s="1465"/>
      <c r="S222" s="1370"/>
      <c r="T222" s="31"/>
      <c r="U222" s="1465"/>
      <c r="V222" s="1370"/>
      <c r="W222" s="31"/>
      <c r="X222" s="1465"/>
      <c r="Y222" s="1370"/>
      <c r="Z222" s="31"/>
      <c r="AA222" s="1465"/>
      <c r="AB222" s="1370"/>
      <c r="AC222" s="1371"/>
      <c r="AD222" s="1465"/>
      <c r="AE222" s="1370"/>
      <c r="AF222" s="1371"/>
      <c r="AG222" s="1465"/>
      <c r="AH222" s="1370"/>
      <c r="AI222" s="31"/>
      <c r="AJ222" s="1465"/>
      <c r="AK222" s="1370"/>
      <c r="AL222" s="31"/>
      <c r="AM222" s="1465"/>
      <c r="AN222" s="1370"/>
      <c r="AO222" s="31"/>
      <c r="AP222" s="1465"/>
      <c r="AQ222" s="1346"/>
      <c r="AR222" s="1296" t="s">
        <v>2588</v>
      </c>
      <c r="AS222" s="1465"/>
      <c r="AT222" s="1370"/>
      <c r="AU222" s="1371"/>
      <c r="AV222" s="1465"/>
      <c r="AW222" s="1370"/>
      <c r="AX222" s="31"/>
      <c r="AY222" s="1465"/>
      <c r="AZ222" s="1370"/>
      <c r="BA222" s="31"/>
      <c r="BB222" s="1465"/>
      <c r="BC222" s="1370"/>
      <c r="BD222" s="31"/>
      <c r="BE222" s="1465"/>
      <c r="BF222" s="1370"/>
      <c r="BG222" s="31"/>
      <c r="BH222" s="1465"/>
      <c r="BI222" s="1370"/>
      <c r="BJ222" s="31"/>
      <c r="BK222" s="1465"/>
      <c r="BL222" s="1370"/>
      <c r="BM222" s="31"/>
      <c r="BN222" s="1465"/>
      <c r="BO222" s="1370"/>
      <c r="BP222" s="31"/>
      <c r="BQ222" s="1465"/>
      <c r="BR222" s="1370"/>
      <c r="BS222" s="31"/>
      <c r="BT222" s="1465"/>
      <c r="BU222" s="1370"/>
      <c r="BV222" s="31"/>
      <c r="BW222" s="1465"/>
      <c r="BX222" s="1370"/>
      <c r="BY222" s="31"/>
      <c r="BZ222" s="1465"/>
      <c r="CA222" s="1370"/>
      <c r="CB222" s="31"/>
      <c r="CC222" s="1465"/>
      <c r="CD222" s="1370"/>
      <c r="CE222" s="31"/>
      <c r="CF222" s="1465"/>
      <c r="CG222" s="1370"/>
      <c r="CH222" s="31"/>
      <c r="CI222" s="1465"/>
      <c r="CJ222" s="1370"/>
      <c r="CK222" s="31"/>
      <c r="CL222" s="1273"/>
    </row>
    <row r="223" ht="18.75" customHeight="1">
      <c r="A223" s="1238"/>
      <c r="B223" s="1238"/>
      <c r="C223" s="1370"/>
      <c r="D223" s="1370"/>
      <c r="E223" s="1370"/>
      <c r="F223" s="1370"/>
      <c r="G223" s="1370"/>
      <c r="H223" s="1370"/>
      <c r="I223" s="1370"/>
      <c r="J223" s="1370"/>
      <c r="K223" s="1370"/>
      <c r="L223" s="1370"/>
      <c r="M223" s="1370"/>
      <c r="N223" s="31"/>
      <c r="O223" s="1465"/>
      <c r="P223" s="1370"/>
      <c r="Q223" s="31"/>
      <c r="R223" s="1465"/>
      <c r="S223" s="1370"/>
      <c r="T223" s="31"/>
      <c r="U223" s="1465"/>
      <c r="V223" s="1370"/>
      <c r="W223" s="31"/>
      <c r="X223" s="1465"/>
      <c r="Y223" s="1370"/>
      <c r="Z223" s="31"/>
      <c r="AA223" s="1465"/>
      <c r="AB223" s="1370"/>
      <c r="AC223" s="1371"/>
      <c r="AD223" s="1465"/>
      <c r="AE223" s="1370"/>
      <c r="AF223" s="1371"/>
      <c r="AG223" s="1465"/>
      <c r="AH223" s="1370"/>
      <c r="AI223" s="31"/>
      <c r="AJ223" s="1465"/>
      <c r="AK223" s="1370"/>
      <c r="AL223" s="31"/>
      <c r="AM223" s="1465"/>
      <c r="AN223" s="1370"/>
      <c r="AO223" s="31"/>
      <c r="AP223" s="1465"/>
      <c r="AQ223" s="1324"/>
      <c r="AR223" s="1325" t="s">
        <v>2589</v>
      </c>
      <c r="AS223" s="1465"/>
      <c r="AT223" s="1370"/>
      <c r="AU223" s="1371"/>
      <c r="AV223" s="1465"/>
      <c r="AW223" s="1370"/>
      <c r="AX223" s="31"/>
      <c r="AY223" s="1465"/>
      <c r="AZ223" s="1370"/>
      <c r="BA223" s="31"/>
      <c r="BB223" s="1465"/>
      <c r="BC223" s="1370"/>
      <c r="BD223" s="31"/>
      <c r="BE223" s="1465"/>
      <c r="BF223" s="1370"/>
      <c r="BG223" s="31"/>
      <c r="BH223" s="1465"/>
      <c r="BI223" s="1370"/>
      <c r="BJ223" s="31"/>
      <c r="BK223" s="1465"/>
      <c r="BL223" s="1370"/>
      <c r="BM223" s="31"/>
      <c r="BN223" s="1465"/>
      <c r="BO223" s="1370"/>
      <c r="BP223" s="31"/>
      <c r="BQ223" s="1465"/>
      <c r="BR223" s="1370"/>
      <c r="BS223" s="31"/>
      <c r="BT223" s="1465"/>
      <c r="BU223" s="1370"/>
      <c r="BV223" s="31"/>
      <c r="BW223" s="1465"/>
      <c r="BX223" s="1370"/>
      <c r="BY223" s="31"/>
      <c r="BZ223" s="1465"/>
      <c r="CA223" s="1370"/>
      <c r="CB223" s="31"/>
      <c r="CC223" s="1465"/>
      <c r="CD223" s="1370"/>
      <c r="CE223" s="31"/>
      <c r="CF223" s="1465"/>
      <c r="CG223" s="1370"/>
      <c r="CH223" s="31"/>
      <c r="CI223" s="1465"/>
      <c r="CJ223" s="1370"/>
      <c r="CK223" s="31"/>
      <c r="CL223" s="1273"/>
    </row>
    <row r="224" ht="18.75" customHeight="1">
      <c r="A224" s="1238"/>
      <c r="B224" s="1238"/>
      <c r="C224" s="1370"/>
      <c r="D224" s="1370"/>
      <c r="E224" s="1370"/>
      <c r="F224" s="1370"/>
      <c r="G224" s="1370"/>
      <c r="H224" s="1370"/>
      <c r="I224" s="1370"/>
      <c r="J224" s="1370"/>
      <c r="K224" s="1370"/>
      <c r="L224" s="1370"/>
      <c r="M224" s="1370"/>
      <c r="N224" s="31"/>
      <c r="O224" s="1465"/>
      <c r="P224" s="1370"/>
      <c r="Q224" s="31"/>
      <c r="R224" s="1465"/>
      <c r="S224" s="1370"/>
      <c r="T224" s="31"/>
      <c r="U224" s="1465"/>
      <c r="V224" s="1370"/>
      <c r="W224" s="31"/>
      <c r="X224" s="1465"/>
      <c r="Y224" s="1370"/>
      <c r="Z224" s="31"/>
      <c r="AA224" s="1465"/>
      <c r="AB224" s="1370"/>
      <c r="AC224" s="1371"/>
      <c r="AD224" s="1465"/>
      <c r="AE224" s="1370"/>
      <c r="AF224" s="1371"/>
      <c r="AG224" s="1465"/>
      <c r="AH224" s="1370"/>
      <c r="AI224" s="31"/>
      <c r="AJ224" s="1465"/>
      <c r="AK224" s="1370"/>
      <c r="AL224" s="31"/>
      <c r="AM224" s="1465"/>
      <c r="AN224" s="1370"/>
      <c r="AO224" s="31"/>
      <c r="AP224" s="1465"/>
      <c r="AQ224" s="1346"/>
      <c r="AR224" s="1296" t="s">
        <v>2590</v>
      </c>
      <c r="AS224" s="1465"/>
      <c r="AT224" s="1370"/>
      <c r="AU224" s="1371"/>
      <c r="AV224" s="1465"/>
      <c r="AW224" s="1370"/>
      <c r="AX224" s="31"/>
      <c r="AY224" s="1465"/>
      <c r="AZ224" s="1370"/>
      <c r="BA224" s="31"/>
      <c r="BB224" s="1465"/>
      <c r="BC224" s="1370"/>
      <c r="BD224" s="31"/>
      <c r="BE224" s="1465"/>
      <c r="BF224" s="1370"/>
      <c r="BG224" s="31"/>
      <c r="BH224" s="1465"/>
      <c r="BI224" s="1370"/>
      <c r="BJ224" s="31"/>
      <c r="BK224" s="1465"/>
      <c r="BL224" s="1370"/>
      <c r="BM224" s="31"/>
      <c r="BN224" s="1465"/>
      <c r="BO224" s="1370"/>
      <c r="BP224" s="31"/>
      <c r="BQ224" s="1465"/>
      <c r="BR224" s="1370"/>
      <c r="BS224" s="31"/>
      <c r="BT224" s="1465"/>
      <c r="BU224" s="1370"/>
      <c r="BV224" s="31"/>
      <c r="BW224" s="1465"/>
      <c r="BX224" s="1370"/>
      <c r="BY224" s="31"/>
      <c r="BZ224" s="1465"/>
      <c r="CA224" s="1370"/>
      <c r="CB224" s="31"/>
      <c r="CC224" s="1465"/>
      <c r="CD224" s="1370"/>
      <c r="CE224" s="31"/>
      <c r="CF224" s="1465"/>
      <c r="CG224" s="1370"/>
      <c r="CH224" s="31"/>
      <c r="CI224" s="1465"/>
      <c r="CJ224" s="1370"/>
      <c r="CK224" s="31"/>
      <c r="CL224" s="1273"/>
    </row>
    <row r="225" ht="18.75" customHeight="1">
      <c r="A225" s="1238"/>
      <c r="B225" s="1238"/>
      <c r="C225" s="1370"/>
      <c r="D225" s="1370"/>
      <c r="E225" s="1370"/>
      <c r="F225" s="1370"/>
      <c r="G225" s="1370"/>
      <c r="H225" s="1370"/>
      <c r="I225" s="1370"/>
      <c r="J225" s="1370"/>
      <c r="K225" s="1370"/>
      <c r="L225" s="1370"/>
      <c r="M225" s="1370"/>
      <c r="N225" s="31"/>
      <c r="O225" s="1465"/>
      <c r="P225" s="1370"/>
      <c r="Q225" s="31"/>
      <c r="R225" s="1465"/>
      <c r="S225" s="1370"/>
      <c r="T225" s="31"/>
      <c r="U225" s="1465"/>
      <c r="V225" s="1370"/>
      <c r="W225" s="31"/>
      <c r="X225" s="1465"/>
      <c r="Y225" s="1370"/>
      <c r="Z225" s="31"/>
      <c r="AA225" s="1465"/>
      <c r="AB225" s="1370"/>
      <c r="AC225" s="1371"/>
      <c r="AD225" s="1465"/>
      <c r="AE225" s="1370"/>
      <c r="AF225" s="1371"/>
      <c r="AG225" s="1465"/>
      <c r="AH225" s="1370"/>
      <c r="AI225" s="31"/>
      <c r="AJ225" s="1465"/>
      <c r="AK225" s="1370"/>
      <c r="AL225" s="31"/>
      <c r="AM225" s="1465"/>
      <c r="AN225" s="1370"/>
      <c r="AO225" s="31"/>
      <c r="AP225" s="1465"/>
      <c r="AQ225" s="1536"/>
      <c r="AR225" s="1537" t="s">
        <v>2591</v>
      </c>
      <c r="AS225" s="1465"/>
      <c r="AT225" s="1370"/>
      <c r="AU225" s="1371"/>
      <c r="AV225" s="1465"/>
      <c r="AW225" s="1370"/>
      <c r="AX225" s="31"/>
      <c r="AY225" s="1465"/>
      <c r="AZ225" s="1370"/>
      <c r="BA225" s="31"/>
      <c r="BB225" s="1465"/>
      <c r="BC225" s="1370"/>
      <c r="BD225" s="31"/>
      <c r="BE225" s="1465"/>
      <c r="BF225" s="1370"/>
      <c r="BG225" s="31"/>
      <c r="BH225" s="1465"/>
      <c r="BI225" s="1370"/>
      <c r="BJ225" s="31"/>
      <c r="BK225" s="1465"/>
      <c r="BL225" s="1370"/>
      <c r="BM225" s="31"/>
      <c r="BN225" s="1465"/>
      <c r="BO225" s="1370"/>
      <c r="BP225" s="31"/>
      <c r="BQ225" s="1465"/>
      <c r="BR225" s="1370"/>
      <c r="BS225" s="31"/>
      <c r="BT225" s="1465"/>
      <c r="BU225" s="1370"/>
      <c r="BV225" s="31"/>
      <c r="BW225" s="1465"/>
      <c r="BX225" s="1370"/>
      <c r="BY225" s="31"/>
      <c r="BZ225" s="1465"/>
      <c r="CA225" s="1370"/>
      <c r="CB225" s="31"/>
      <c r="CC225" s="1465"/>
      <c r="CD225" s="1370"/>
      <c r="CE225" s="31"/>
      <c r="CF225" s="1465"/>
      <c r="CG225" s="1370"/>
      <c r="CH225" s="31"/>
      <c r="CI225" s="1465"/>
      <c r="CJ225" s="1370"/>
      <c r="CK225" s="31"/>
      <c r="CL225" s="1273"/>
    </row>
    <row r="226" ht="18.75" customHeight="1">
      <c r="A226" s="1238"/>
      <c r="B226" s="1238"/>
      <c r="C226" s="1370"/>
      <c r="D226" s="1370"/>
      <c r="E226" s="1370"/>
      <c r="F226" s="1370"/>
      <c r="G226" s="1370"/>
      <c r="H226" s="1370"/>
      <c r="I226" s="1370"/>
      <c r="J226" s="1370"/>
      <c r="K226" s="1370"/>
      <c r="L226" s="1370"/>
      <c r="M226" s="1370"/>
      <c r="N226" s="31"/>
      <c r="O226" s="1465"/>
      <c r="P226" s="1370"/>
      <c r="Q226" s="31"/>
      <c r="R226" s="1465"/>
      <c r="S226" s="1370"/>
      <c r="T226" s="31"/>
      <c r="U226" s="1465"/>
      <c r="V226" s="1370"/>
      <c r="W226" s="31"/>
      <c r="X226" s="1465"/>
      <c r="Y226" s="1370"/>
      <c r="Z226" s="31"/>
      <c r="AA226" s="1465"/>
      <c r="AB226" s="1370"/>
      <c r="AC226" s="1371"/>
      <c r="AD226" s="1465"/>
      <c r="AE226" s="1370"/>
      <c r="AF226" s="1371"/>
      <c r="AG226" s="1465"/>
      <c r="AH226" s="1370"/>
      <c r="AI226" s="31"/>
      <c r="AJ226" s="1465"/>
      <c r="AK226" s="1370"/>
      <c r="AL226" s="31"/>
      <c r="AM226" s="1465"/>
      <c r="AN226" s="1370"/>
      <c r="AO226" s="31"/>
      <c r="AP226" s="1465"/>
      <c r="AQ226" s="1295"/>
      <c r="AR226" s="1538" t="s">
        <v>2592</v>
      </c>
      <c r="AS226" s="1465"/>
      <c r="AT226" s="1370"/>
      <c r="AU226" s="1371"/>
      <c r="AV226" s="1465"/>
      <c r="AW226" s="1370"/>
      <c r="AX226" s="31"/>
      <c r="AY226" s="1465"/>
      <c r="AZ226" s="1370"/>
      <c r="BA226" s="31"/>
      <c r="BB226" s="1465"/>
      <c r="BC226" s="1370"/>
      <c r="BD226" s="31"/>
      <c r="BE226" s="1465"/>
      <c r="BF226" s="1370"/>
      <c r="BG226" s="31"/>
      <c r="BH226" s="1465"/>
      <c r="BI226" s="1370"/>
      <c r="BJ226" s="31"/>
      <c r="BK226" s="1465"/>
      <c r="BL226" s="1370"/>
      <c r="BM226" s="31"/>
      <c r="BN226" s="1465"/>
      <c r="BO226" s="1370"/>
      <c r="BP226" s="31"/>
      <c r="BQ226" s="1465"/>
      <c r="BR226" s="1370"/>
      <c r="BS226" s="31"/>
      <c r="BT226" s="1465"/>
      <c r="BU226" s="1370"/>
      <c r="BV226" s="31"/>
      <c r="BW226" s="1465"/>
      <c r="BX226" s="1370"/>
      <c r="BY226" s="31"/>
      <c r="BZ226" s="1465"/>
      <c r="CA226" s="1370"/>
      <c r="CB226" s="31"/>
      <c r="CC226" s="1465"/>
      <c r="CD226" s="1370"/>
      <c r="CE226" s="31"/>
      <c r="CF226" s="1465"/>
      <c r="CG226" s="1370"/>
      <c r="CH226" s="31"/>
      <c r="CI226" s="1465"/>
      <c r="CJ226" s="1370"/>
      <c r="CK226" s="31"/>
      <c r="CL226" s="1273"/>
    </row>
    <row r="227" ht="18.75" customHeight="1">
      <c r="A227" s="1238"/>
      <c r="B227" s="1238"/>
      <c r="C227" s="1370"/>
      <c r="D227" s="1370"/>
      <c r="E227" s="1370"/>
      <c r="F227" s="1370"/>
      <c r="G227" s="1370"/>
      <c r="H227" s="1370"/>
      <c r="I227" s="1370"/>
      <c r="J227" s="1370"/>
      <c r="K227" s="1370"/>
      <c r="L227" s="1370"/>
      <c r="M227" s="1370"/>
      <c r="N227" s="31"/>
      <c r="O227" s="1465"/>
      <c r="P227" s="1370"/>
      <c r="Q227" s="31"/>
      <c r="R227" s="1465"/>
      <c r="S227" s="1370"/>
      <c r="T227" s="31"/>
      <c r="U227" s="1465"/>
      <c r="V227" s="1370"/>
      <c r="W227" s="31"/>
      <c r="X227" s="1465"/>
      <c r="Y227" s="1370"/>
      <c r="Z227" s="31"/>
      <c r="AA227" s="1465"/>
      <c r="AB227" s="1370"/>
      <c r="AC227" s="1371"/>
      <c r="AD227" s="1465"/>
      <c r="AE227" s="1370"/>
      <c r="AF227" s="1371"/>
      <c r="AG227" s="1465"/>
      <c r="AH227" s="1370"/>
      <c r="AI227" s="31"/>
      <c r="AJ227" s="1465"/>
      <c r="AK227" s="1370"/>
      <c r="AL227" s="31"/>
      <c r="AM227" s="1465"/>
      <c r="AN227" s="1370"/>
      <c r="AO227" s="31"/>
      <c r="AP227" s="1465"/>
      <c r="AQ227" s="1539"/>
      <c r="AR227" s="1540" t="s">
        <v>2593</v>
      </c>
      <c r="AS227" s="1465"/>
      <c r="AT227" s="1370"/>
      <c r="AU227" s="1371"/>
      <c r="AV227" s="1465"/>
      <c r="AW227" s="1370"/>
      <c r="AX227" s="31"/>
      <c r="AY227" s="1465"/>
      <c r="AZ227" s="1370"/>
      <c r="BA227" s="31"/>
      <c r="BB227" s="1465"/>
      <c r="BC227" s="1370"/>
      <c r="BD227" s="31"/>
      <c r="BE227" s="1465"/>
      <c r="BF227" s="1370"/>
      <c r="BG227" s="31"/>
      <c r="BH227" s="1465"/>
      <c r="BI227" s="1370"/>
      <c r="BJ227" s="31"/>
      <c r="BK227" s="1465"/>
      <c r="BL227" s="1370"/>
      <c r="BM227" s="31"/>
      <c r="BN227" s="1465"/>
      <c r="BO227" s="1370"/>
      <c r="BP227" s="31"/>
      <c r="BQ227" s="1465"/>
      <c r="BR227" s="1370"/>
      <c r="BS227" s="31"/>
      <c r="BT227" s="1465"/>
      <c r="BU227" s="1370"/>
      <c r="BV227" s="31"/>
      <c r="BW227" s="1465"/>
      <c r="BX227" s="1370"/>
      <c r="BY227" s="31"/>
      <c r="BZ227" s="1465"/>
      <c r="CA227" s="1370"/>
      <c r="CB227" s="31"/>
      <c r="CC227" s="1465"/>
      <c r="CD227" s="1370"/>
      <c r="CE227" s="31"/>
      <c r="CF227" s="1465"/>
      <c r="CG227" s="1370"/>
      <c r="CH227" s="31"/>
      <c r="CI227" s="1465"/>
      <c r="CJ227" s="1370"/>
      <c r="CK227" s="31"/>
      <c r="CL227" s="1273"/>
    </row>
    <row r="228" ht="18.75" customHeight="1">
      <c r="A228" s="1238"/>
      <c r="B228" s="1240"/>
      <c r="C228" s="1370"/>
      <c r="D228" s="1370"/>
      <c r="E228" s="1370"/>
      <c r="F228" s="1370"/>
      <c r="G228" s="1370"/>
      <c r="H228" s="1370"/>
      <c r="I228" s="1370"/>
      <c r="J228" s="1370"/>
      <c r="K228" s="1370"/>
      <c r="L228" s="1370"/>
      <c r="M228" s="1370"/>
      <c r="N228" s="31"/>
      <c r="O228" s="1465"/>
      <c r="P228" s="1370"/>
      <c r="Q228" s="31"/>
      <c r="R228" s="1465"/>
      <c r="S228" s="1370"/>
      <c r="T228" s="31"/>
      <c r="U228" s="1465"/>
      <c r="V228" s="1370"/>
      <c r="W228" s="31"/>
      <c r="X228" s="1465"/>
      <c r="Y228" s="1370"/>
      <c r="Z228" s="31"/>
      <c r="AA228" s="1465"/>
      <c r="AB228" s="1370"/>
      <c r="AC228" s="1371"/>
      <c r="AD228" s="1465"/>
      <c r="AE228" s="1370"/>
      <c r="AF228" s="1371"/>
      <c r="AG228" s="1465"/>
      <c r="AH228" s="1370"/>
      <c r="AI228" s="31"/>
      <c r="AJ228" s="1465"/>
      <c r="AK228" s="1370"/>
      <c r="AL228" s="31"/>
      <c r="AM228" s="1465"/>
      <c r="AN228" s="1370"/>
      <c r="AO228" s="31"/>
      <c r="AP228" s="1465"/>
      <c r="AQ228" s="1420"/>
      <c r="AR228" s="1421" t="s">
        <v>2594</v>
      </c>
      <c r="AS228" s="1465"/>
      <c r="AT228" s="1370"/>
      <c r="AU228" s="1371"/>
      <c r="AV228" s="1465"/>
      <c r="AW228" s="1370"/>
      <c r="AX228" s="31"/>
      <c r="AY228" s="1465"/>
      <c r="AZ228" s="1370"/>
      <c r="BA228" s="31"/>
      <c r="BB228" s="1465"/>
      <c r="BC228" s="1370"/>
      <c r="BD228" s="31"/>
      <c r="BE228" s="1465"/>
      <c r="BF228" s="1370"/>
      <c r="BG228" s="31"/>
      <c r="BH228" s="1465"/>
      <c r="BI228" s="1370"/>
      <c r="BJ228" s="31"/>
      <c r="BK228" s="1465"/>
      <c r="BL228" s="1370"/>
      <c r="BM228" s="31"/>
      <c r="BN228" s="1465"/>
      <c r="BO228" s="1370"/>
      <c r="BP228" s="31"/>
      <c r="BQ228" s="1465"/>
      <c r="BR228" s="1370"/>
      <c r="BS228" s="31"/>
      <c r="BT228" s="1465"/>
      <c r="BU228" s="1370"/>
      <c r="BV228" s="31"/>
      <c r="BW228" s="1465"/>
      <c r="BX228" s="1370"/>
      <c r="BY228" s="31"/>
      <c r="BZ228" s="1465"/>
      <c r="CA228" s="1370"/>
      <c r="CB228" s="31"/>
      <c r="CC228" s="1465"/>
      <c r="CD228" s="1370"/>
      <c r="CE228" s="31"/>
      <c r="CF228" s="1465"/>
      <c r="CG228" s="1370"/>
      <c r="CH228" s="31"/>
      <c r="CI228" s="1465"/>
      <c r="CJ228" s="1370"/>
      <c r="CK228" s="31"/>
      <c r="CL228" s="1273"/>
    </row>
    <row r="229" ht="3.75" customHeight="1">
      <c r="A229" s="1238"/>
      <c r="B229" s="1238"/>
      <c r="C229" s="1238"/>
      <c r="D229" s="1541"/>
      <c r="E229" s="1541"/>
      <c r="F229" s="1238"/>
      <c r="G229" s="1541"/>
      <c r="H229" s="1541"/>
      <c r="I229" s="1238"/>
      <c r="J229" s="1541"/>
      <c r="K229" s="1541"/>
      <c r="L229" s="1238"/>
      <c r="M229" s="1541"/>
      <c r="N229" s="1541"/>
      <c r="O229" s="1238"/>
      <c r="P229" s="1370"/>
      <c r="Q229" s="31"/>
      <c r="R229" s="1465"/>
      <c r="S229" s="1370"/>
      <c r="T229" s="1541"/>
      <c r="U229" s="1238"/>
      <c r="V229" s="1370"/>
      <c r="W229" s="1541"/>
      <c r="X229" s="1238"/>
      <c r="Y229" s="1370"/>
      <c r="Z229" s="1541"/>
      <c r="AA229" s="1238"/>
      <c r="AB229" s="1370"/>
      <c r="AC229" s="1371"/>
      <c r="AD229" s="1465"/>
      <c r="AE229" s="1370"/>
      <c r="AF229" s="1371"/>
      <c r="AG229" s="1465"/>
      <c r="AH229" s="1370"/>
      <c r="AI229" s="31"/>
      <c r="AJ229" s="1465"/>
      <c r="AK229" s="1370"/>
      <c r="AL229" s="1541"/>
      <c r="AM229" s="1238"/>
      <c r="AN229" s="1370"/>
      <c r="AO229" s="1541"/>
      <c r="AP229" s="1238"/>
      <c r="AQ229" s="1389"/>
      <c r="AR229" s="1389"/>
      <c r="AS229" s="1238"/>
      <c r="AT229" s="1370"/>
      <c r="AU229" s="1371"/>
      <c r="AV229" s="1465"/>
      <c r="AW229" s="1370"/>
      <c r="AX229" s="1541"/>
      <c r="AY229" s="1238"/>
      <c r="AZ229" s="1370"/>
      <c r="BA229" s="31"/>
      <c r="BB229" s="1465"/>
      <c r="BC229" s="1370"/>
      <c r="BD229" s="31"/>
      <c r="BE229" s="1465"/>
      <c r="BF229" s="1370"/>
      <c r="BG229" s="31"/>
      <c r="BH229" s="1465"/>
      <c r="BI229" s="1370"/>
      <c r="BJ229" s="31"/>
      <c r="BK229" s="1465"/>
      <c r="BL229" s="1370"/>
      <c r="BM229" s="31"/>
      <c r="BN229" s="1465"/>
      <c r="BO229" s="1370"/>
      <c r="BP229" s="31"/>
      <c r="BQ229" s="1465"/>
      <c r="BR229" s="1370"/>
      <c r="BS229" s="31"/>
      <c r="BT229" s="1465"/>
      <c r="BU229" s="1370"/>
      <c r="BV229" s="31"/>
      <c r="BW229" s="1465"/>
      <c r="BX229" s="1370"/>
      <c r="BY229" s="31"/>
      <c r="BZ229" s="1465"/>
      <c r="CA229" s="1370"/>
      <c r="CB229" s="31"/>
      <c r="CC229" s="1465"/>
      <c r="CD229" s="1370"/>
      <c r="CE229" s="31"/>
      <c r="CF229" s="1465"/>
      <c r="CG229" s="1370"/>
      <c r="CH229" s="31"/>
      <c r="CI229" s="1465"/>
      <c r="CJ229" s="1370"/>
      <c r="CK229" s="1541"/>
      <c r="CL229" s="1238"/>
    </row>
  </sheetData>
  <drawing r:id="rId1"/>
</worksheet>
</file>